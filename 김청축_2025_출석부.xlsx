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cabf36b0134af82/바탕 화면/김인혁/김인혁_청년축구단/1. 출석부/"/>
    </mc:Choice>
  </mc:AlternateContent>
  <xr:revisionPtr revIDLastSave="797" documentId="13_ncr:1_{EEA9C542-E7BB-4F4E-A7B3-6C41A56B1D21}" xr6:coauthVersionLast="47" xr6:coauthVersionMax="47" xr10:uidLastSave="{708F2515-028A-4CF0-8216-F80F6E17E709}"/>
  <bookViews>
    <workbookView xWindow="-108" yWindow="-108" windowWidth="23256" windowHeight="12456" tabRatio="606" xr2:uid="{00000000-000D-0000-FFFF-FFFF00000000}"/>
  </bookViews>
  <sheets>
    <sheet name="종합Sheet" sheetId="1" r:id="rId1"/>
    <sheet name="경기기록Sheet" sheetId="2" r:id="rId2"/>
    <sheet name="개인기록Sheet" sheetId="3" r:id="rId3"/>
    <sheet name="시상대상(23)" sheetId="7" state="hidden" r:id="rId4"/>
    <sheet name="시상대상(24)" sheetId="11" state="hidden" r:id="rId5"/>
    <sheet name="시상대상(25)" sheetId="12" r:id="rId6"/>
    <sheet name="종합Sheet (외부)" sheetId="8" state="hidden" r:id="rId7"/>
    <sheet name="경기기록Sheet (외부)" sheetId="9" state="hidden" r:id="rId8"/>
  </sheets>
  <definedNames>
    <definedName name="_xlnm._FilterDatabase" localSheetId="2" hidden="1">개인기록Sheet!$A$3:$I$3</definedName>
    <definedName name="_xlnm._FilterDatabase" localSheetId="0" hidden="1">종합Sheet!$A$3:$CT$116</definedName>
    <definedName name="_xlnm._FilterDatabase" localSheetId="6" hidden="1">'종합Sheet (외부)'!$A$3:$CT$37</definedName>
    <definedName name="_xlnm.Print_Area" localSheetId="2">개인기록Sheet!$A$2:$I$52</definedName>
    <definedName name="_xlnm.Print_Area" localSheetId="0">종합Sheet!$A$1:$L$116</definedName>
    <definedName name="_xlnm.Print_Area" localSheetId="6">'종합Sheet (외부)'!$A$1:$L$37</definedName>
    <definedName name="_xlnm.Print_Titles" localSheetId="0">종합Sheet!$3:$3</definedName>
    <definedName name="_xlnm.Print_Titles" localSheetId="6">'종합Sheet (외부)'!$3:$3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8" i="2" l="1"/>
  <c r="C478" i="2"/>
  <c r="D466" i="2"/>
  <c r="C466" i="2"/>
  <c r="A5" i="3"/>
  <c r="B5" i="3"/>
  <c r="F5" i="3" s="1"/>
  <c r="A6" i="3"/>
  <c r="B6" i="3"/>
  <c r="G6" i="3" s="1"/>
  <c r="A7" i="3"/>
  <c r="B7" i="3"/>
  <c r="D7" i="3" s="1"/>
  <c r="A8" i="3"/>
  <c r="B8" i="3"/>
  <c r="D8" i="3" s="1"/>
  <c r="A9" i="3"/>
  <c r="B9" i="3"/>
  <c r="E9" i="3" s="1"/>
  <c r="A10" i="3"/>
  <c r="B10" i="3"/>
  <c r="G10" i="3" s="1"/>
  <c r="A11" i="3"/>
  <c r="B11" i="3"/>
  <c r="D11" i="3" s="1"/>
  <c r="A12" i="3"/>
  <c r="B12" i="3"/>
  <c r="D12" i="3" s="1"/>
  <c r="A13" i="3"/>
  <c r="B13" i="3"/>
  <c r="D13" i="3" s="1"/>
  <c r="A14" i="3"/>
  <c r="B14" i="3"/>
  <c r="G14" i="3" s="1"/>
  <c r="A15" i="3"/>
  <c r="B15" i="3"/>
  <c r="D15" i="3" s="1"/>
  <c r="A16" i="3"/>
  <c r="B16" i="3"/>
  <c r="D16" i="3" s="1"/>
  <c r="A17" i="3"/>
  <c r="B17" i="3"/>
  <c r="F17" i="3" s="1"/>
  <c r="A18" i="3"/>
  <c r="B18" i="3"/>
  <c r="G18" i="3" s="1"/>
  <c r="A19" i="3"/>
  <c r="B19" i="3"/>
  <c r="D19" i="3" s="1"/>
  <c r="A20" i="3"/>
  <c r="B20" i="3"/>
  <c r="D20" i="3" s="1"/>
  <c r="A21" i="3"/>
  <c r="B21" i="3"/>
  <c r="E21" i="3" s="1"/>
  <c r="A22" i="3"/>
  <c r="B22" i="3"/>
  <c r="H22" i="3" s="1"/>
  <c r="A23" i="3"/>
  <c r="B23" i="3"/>
  <c r="F23" i="3" s="1"/>
  <c r="A24" i="3"/>
  <c r="B24" i="3"/>
  <c r="E24" i="3" s="1"/>
  <c r="A25" i="3"/>
  <c r="B25" i="3"/>
  <c r="F25" i="3" s="1"/>
  <c r="A26" i="3"/>
  <c r="B26" i="3"/>
  <c r="A27" i="3"/>
  <c r="B27" i="3"/>
  <c r="F27" i="3" s="1"/>
  <c r="A28" i="3"/>
  <c r="B28" i="3"/>
  <c r="G28" i="3" s="1"/>
  <c r="A29" i="3"/>
  <c r="B29" i="3"/>
  <c r="H29" i="3" s="1"/>
  <c r="A30" i="3"/>
  <c r="B30" i="3"/>
  <c r="G30" i="3" s="1"/>
  <c r="A31" i="3"/>
  <c r="B31" i="3"/>
  <c r="D31" i="3" s="1"/>
  <c r="A32" i="3"/>
  <c r="B32" i="3"/>
  <c r="G32" i="3" s="1"/>
  <c r="A33" i="3"/>
  <c r="B33" i="3"/>
  <c r="D33" i="3" s="1"/>
  <c r="A34" i="3"/>
  <c r="B34" i="3"/>
  <c r="H34" i="3" s="1"/>
  <c r="A35" i="3"/>
  <c r="B35" i="3"/>
  <c r="D35" i="3" s="1"/>
  <c r="A36" i="3"/>
  <c r="B36" i="3"/>
  <c r="A37" i="3"/>
  <c r="B37" i="3"/>
  <c r="E37" i="3" s="1"/>
  <c r="A38" i="3"/>
  <c r="B38" i="3"/>
  <c r="G38" i="3" s="1"/>
  <c r="A39" i="3"/>
  <c r="B39" i="3"/>
  <c r="D39" i="3" s="1"/>
  <c r="A40" i="3"/>
  <c r="B40" i="3"/>
  <c r="F40" i="3" s="1"/>
  <c r="A41" i="3"/>
  <c r="B41" i="3"/>
  <c r="H41" i="3" s="1"/>
  <c r="A42" i="3"/>
  <c r="B42" i="3"/>
  <c r="G42" i="3" s="1"/>
  <c r="A43" i="3"/>
  <c r="B43" i="3"/>
  <c r="F43" i="3" s="1"/>
  <c r="A44" i="3"/>
  <c r="B44" i="3"/>
  <c r="H44" i="3" s="1"/>
  <c r="A45" i="3"/>
  <c r="B45" i="3"/>
  <c r="D45" i="3" s="1"/>
  <c r="A46" i="3"/>
  <c r="B46" i="3"/>
  <c r="H46" i="3" s="1"/>
  <c r="A47" i="3"/>
  <c r="B47" i="3"/>
  <c r="D47" i="3" s="1"/>
  <c r="A48" i="3"/>
  <c r="B48" i="3"/>
  <c r="D48" i="3" s="1"/>
  <c r="A49" i="3"/>
  <c r="B49" i="3"/>
  <c r="E49" i="3" s="1"/>
  <c r="A50" i="3"/>
  <c r="B50" i="3"/>
  <c r="A51" i="3"/>
  <c r="B51" i="3"/>
  <c r="F51" i="3" s="1"/>
  <c r="A52" i="3"/>
  <c r="B52" i="3"/>
  <c r="A53" i="3"/>
  <c r="B53" i="3"/>
  <c r="G53" i="3" s="1"/>
  <c r="A54" i="3"/>
  <c r="B54" i="3"/>
  <c r="G54" i="3" s="1"/>
  <c r="A55" i="3"/>
  <c r="B55" i="3"/>
  <c r="E55" i="3" s="1"/>
  <c r="A56" i="3"/>
  <c r="B56" i="3"/>
  <c r="A57" i="3"/>
  <c r="B57" i="3"/>
  <c r="D57" i="3" s="1"/>
  <c r="A58" i="3"/>
  <c r="B58" i="3"/>
  <c r="G58" i="3" s="1"/>
  <c r="A59" i="3"/>
  <c r="B59" i="3"/>
  <c r="E59" i="3" s="1"/>
  <c r="A60" i="3"/>
  <c r="B60" i="3"/>
  <c r="E60" i="3" s="1"/>
  <c r="A61" i="3"/>
  <c r="B61" i="3"/>
  <c r="E61" i="3" s="1"/>
  <c r="A62" i="3"/>
  <c r="B62" i="3"/>
  <c r="H62" i="3" s="1"/>
  <c r="A63" i="3"/>
  <c r="B63" i="3"/>
  <c r="E63" i="3" s="1"/>
  <c r="A64" i="3"/>
  <c r="B64" i="3"/>
  <c r="D64" i="3" s="1"/>
  <c r="A65" i="3"/>
  <c r="B65" i="3"/>
  <c r="G65" i="3" s="1"/>
  <c r="A66" i="3"/>
  <c r="B66" i="3"/>
  <c r="H66" i="3" s="1"/>
  <c r="A67" i="3"/>
  <c r="B67" i="3"/>
  <c r="E67" i="3" s="1"/>
  <c r="A68" i="3"/>
  <c r="B68" i="3"/>
  <c r="F68" i="3" s="1"/>
  <c r="A69" i="3"/>
  <c r="B69" i="3"/>
  <c r="G69" i="3" s="1"/>
  <c r="A70" i="3"/>
  <c r="B70" i="3"/>
  <c r="A71" i="3"/>
  <c r="B71" i="3"/>
  <c r="E71" i="3" s="1"/>
  <c r="A72" i="3"/>
  <c r="B72" i="3"/>
  <c r="D72" i="3" s="1"/>
  <c r="A73" i="3"/>
  <c r="B73" i="3"/>
  <c r="F73" i="3" s="1"/>
  <c r="A74" i="3"/>
  <c r="B74" i="3"/>
  <c r="A75" i="3"/>
  <c r="B75" i="3"/>
  <c r="D75" i="3" s="1"/>
  <c r="A76" i="3"/>
  <c r="B76" i="3"/>
  <c r="A77" i="3"/>
  <c r="B77" i="3"/>
  <c r="D77" i="3" s="1"/>
  <c r="A78" i="3"/>
  <c r="B78" i="3"/>
  <c r="H78" i="3" s="1"/>
  <c r="A79" i="3"/>
  <c r="B79" i="3"/>
  <c r="D79" i="3" s="1"/>
  <c r="A80" i="3"/>
  <c r="B80" i="3"/>
  <c r="A81" i="3"/>
  <c r="B81" i="3"/>
  <c r="E81" i="3" s="1"/>
  <c r="A82" i="3"/>
  <c r="B82" i="3"/>
  <c r="G82" i="3" s="1"/>
  <c r="A83" i="3"/>
  <c r="B83" i="3"/>
  <c r="D83" i="3" s="1"/>
  <c r="A84" i="3"/>
  <c r="B84" i="3"/>
  <c r="H84" i="3" s="1"/>
  <c r="A85" i="3"/>
  <c r="B85" i="3"/>
  <c r="A86" i="3"/>
  <c r="B86" i="3"/>
  <c r="H86" i="3" s="1"/>
  <c r="A87" i="3"/>
  <c r="B87" i="3"/>
  <c r="H87" i="3" s="1"/>
  <c r="A88" i="3"/>
  <c r="B88" i="3"/>
  <c r="F88" i="3" s="1"/>
  <c r="A89" i="3"/>
  <c r="B89" i="3"/>
  <c r="D89" i="3" s="1"/>
  <c r="A90" i="3"/>
  <c r="B90" i="3"/>
  <c r="H90" i="3" s="1"/>
  <c r="A91" i="3"/>
  <c r="B91" i="3"/>
  <c r="G91" i="3" s="1"/>
  <c r="A92" i="3"/>
  <c r="B92" i="3"/>
  <c r="F92" i="3" s="1"/>
  <c r="A93" i="3"/>
  <c r="B93" i="3"/>
  <c r="D93" i="3" s="1"/>
  <c r="A94" i="3"/>
  <c r="B94" i="3"/>
  <c r="A95" i="3"/>
  <c r="B95" i="3"/>
  <c r="G95" i="3" s="1"/>
  <c r="A96" i="3"/>
  <c r="B96" i="3"/>
  <c r="E96" i="3" s="1"/>
  <c r="A97" i="3"/>
  <c r="B97" i="3"/>
  <c r="H97" i="3" s="1"/>
  <c r="A98" i="3"/>
  <c r="B98" i="3"/>
  <c r="E98" i="3" s="1"/>
  <c r="A99" i="3"/>
  <c r="B99" i="3"/>
  <c r="D99" i="3" s="1"/>
  <c r="A100" i="3"/>
  <c r="B100" i="3"/>
  <c r="H100" i="3" s="1"/>
  <c r="A101" i="3"/>
  <c r="B101" i="3"/>
  <c r="G101" i="3" s="1"/>
  <c r="A102" i="3"/>
  <c r="B102" i="3"/>
  <c r="G102" i="3" s="1"/>
  <c r="A103" i="3"/>
  <c r="B103" i="3"/>
  <c r="G103" i="3" s="1"/>
  <c r="A104" i="3"/>
  <c r="B104" i="3"/>
  <c r="G104" i="3" s="1"/>
  <c r="A105" i="3"/>
  <c r="B105" i="3"/>
  <c r="D105" i="3" s="1"/>
  <c r="A106" i="3"/>
  <c r="B106" i="3"/>
  <c r="E106" i="3" s="1"/>
  <c r="A107" i="3"/>
  <c r="B107" i="3"/>
  <c r="D107" i="3" s="1"/>
  <c r="A108" i="3"/>
  <c r="B108" i="3"/>
  <c r="D108" i="3" s="1"/>
  <c r="A109" i="3"/>
  <c r="B109" i="3"/>
  <c r="D109" i="3" s="1"/>
  <c r="A110" i="3"/>
  <c r="B110" i="3"/>
  <c r="E110" i="3" s="1"/>
  <c r="A111" i="3"/>
  <c r="B111" i="3"/>
  <c r="G111" i="3" s="1"/>
  <c r="A112" i="3"/>
  <c r="B112" i="3"/>
  <c r="D112" i="3" s="1"/>
  <c r="A113" i="3"/>
  <c r="B113" i="3"/>
  <c r="E113" i="3" s="1"/>
  <c r="A114" i="3"/>
  <c r="B114" i="3"/>
  <c r="F114" i="3" s="1"/>
  <c r="A115" i="3"/>
  <c r="B115" i="3"/>
  <c r="F115" i="3" s="1"/>
  <c r="A116" i="3"/>
  <c r="B116" i="3"/>
  <c r="H116" i="3" s="1"/>
  <c r="I6" i="1"/>
  <c r="I7" i="1"/>
  <c r="I8" i="1"/>
  <c r="I9" i="1"/>
  <c r="E9" i="12" s="1"/>
  <c r="I10" i="1"/>
  <c r="E3" i="12" s="1"/>
  <c r="I11" i="1"/>
  <c r="E12" i="12" s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E5" i="12" s="1"/>
  <c r="I27" i="1"/>
  <c r="I28" i="1"/>
  <c r="I29" i="1"/>
  <c r="I30" i="1"/>
  <c r="I31" i="1"/>
  <c r="I32" i="1"/>
  <c r="E13" i="12" s="1"/>
  <c r="I33" i="1"/>
  <c r="E14" i="12" s="1"/>
  <c r="I34" i="1"/>
  <c r="E10" i="12" s="1"/>
  <c r="I35" i="1"/>
  <c r="I36" i="1"/>
  <c r="I37" i="1"/>
  <c r="I38" i="1"/>
  <c r="I39" i="1"/>
  <c r="I40" i="1"/>
  <c r="I41" i="1"/>
  <c r="I42" i="1"/>
  <c r="I43" i="1"/>
  <c r="I44" i="1"/>
  <c r="I45" i="1"/>
  <c r="I46" i="1"/>
  <c r="E7" i="12" s="1"/>
  <c r="I47" i="1"/>
  <c r="I48" i="1"/>
  <c r="I49" i="1"/>
  <c r="E15" i="12" s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E8" i="12" s="1"/>
  <c r="I68" i="1"/>
  <c r="I69" i="1"/>
  <c r="I70" i="1"/>
  <c r="I71" i="1"/>
  <c r="I72" i="1"/>
  <c r="I73" i="1"/>
  <c r="I74" i="1"/>
  <c r="I75" i="1"/>
  <c r="I76" i="1"/>
  <c r="E11" i="12" s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E16" i="12" s="1"/>
  <c r="I95" i="1"/>
  <c r="I96" i="1"/>
  <c r="E6" i="12" s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D454" i="2"/>
  <c r="C454" i="2"/>
  <c r="I5" i="1"/>
  <c r="D442" i="2"/>
  <c r="C442" i="2"/>
  <c r="D430" i="2"/>
  <c r="C430" i="2"/>
  <c r="D416" i="2"/>
  <c r="C416" i="2"/>
  <c r="D404" i="2"/>
  <c r="C404" i="2"/>
  <c r="D392" i="2"/>
  <c r="C392" i="2"/>
  <c r="D380" i="2"/>
  <c r="C380" i="2"/>
  <c r="D366" i="2"/>
  <c r="C366" i="2"/>
  <c r="D354" i="2"/>
  <c r="C354" i="2"/>
  <c r="D338" i="2"/>
  <c r="C338" i="2"/>
  <c r="D322" i="2"/>
  <c r="C322" i="2"/>
  <c r="D306" i="2"/>
  <c r="C306" i="2"/>
  <c r="D290" i="2"/>
  <c r="C290" i="2"/>
  <c r="D278" i="2"/>
  <c r="C278" i="2"/>
  <c r="D266" i="2"/>
  <c r="C266" i="2"/>
  <c r="D250" i="2"/>
  <c r="C250" i="2"/>
  <c r="D238" i="2"/>
  <c r="C238" i="2"/>
  <c r="D226" i="2"/>
  <c r="C226" i="2"/>
  <c r="D214" i="2"/>
  <c r="C214" i="2"/>
  <c r="D202" i="2"/>
  <c r="C202" i="2"/>
  <c r="D188" i="2"/>
  <c r="C188" i="2"/>
  <c r="D174" i="2"/>
  <c r="C174" i="2"/>
  <c r="D162" i="2"/>
  <c r="C162" i="2"/>
  <c r="D148" i="2"/>
  <c r="C148" i="2"/>
  <c r="D136" i="2"/>
  <c r="C136" i="2"/>
  <c r="D124" i="2"/>
  <c r="C124" i="2"/>
  <c r="D110" i="2"/>
  <c r="C110" i="2"/>
  <c r="D96" i="2"/>
  <c r="C96" i="2"/>
  <c r="D82" i="2"/>
  <c r="C82" i="2"/>
  <c r="D68" i="2"/>
  <c r="C68" i="2"/>
  <c r="D54" i="2"/>
  <c r="C54" i="2"/>
  <c r="D13" i="2"/>
  <c r="C13" i="2"/>
  <c r="D36" i="2"/>
  <c r="C36" i="2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4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Q3" i="12" l="1"/>
  <c r="Q7" i="12"/>
  <c r="Q10" i="12"/>
  <c r="Q8" i="12"/>
  <c r="Q9" i="12"/>
  <c r="Q5" i="12"/>
  <c r="Q6" i="12"/>
  <c r="Q12" i="12"/>
  <c r="Q11" i="12"/>
  <c r="D59" i="3"/>
  <c r="E43" i="3"/>
  <c r="E68" i="3"/>
  <c r="E7" i="3"/>
  <c r="F87" i="3"/>
  <c r="F29" i="3"/>
  <c r="F84" i="3"/>
  <c r="G73" i="3"/>
  <c r="G78" i="3"/>
  <c r="E73" i="3"/>
  <c r="D111" i="3"/>
  <c r="H38" i="3"/>
  <c r="D104" i="3"/>
  <c r="H5" i="3"/>
  <c r="D92" i="3"/>
  <c r="G112" i="3"/>
  <c r="G86" i="3"/>
  <c r="D43" i="3"/>
  <c r="D100" i="3"/>
  <c r="F13" i="3"/>
  <c r="H8" i="3"/>
  <c r="G115" i="3"/>
  <c r="G84" i="3"/>
  <c r="D9" i="3"/>
  <c r="E112" i="3"/>
  <c r="D67" i="3"/>
  <c r="E29" i="3"/>
  <c r="E13" i="3"/>
  <c r="E17" i="3"/>
  <c r="F71" i="3"/>
  <c r="D17" i="3"/>
  <c r="G5" i="3"/>
  <c r="D116" i="3"/>
  <c r="F112" i="3"/>
  <c r="E103" i="3"/>
  <c r="G68" i="3"/>
  <c r="H42" i="3"/>
  <c r="E32" i="3"/>
  <c r="E12" i="3"/>
  <c r="F16" i="3"/>
  <c r="G8" i="3"/>
  <c r="H115" i="3"/>
  <c r="D41" i="3"/>
  <c r="E86" i="3"/>
  <c r="D37" i="3"/>
  <c r="D32" i="3"/>
  <c r="H104" i="3"/>
  <c r="D61" i="3"/>
  <c r="E116" i="3"/>
  <c r="H112" i="3"/>
  <c r="F65" i="3"/>
  <c r="D96" i="3"/>
  <c r="D91" i="3"/>
  <c r="E65" i="3"/>
  <c r="D55" i="3"/>
  <c r="H68" i="3"/>
  <c r="D65" i="3"/>
  <c r="E40" i="3"/>
  <c r="E115" i="3"/>
  <c r="D103" i="3"/>
  <c r="D68" i="3"/>
  <c r="F20" i="3"/>
  <c r="E16" i="3"/>
  <c r="E102" i="3"/>
  <c r="E92" i="3"/>
  <c r="F67" i="3"/>
  <c r="G29" i="3"/>
  <c r="F15" i="3"/>
  <c r="H49" i="3"/>
  <c r="F69" i="3"/>
  <c r="F53" i="3"/>
  <c r="G49" i="3"/>
  <c r="G77" i="3"/>
  <c r="H102" i="3"/>
  <c r="F77" i="3"/>
  <c r="E53" i="3"/>
  <c r="F49" i="3"/>
  <c r="F41" i="3"/>
  <c r="E11" i="3"/>
  <c r="G41" i="3"/>
  <c r="E69" i="3"/>
  <c r="D113" i="3"/>
  <c r="D88" i="3"/>
  <c r="D81" i="3"/>
  <c r="E77" i="3"/>
  <c r="D69" i="3"/>
  <c r="G62" i="3"/>
  <c r="D53" i="3"/>
  <c r="D49" i="3"/>
  <c r="E41" i="3"/>
  <c r="F32" i="3"/>
  <c r="E23" i="3"/>
  <c r="H45" i="3"/>
  <c r="G45" i="3"/>
  <c r="F45" i="3"/>
  <c r="E27" i="3"/>
  <c r="H103" i="3"/>
  <c r="F96" i="3"/>
  <c r="G92" i="3"/>
  <c r="E82" i="3"/>
  <c r="D60" i="3"/>
  <c r="F55" i="3"/>
  <c r="G48" i="3"/>
  <c r="E45" i="3"/>
  <c r="D27" i="3"/>
  <c r="G22" i="3"/>
  <c r="H17" i="3"/>
  <c r="H92" i="3"/>
  <c r="F103" i="3"/>
  <c r="E100" i="3"/>
  <c r="E88" i="3"/>
  <c r="H77" i="3"/>
  <c r="H73" i="3"/>
  <c r="F64" i="3"/>
  <c r="G34" i="3"/>
  <c r="G17" i="3"/>
  <c r="E48" i="3"/>
  <c r="D40" i="3"/>
  <c r="D29" i="3"/>
  <c r="G66" i="3"/>
  <c r="E39" i="3"/>
  <c r="H28" i="3"/>
  <c r="F24" i="3"/>
  <c r="H20" i="3"/>
  <c r="H13" i="3"/>
  <c r="E114" i="3"/>
  <c r="H107" i="3"/>
  <c r="D114" i="3"/>
  <c r="F111" i="3"/>
  <c r="H101" i="3"/>
  <c r="D97" i="3"/>
  <c r="D44" i="3"/>
  <c r="F28" i="3"/>
  <c r="D24" i="3"/>
  <c r="G20" i="3"/>
  <c r="G13" i="3"/>
  <c r="F7" i="3"/>
  <c r="H58" i="3"/>
  <c r="E25" i="3"/>
  <c r="E5" i="3"/>
  <c r="D115" i="3"/>
  <c r="H109" i="3"/>
  <c r="F101" i="3"/>
  <c r="D73" i="3"/>
  <c r="F48" i="3"/>
  <c r="D25" i="3"/>
  <c r="D5" i="3"/>
  <c r="G37" i="3"/>
  <c r="H37" i="3"/>
  <c r="F109" i="3"/>
  <c r="G97" i="3"/>
  <c r="F95" i="3"/>
  <c r="H88" i="3"/>
  <c r="H60" i="3"/>
  <c r="H114" i="3"/>
  <c r="G100" i="3"/>
  <c r="F97" i="3"/>
  <c r="E95" i="3"/>
  <c r="G60" i="3"/>
  <c r="F37" i="3"/>
  <c r="H24" i="3"/>
  <c r="H18" i="3"/>
  <c r="G109" i="3"/>
  <c r="H95" i="3"/>
  <c r="E109" i="3"/>
  <c r="G88" i="3"/>
  <c r="H53" i="3"/>
  <c r="G114" i="3"/>
  <c r="F100" i="3"/>
  <c r="E97" i="3"/>
  <c r="D95" i="3"/>
  <c r="D63" i="3"/>
  <c r="F60" i="3"/>
  <c r="F47" i="3"/>
  <c r="G24" i="3"/>
  <c r="D21" i="3"/>
  <c r="E64" i="3"/>
  <c r="E47" i="3"/>
  <c r="E20" i="3"/>
  <c r="E15" i="3"/>
  <c r="E111" i="3"/>
  <c r="H105" i="3"/>
  <c r="H89" i="3"/>
  <c r="H57" i="3"/>
  <c r="H33" i="3"/>
  <c r="H81" i="3"/>
  <c r="H61" i="3"/>
  <c r="G57" i="3"/>
  <c r="H21" i="3"/>
  <c r="H98" i="3"/>
  <c r="H93" i="3"/>
  <c r="H91" i="3"/>
  <c r="F89" i="3"/>
  <c r="G44" i="3"/>
  <c r="F35" i="3"/>
  <c r="F33" i="3"/>
  <c r="G9" i="3"/>
  <c r="F75" i="3"/>
  <c r="H40" i="3"/>
  <c r="E105" i="3"/>
  <c r="F91" i="3"/>
  <c r="F44" i="3"/>
  <c r="G40" i="3"/>
  <c r="E35" i="3"/>
  <c r="E33" i="3"/>
  <c r="G25" i="3"/>
  <c r="F21" i="3"/>
  <c r="F9" i="3"/>
  <c r="G105" i="3"/>
  <c r="G89" i="3"/>
  <c r="G33" i="3"/>
  <c r="H9" i="3"/>
  <c r="F105" i="3"/>
  <c r="G81" i="3"/>
  <c r="G61" i="3"/>
  <c r="F57" i="3"/>
  <c r="H25" i="3"/>
  <c r="G21" i="3"/>
  <c r="G98" i="3"/>
  <c r="E93" i="3"/>
  <c r="E89" i="3"/>
  <c r="F81" i="3"/>
  <c r="E75" i="3"/>
  <c r="H69" i="3"/>
  <c r="H65" i="3"/>
  <c r="F63" i="3"/>
  <c r="F61" i="3"/>
  <c r="E57" i="3"/>
  <c r="H14" i="3"/>
  <c r="E91" i="3"/>
  <c r="H48" i="3"/>
  <c r="E44" i="3"/>
  <c r="G39" i="3"/>
  <c r="H39" i="3"/>
  <c r="F39" i="3"/>
  <c r="F36" i="3"/>
  <c r="G36" i="3"/>
  <c r="D36" i="3"/>
  <c r="E36" i="3"/>
  <c r="H36" i="3"/>
  <c r="F52" i="3"/>
  <c r="H52" i="3"/>
  <c r="G52" i="3"/>
  <c r="D70" i="3"/>
  <c r="E70" i="3"/>
  <c r="F70" i="3"/>
  <c r="H70" i="3"/>
  <c r="G70" i="3"/>
  <c r="D10" i="3"/>
  <c r="E10" i="3"/>
  <c r="F10" i="3"/>
  <c r="H10" i="3"/>
  <c r="G113" i="3"/>
  <c r="H113" i="3"/>
  <c r="F113" i="3"/>
  <c r="G19" i="3"/>
  <c r="H19" i="3"/>
  <c r="E19" i="3"/>
  <c r="F19" i="3"/>
  <c r="D26" i="3"/>
  <c r="E26" i="3"/>
  <c r="F26" i="3"/>
  <c r="G26" i="3"/>
  <c r="H26" i="3"/>
  <c r="G99" i="3"/>
  <c r="H99" i="3"/>
  <c r="E99" i="3"/>
  <c r="F99" i="3"/>
  <c r="D94" i="3"/>
  <c r="F94" i="3"/>
  <c r="E94" i="3"/>
  <c r="H94" i="3"/>
  <c r="G94" i="3"/>
  <c r="G83" i="3"/>
  <c r="E83" i="3"/>
  <c r="H83" i="3"/>
  <c r="F83" i="3"/>
  <c r="E52" i="3"/>
  <c r="D6" i="3"/>
  <c r="E6" i="3"/>
  <c r="F6" i="3"/>
  <c r="H6" i="3"/>
  <c r="D50" i="3"/>
  <c r="E50" i="3"/>
  <c r="F50" i="3"/>
  <c r="G50" i="3"/>
  <c r="H50" i="3"/>
  <c r="D90" i="3"/>
  <c r="F90" i="3"/>
  <c r="E90" i="3"/>
  <c r="G90" i="3"/>
  <c r="E80" i="3"/>
  <c r="G80" i="3"/>
  <c r="D80" i="3"/>
  <c r="F80" i="3"/>
  <c r="H80" i="3"/>
  <c r="E72" i="3"/>
  <c r="G72" i="3"/>
  <c r="H72" i="3"/>
  <c r="F72" i="3"/>
  <c r="D52" i="3"/>
  <c r="D30" i="3"/>
  <c r="E30" i="3"/>
  <c r="F30" i="3"/>
  <c r="H30" i="3"/>
  <c r="D76" i="3"/>
  <c r="E76" i="3"/>
  <c r="G76" i="3"/>
  <c r="H76" i="3"/>
  <c r="F76" i="3"/>
  <c r="E56" i="3"/>
  <c r="F56" i="3"/>
  <c r="G56" i="3"/>
  <c r="H56" i="3"/>
  <c r="D56" i="3"/>
  <c r="D106" i="3"/>
  <c r="F106" i="3"/>
  <c r="G106" i="3"/>
  <c r="H106" i="3"/>
  <c r="D46" i="3"/>
  <c r="E46" i="3"/>
  <c r="F46" i="3"/>
  <c r="G46" i="3"/>
  <c r="E108" i="3"/>
  <c r="F108" i="3"/>
  <c r="G108" i="3"/>
  <c r="H108" i="3"/>
  <c r="F12" i="3"/>
  <c r="H12" i="3"/>
  <c r="G12" i="3"/>
  <c r="H85" i="3"/>
  <c r="D85" i="3"/>
  <c r="F85" i="3"/>
  <c r="E85" i="3"/>
  <c r="G85" i="3"/>
  <c r="E104" i="3"/>
  <c r="F104" i="3"/>
  <c r="G79" i="3"/>
  <c r="H79" i="3"/>
  <c r="E79" i="3"/>
  <c r="F79" i="3"/>
  <c r="G59" i="3"/>
  <c r="H59" i="3"/>
  <c r="F59" i="3"/>
  <c r="D42" i="3"/>
  <c r="E42" i="3"/>
  <c r="F42" i="3"/>
  <c r="D28" i="3"/>
  <c r="E28" i="3"/>
  <c r="D102" i="3"/>
  <c r="F102" i="3"/>
  <c r="D86" i="3"/>
  <c r="F86" i="3"/>
  <c r="G75" i="3"/>
  <c r="H75" i="3"/>
  <c r="G71" i="3"/>
  <c r="H71" i="3"/>
  <c r="D71" i="3"/>
  <c r="F116" i="3"/>
  <c r="G116" i="3"/>
  <c r="G11" i="3"/>
  <c r="H11" i="3"/>
  <c r="F11" i="3"/>
  <c r="D22" i="3"/>
  <c r="E22" i="3"/>
  <c r="F22" i="3"/>
  <c r="E8" i="3"/>
  <c r="F8" i="3"/>
  <c r="G64" i="3"/>
  <c r="H64" i="3"/>
  <c r="D62" i="3"/>
  <c r="E62" i="3"/>
  <c r="F62" i="3"/>
  <c r="D84" i="3"/>
  <c r="E84" i="3"/>
  <c r="G51" i="3"/>
  <c r="H51" i="3"/>
  <c r="D51" i="3"/>
  <c r="E51" i="3"/>
  <c r="G31" i="3"/>
  <c r="H31" i="3"/>
  <c r="E31" i="3"/>
  <c r="F31" i="3"/>
  <c r="D78" i="3"/>
  <c r="E78" i="3"/>
  <c r="F78" i="3"/>
  <c r="D74" i="3"/>
  <c r="E74" i="3"/>
  <c r="F74" i="3"/>
  <c r="G74" i="3"/>
  <c r="H74" i="3"/>
  <c r="G67" i="3"/>
  <c r="H67" i="3"/>
  <c r="D58" i="3"/>
  <c r="E58" i="3"/>
  <c r="F58" i="3"/>
  <c r="D54" i="3"/>
  <c r="E54" i="3"/>
  <c r="F54" i="3"/>
  <c r="H54" i="3"/>
  <c r="G47" i="3"/>
  <c r="H47" i="3"/>
  <c r="H32" i="3"/>
  <c r="G27" i="3"/>
  <c r="H27" i="3"/>
  <c r="G23" i="3"/>
  <c r="H23" i="3"/>
  <c r="D23" i="3"/>
  <c r="G16" i="3"/>
  <c r="H16" i="3"/>
  <c r="D14" i="3"/>
  <c r="E14" i="3"/>
  <c r="F14" i="3"/>
  <c r="G7" i="3"/>
  <c r="H7" i="3"/>
  <c r="F93" i="3"/>
  <c r="G93" i="3"/>
  <c r="G55" i="3"/>
  <c r="H55" i="3"/>
  <c r="G35" i="3"/>
  <c r="H35" i="3"/>
  <c r="G107" i="3"/>
  <c r="E107" i="3"/>
  <c r="F107" i="3"/>
  <c r="D82" i="3"/>
  <c r="F82" i="3"/>
  <c r="H82" i="3"/>
  <c r="D110" i="3"/>
  <c r="F110" i="3"/>
  <c r="G110" i="3"/>
  <c r="H110" i="3"/>
  <c r="H111" i="3"/>
  <c r="D101" i="3"/>
  <c r="E101" i="3"/>
  <c r="G96" i="3"/>
  <c r="H96" i="3"/>
  <c r="G87" i="3"/>
  <c r="D87" i="3"/>
  <c r="E87" i="3"/>
  <c r="D34" i="3"/>
  <c r="E34" i="3"/>
  <c r="F34" i="3"/>
  <c r="G63" i="3"/>
  <c r="H63" i="3"/>
  <c r="D38" i="3"/>
  <c r="E38" i="3"/>
  <c r="F38" i="3"/>
  <c r="G15" i="3"/>
  <c r="H15" i="3"/>
  <c r="D98" i="3"/>
  <c r="F98" i="3"/>
  <c r="D66" i="3"/>
  <c r="E66" i="3"/>
  <c r="F66" i="3"/>
  <c r="G43" i="3"/>
  <c r="H43" i="3"/>
  <c r="D18" i="3"/>
  <c r="E18" i="3"/>
  <c r="F18" i="3"/>
  <c r="AJ2" i="1"/>
  <c r="E22" i="8"/>
  <c r="E17" i="8"/>
  <c r="E15" i="8"/>
  <c r="E33" i="8"/>
  <c r="E27" i="8"/>
  <c r="I4" i="1"/>
  <c r="E5" i="8"/>
  <c r="E6" i="8"/>
  <c r="E7" i="8"/>
  <c r="E8" i="8"/>
  <c r="E9" i="8"/>
  <c r="E10" i="8"/>
  <c r="E11" i="8"/>
  <c r="E12" i="8"/>
  <c r="E13" i="8"/>
  <c r="E14" i="8"/>
  <c r="E16" i="8"/>
  <c r="E18" i="8"/>
  <c r="E19" i="8"/>
  <c r="E20" i="8"/>
  <c r="E21" i="8"/>
  <c r="E23" i="8"/>
  <c r="E24" i="8"/>
  <c r="E25" i="8"/>
  <c r="E26" i="8"/>
  <c r="E28" i="8"/>
  <c r="E29" i="8"/>
  <c r="E30" i="8"/>
  <c r="E31" i="8"/>
  <c r="E32" i="8"/>
  <c r="E34" i="8"/>
  <c r="E35" i="8"/>
  <c r="E36" i="8"/>
  <c r="E37" i="8"/>
  <c r="E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4" i="8"/>
  <c r="AD2" i="1"/>
  <c r="AE2" i="1"/>
  <c r="AG2" i="1"/>
  <c r="AH2" i="1"/>
  <c r="AI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F2" i="1"/>
  <c r="BG2" i="1"/>
  <c r="I29" i="8"/>
  <c r="D10" i="9"/>
  <c r="C10" i="9"/>
  <c r="E4" i="12" l="1"/>
  <c r="Q4" i="12"/>
  <c r="C100" i="3"/>
  <c r="I112" i="3"/>
  <c r="I68" i="3"/>
  <c r="C29" i="3"/>
  <c r="H29" i="1" s="1"/>
  <c r="I65" i="3"/>
  <c r="C112" i="3"/>
  <c r="C45" i="3"/>
  <c r="I92" i="3"/>
  <c r="C115" i="3"/>
  <c r="H115" i="1" s="1"/>
  <c r="C68" i="3"/>
  <c r="I29" i="3"/>
  <c r="C77" i="3"/>
  <c r="C17" i="3"/>
  <c r="I77" i="3"/>
  <c r="I60" i="3"/>
  <c r="I49" i="3"/>
  <c r="I115" i="3"/>
  <c r="C12" i="3"/>
  <c r="C103" i="3"/>
  <c r="H103" i="1" s="1"/>
  <c r="I17" i="3"/>
  <c r="I41" i="3"/>
  <c r="C92" i="3"/>
  <c r="I88" i="3"/>
  <c r="C88" i="3"/>
  <c r="C41" i="3"/>
  <c r="C53" i="3"/>
  <c r="I109" i="3"/>
  <c r="C32" i="3"/>
  <c r="C49" i="3"/>
  <c r="I69" i="3"/>
  <c r="C48" i="3"/>
  <c r="I48" i="3"/>
  <c r="I103" i="3"/>
  <c r="I45" i="3"/>
  <c r="I20" i="3"/>
  <c r="I100" i="3"/>
  <c r="C13" i="3"/>
  <c r="C73" i="3"/>
  <c r="I73" i="3"/>
  <c r="C114" i="3"/>
  <c r="H114" i="1" s="1"/>
  <c r="C109" i="3"/>
  <c r="I24" i="3"/>
  <c r="C61" i="3"/>
  <c r="C37" i="3"/>
  <c r="C95" i="3"/>
  <c r="C97" i="3"/>
  <c r="I114" i="3"/>
  <c r="C60" i="3"/>
  <c r="I13" i="3"/>
  <c r="I111" i="3"/>
  <c r="C5" i="3"/>
  <c r="C44" i="3"/>
  <c r="I37" i="3"/>
  <c r="I5" i="3"/>
  <c r="I95" i="3"/>
  <c r="I97" i="3"/>
  <c r="I53" i="3"/>
  <c r="C24" i="3"/>
  <c r="I91" i="3"/>
  <c r="C57" i="3"/>
  <c r="C116" i="3"/>
  <c r="H116" i="1" s="1"/>
  <c r="I25" i="3"/>
  <c r="I27" i="3"/>
  <c r="I67" i="3"/>
  <c r="C16" i="3"/>
  <c r="C25" i="3"/>
  <c r="C33" i="3"/>
  <c r="C64" i="3"/>
  <c r="I81" i="3"/>
  <c r="I11" i="3"/>
  <c r="C96" i="3"/>
  <c r="C63" i="3"/>
  <c r="C59" i="3"/>
  <c r="C31" i="3"/>
  <c r="C93" i="3"/>
  <c r="I63" i="3"/>
  <c r="I40" i="3"/>
  <c r="C43" i="3"/>
  <c r="C69" i="3"/>
  <c r="C65" i="3"/>
  <c r="C75" i="3"/>
  <c r="C7" i="3"/>
  <c r="H7" i="1" s="1"/>
  <c r="C20" i="3"/>
  <c r="C89" i="3"/>
  <c r="C9" i="3"/>
  <c r="I57" i="3"/>
  <c r="I44" i="3"/>
  <c r="I21" i="3"/>
  <c r="C91" i="3"/>
  <c r="I32" i="3"/>
  <c r="C81" i="3"/>
  <c r="C105" i="3"/>
  <c r="I9" i="3"/>
  <c r="C21" i="3"/>
  <c r="I99" i="3"/>
  <c r="I33" i="3"/>
  <c r="I43" i="3"/>
  <c r="C83" i="3"/>
  <c r="I61" i="3"/>
  <c r="C40" i="3"/>
  <c r="C55" i="3"/>
  <c r="I113" i="3"/>
  <c r="C27" i="3"/>
  <c r="C113" i="3"/>
  <c r="I83" i="3"/>
  <c r="C15" i="3"/>
  <c r="C79" i="3"/>
  <c r="I19" i="3"/>
  <c r="I75" i="3"/>
  <c r="I7" i="3"/>
  <c r="I12" i="3"/>
  <c r="C99" i="3"/>
  <c r="I79" i="3"/>
  <c r="I108" i="3"/>
  <c r="C47" i="3"/>
  <c r="I31" i="3"/>
  <c r="I8" i="3"/>
  <c r="C35" i="3"/>
  <c r="I105" i="3"/>
  <c r="I104" i="3"/>
  <c r="I39" i="3"/>
  <c r="C67" i="3"/>
  <c r="I89" i="3"/>
  <c r="C107" i="3"/>
  <c r="C11" i="3"/>
  <c r="C72" i="3"/>
  <c r="I59" i="3"/>
  <c r="C56" i="3"/>
  <c r="I56" i="3"/>
  <c r="I26" i="3"/>
  <c r="C26" i="3"/>
  <c r="I71" i="3"/>
  <c r="C71" i="3"/>
  <c r="C19" i="3"/>
  <c r="I47" i="3"/>
  <c r="C108" i="3"/>
  <c r="C111" i="3"/>
  <c r="I82" i="3"/>
  <c r="C82" i="3"/>
  <c r="C104" i="3"/>
  <c r="C36" i="3"/>
  <c r="I36" i="3"/>
  <c r="C8" i="3"/>
  <c r="I35" i="3"/>
  <c r="C101" i="3"/>
  <c r="I101" i="3"/>
  <c r="C78" i="3"/>
  <c r="I78" i="3"/>
  <c r="I6" i="3"/>
  <c r="C6" i="3"/>
  <c r="C18" i="3"/>
  <c r="I18" i="3"/>
  <c r="I50" i="3"/>
  <c r="C50" i="3"/>
  <c r="I93" i="3"/>
  <c r="C70" i="3"/>
  <c r="I70" i="3"/>
  <c r="C46" i="3"/>
  <c r="I46" i="3"/>
  <c r="I38" i="3"/>
  <c r="C38" i="3"/>
  <c r="I28" i="3"/>
  <c r="C28" i="3"/>
  <c r="C39" i="3"/>
  <c r="I107" i="3"/>
  <c r="I30" i="3"/>
  <c r="C30" i="3"/>
  <c r="I72" i="3"/>
  <c r="I64" i="3"/>
  <c r="C22" i="3"/>
  <c r="I22" i="3"/>
  <c r="I102" i="3"/>
  <c r="C102" i="3"/>
  <c r="C85" i="3"/>
  <c r="I85" i="3"/>
  <c r="I106" i="3"/>
  <c r="C106" i="3"/>
  <c r="I15" i="3"/>
  <c r="I52" i="3"/>
  <c r="C52" i="3"/>
  <c r="I23" i="3"/>
  <c r="C23" i="3"/>
  <c r="C42" i="3"/>
  <c r="I42" i="3"/>
  <c r="C110" i="3"/>
  <c r="I110" i="3"/>
  <c r="I90" i="3"/>
  <c r="C90" i="3"/>
  <c r="I34" i="3"/>
  <c r="C34" i="3"/>
  <c r="C58" i="3"/>
  <c r="I58" i="3"/>
  <c r="C84" i="3"/>
  <c r="I84" i="3"/>
  <c r="I55" i="3"/>
  <c r="C80" i="3"/>
  <c r="I80" i="3"/>
  <c r="C94" i="3"/>
  <c r="I94" i="3"/>
  <c r="I87" i="3"/>
  <c r="C87" i="3"/>
  <c r="C62" i="3"/>
  <c r="H62" i="1" s="1"/>
  <c r="I62" i="3"/>
  <c r="C66" i="3"/>
  <c r="I66" i="3"/>
  <c r="C14" i="3"/>
  <c r="I14" i="3"/>
  <c r="I51" i="3"/>
  <c r="C51" i="3"/>
  <c r="C76" i="3"/>
  <c r="I76" i="3"/>
  <c r="C98" i="3"/>
  <c r="I98" i="3"/>
  <c r="I96" i="3"/>
  <c r="I16" i="3"/>
  <c r="I54" i="3"/>
  <c r="C54" i="3"/>
  <c r="C74" i="3"/>
  <c r="I74" i="3"/>
  <c r="I116" i="3"/>
  <c r="C86" i="3"/>
  <c r="I86" i="3"/>
  <c r="I10" i="3"/>
  <c r="C10" i="3"/>
  <c r="BE2" i="1"/>
  <c r="AF2" i="1"/>
  <c r="I37" i="8"/>
  <c r="I36" i="8"/>
  <c r="I35" i="8"/>
  <c r="I34" i="8"/>
  <c r="I33" i="8"/>
  <c r="I32" i="8"/>
  <c r="I31" i="8"/>
  <c r="I30" i="8"/>
  <c r="I28" i="8"/>
  <c r="I27" i="8"/>
  <c r="I26" i="8"/>
  <c r="I25" i="8"/>
  <c r="I24" i="8"/>
  <c r="I23" i="8"/>
  <c r="I21" i="8"/>
  <c r="I20" i="8"/>
  <c r="I19" i="8"/>
  <c r="I18" i="8"/>
  <c r="I17" i="8"/>
  <c r="I16" i="8"/>
  <c r="I14" i="8"/>
  <c r="I13" i="8"/>
  <c r="I12" i="8"/>
  <c r="I11" i="8"/>
  <c r="I10" i="8"/>
  <c r="I9" i="8"/>
  <c r="I8" i="8"/>
  <c r="I7" i="8"/>
  <c r="I6" i="8"/>
  <c r="I5" i="8"/>
  <c r="I4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E2" i="8"/>
  <c r="D2" i="8"/>
  <c r="D22" i="2"/>
  <c r="C22" i="2"/>
  <c r="H28" i="1" l="1"/>
  <c r="H89" i="1"/>
  <c r="H98" i="1"/>
  <c r="H73" i="1"/>
  <c r="H20" i="1"/>
  <c r="H54" i="1"/>
  <c r="H84" i="1"/>
  <c r="H9" i="1"/>
  <c r="H52" i="1"/>
  <c r="H58" i="1"/>
  <c r="H8" i="1"/>
  <c r="H79" i="1"/>
  <c r="H87" i="1"/>
  <c r="H36" i="1"/>
  <c r="H51" i="1"/>
  <c r="H108" i="1"/>
  <c r="H15" i="1"/>
  <c r="H110" i="1"/>
  <c r="H42" i="1"/>
  <c r="H78" i="1"/>
  <c r="H12" i="1"/>
  <c r="H111" i="1"/>
  <c r="H93" i="1"/>
  <c r="H23" i="1"/>
  <c r="H22" i="1"/>
  <c r="H46" i="1"/>
  <c r="H19" i="1"/>
  <c r="H67" i="1"/>
  <c r="H31" i="1"/>
  <c r="H6" i="1"/>
  <c r="H14" i="1"/>
  <c r="H101" i="1"/>
  <c r="H59" i="1"/>
  <c r="H44" i="1"/>
  <c r="H49" i="1"/>
  <c r="G14" i="12" s="1"/>
  <c r="H91" i="1"/>
  <c r="H71" i="1"/>
  <c r="H70" i="1"/>
  <c r="H96" i="1"/>
  <c r="S7" i="12" s="1"/>
  <c r="H92" i="1"/>
  <c r="H33" i="1"/>
  <c r="G12" i="12" s="1"/>
  <c r="H63" i="1"/>
  <c r="H106" i="1"/>
  <c r="H10" i="1"/>
  <c r="H76" i="1"/>
  <c r="H94" i="1"/>
  <c r="H85" i="1"/>
  <c r="H24" i="1"/>
  <c r="H34" i="1"/>
  <c r="H86" i="1"/>
  <c r="H11" i="1"/>
  <c r="H55" i="1"/>
  <c r="H16" i="1"/>
  <c r="H68" i="1"/>
  <c r="H102" i="1"/>
  <c r="H80" i="1"/>
  <c r="H107" i="1"/>
  <c r="H99" i="1"/>
  <c r="H74" i="1"/>
  <c r="H45" i="1"/>
  <c r="H66" i="1"/>
  <c r="H21" i="1"/>
  <c r="H60" i="1"/>
  <c r="H13" i="1"/>
  <c r="H112" i="1"/>
  <c r="H50" i="1"/>
  <c r="H75" i="1"/>
  <c r="H88" i="1"/>
  <c r="G17" i="12" s="1"/>
  <c r="H109" i="1"/>
  <c r="H97" i="1"/>
  <c r="H90" i="1"/>
  <c r="H113" i="1"/>
  <c r="H105" i="1"/>
  <c r="H65" i="1"/>
  <c r="H64" i="1"/>
  <c r="H48" i="1"/>
  <c r="H53" i="1"/>
  <c r="H39" i="1"/>
  <c r="H56" i="1"/>
  <c r="H18" i="1"/>
  <c r="H82" i="1"/>
  <c r="H47" i="1"/>
  <c r="H81" i="1"/>
  <c r="H100" i="1"/>
  <c r="H69" i="1"/>
  <c r="H17" i="1"/>
  <c r="H37" i="1"/>
  <c r="H83" i="1"/>
  <c r="H77" i="1"/>
  <c r="H61" i="1"/>
  <c r="H26" i="1"/>
  <c r="S5" i="12" s="1"/>
  <c r="H35" i="1"/>
  <c r="H104" i="1"/>
  <c r="H72" i="1"/>
  <c r="H43" i="1"/>
  <c r="H25" i="1"/>
  <c r="H95" i="1"/>
  <c r="H5" i="1"/>
  <c r="H2" i="8"/>
  <c r="S12" i="12" l="1"/>
  <c r="S4" i="12"/>
  <c r="S6" i="12"/>
  <c r="G5" i="12"/>
  <c r="S9" i="12"/>
  <c r="G4" i="12"/>
  <c r="S3" i="12"/>
  <c r="G7" i="12"/>
  <c r="S11" i="12"/>
  <c r="G6" i="12"/>
  <c r="G13" i="12"/>
  <c r="G9" i="12"/>
  <c r="G11" i="12"/>
  <c r="H29" i="8"/>
  <c r="H7" i="8" l="1"/>
  <c r="H27" i="8"/>
  <c r="H32" i="8"/>
  <c r="H26" i="8"/>
  <c r="H25" i="8"/>
  <c r="H37" i="8"/>
  <c r="H28" i="8"/>
  <c r="H35" i="8"/>
  <c r="H36" i="8"/>
  <c r="H34" i="8"/>
  <c r="H30" i="8"/>
  <c r="H33" i="8"/>
  <c r="H31" i="8"/>
  <c r="AC2" i="1" l="1"/>
  <c r="AB2" i="1"/>
  <c r="AA2" i="1"/>
  <c r="E2" i="1" l="1"/>
  <c r="D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B4" i="3" l="1"/>
  <c r="U13" i="3" s="1"/>
  <c r="A4" i="3"/>
  <c r="J2" i="1"/>
  <c r="H2" i="1" s="1"/>
  <c r="O13" i="3" l="1"/>
  <c r="U10" i="3"/>
  <c r="U11" i="3"/>
  <c r="U12" i="3"/>
  <c r="M13" i="3"/>
  <c r="O12" i="3"/>
  <c r="Q13" i="3"/>
  <c r="O11" i="3"/>
  <c r="U9" i="3"/>
  <c r="Q12" i="3"/>
  <c r="S13" i="3"/>
  <c r="S12" i="3"/>
  <c r="U8" i="3"/>
  <c r="O10" i="3"/>
  <c r="H4" i="3"/>
  <c r="D4" i="3"/>
  <c r="M12" i="3" s="1"/>
  <c r="F4" i="3"/>
  <c r="E4" i="3"/>
  <c r="G4" i="3"/>
  <c r="U7" i="3"/>
  <c r="U5" i="3"/>
  <c r="Q5" i="3"/>
  <c r="O7" i="3"/>
  <c r="Q6" i="3"/>
  <c r="O8" i="3"/>
  <c r="U4" i="3"/>
  <c r="S5" i="3"/>
  <c r="Q7" i="3"/>
  <c r="O4" i="3"/>
  <c r="O5" i="3"/>
  <c r="S6" i="3"/>
  <c r="Q8" i="3"/>
  <c r="M5" i="3"/>
  <c r="M4" i="3"/>
  <c r="O6" i="3"/>
  <c r="S7" i="3"/>
  <c r="Q9" i="3"/>
  <c r="M6" i="3"/>
  <c r="S8" i="3"/>
  <c r="Q10" i="3"/>
  <c r="M7" i="3"/>
  <c r="S9" i="3"/>
  <c r="Q11" i="3"/>
  <c r="M8" i="3"/>
  <c r="S10" i="3"/>
  <c r="M9" i="3"/>
  <c r="S11" i="3"/>
  <c r="Q4" i="3"/>
  <c r="U6" i="3"/>
  <c r="O9" i="3"/>
  <c r="S4" i="3"/>
  <c r="M11" i="3" l="1"/>
  <c r="M10" i="3"/>
  <c r="C4" i="3"/>
  <c r="H30" i="1" s="1"/>
  <c r="I4" i="3"/>
  <c r="H2" i="3"/>
  <c r="E2" i="3"/>
  <c r="G2" i="3"/>
  <c r="D2" i="3"/>
  <c r="F2" i="3"/>
  <c r="H27" i="1" l="1"/>
  <c r="G16" i="12" s="1"/>
  <c r="H41" i="1"/>
  <c r="H38" i="1"/>
  <c r="H32" i="1"/>
  <c r="S10" i="12" s="1"/>
  <c r="H57" i="1"/>
  <c r="H40" i="1"/>
  <c r="H20" i="8"/>
  <c r="H24" i="8"/>
  <c r="H23" i="8"/>
  <c r="H21" i="8"/>
  <c r="H14" i="8"/>
  <c r="H19" i="8"/>
  <c r="H8" i="8"/>
  <c r="H18" i="8"/>
  <c r="H12" i="8"/>
  <c r="H17" i="8"/>
  <c r="H11" i="8"/>
  <c r="H10" i="8"/>
  <c r="H4" i="1"/>
  <c r="S8" i="12" s="1"/>
  <c r="H16" i="8"/>
  <c r="H13" i="8"/>
  <c r="H9" i="8"/>
  <c r="H5" i="8"/>
  <c r="H4" i="8"/>
  <c r="H6" i="8"/>
  <c r="G3" i="12" l="1"/>
  <c r="G8" i="12"/>
  <c r="G15" i="12"/>
  <c r="G10" i="12"/>
  <c r="G74" i="1"/>
  <c r="G10" i="1"/>
  <c r="G23" i="1"/>
  <c r="G39" i="1"/>
  <c r="G28" i="1"/>
  <c r="G26" i="1"/>
  <c r="G46" i="1"/>
  <c r="G78" i="1"/>
  <c r="G44" i="1"/>
  <c r="G114" i="1"/>
  <c r="G9" i="1"/>
  <c r="G15" i="1"/>
  <c r="G37" i="1"/>
  <c r="G34" i="1"/>
  <c r="G70" i="1"/>
  <c r="G104" i="1"/>
  <c r="G7" i="1"/>
  <c r="G17" i="1"/>
  <c r="G71" i="1"/>
  <c r="G43" i="1"/>
  <c r="G103" i="1"/>
  <c r="G55" i="1"/>
  <c r="G18" i="1"/>
  <c r="G108" i="1"/>
  <c r="G53" i="1"/>
  <c r="G92" i="1"/>
  <c r="G41" i="1"/>
  <c r="G94" i="1"/>
  <c r="G27" i="1"/>
  <c r="G75" i="1"/>
  <c r="G83" i="1"/>
  <c r="G95" i="1"/>
  <c r="G50" i="1"/>
  <c r="G51" i="1"/>
  <c r="G88" i="1"/>
  <c r="G72" i="1"/>
  <c r="G77" i="1"/>
  <c r="G105" i="1"/>
  <c r="G35" i="1"/>
  <c r="G82" i="1"/>
  <c r="G19" i="1"/>
  <c r="G49" i="1"/>
  <c r="G81" i="1"/>
  <c r="G8" i="1"/>
  <c r="G62" i="1"/>
  <c r="G45" i="1"/>
  <c r="G65" i="1"/>
  <c r="G80" i="1"/>
  <c r="G54" i="1"/>
  <c r="G100" i="1"/>
  <c r="G57" i="1"/>
  <c r="G113" i="1"/>
  <c r="G16" i="1"/>
  <c r="G11" i="1"/>
  <c r="G21" i="1"/>
  <c r="G42" i="1"/>
  <c r="G38" i="1"/>
  <c r="G66" i="1"/>
  <c r="G40" i="1"/>
  <c r="G59" i="1"/>
  <c r="G32" i="1"/>
  <c r="G61" i="1"/>
  <c r="G106" i="1"/>
  <c r="G36" i="1"/>
  <c r="G107" i="1"/>
  <c r="G12" i="1"/>
  <c r="G24" i="1"/>
  <c r="G56" i="1"/>
  <c r="G73" i="1"/>
  <c r="G29" i="1"/>
  <c r="G33" i="1"/>
  <c r="G101" i="1"/>
  <c r="G52" i="1"/>
  <c r="G68" i="1"/>
  <c r="G96" i="1"/>
  <c r="G89" i="1"/>
  <c r="G69" i="1"/>
  <c r="G91" i="1"/>
  <c r="G6" i="1"/>
  <c r="G102" i="1"/>
  <c r="G84" i="1"/>
  <c r="G99" i="1"/>
  <c r="G67" i="1"/>
  <c r="G112" i="1"/>
  <c r="G48" i="1"/>
  <c r="G47" i="1"/>
  <c r="G98" i="1"/>
  <c r="G87" i="1"/>
  <c r="G58" i="1"/>
  <c r="G90" i="1"/>
  <c r="G116" i="1"/>
  <c r="G13" i="1"/>
  <c r="G63" i="1"/>
  <c r="G97" i="1"/>
  <c r="G20" i="1"/>
  <c r="G14" i="1"/>
  <c r="G110" i="1"/>
  <c r="G85" i="1"/>
  <c r="G22" i="1"/>
  <c r="G25" i="1"/>
  <c r="G115" i="1"/>
  <c r="G30" i="1"/>
  <c r="G111" i="1"/>
  <c r="G60" i="1"/>
  <c r="G79" i="1"/>
  <c r="G93" i="1"/>
  <c r="G76" i="1"/>
  <c r="G31" i="1"/>
  <c r="G64" i="1"/>
  <c r="G109" i="1"/>
  <c r="G86" i="1"/>
  <c r="G5" i="1"/>
  <c r="G4" i="1"/>
  <c r="G29" i="8"/>
  <c r="G36" i="8"/>
  <c r="G37" i="8"/>
  <c r="G23" i="8"/>
  <c r="G18" i="8"/>
  <c r="G7" i="8"/>
  <c r="G10" i="8"/>
  <c r="G16" i="8"/>
  <c r="G24" i="8"/>
  <c r="G13" i="8"/>
  <c r="G31" i="8"/>
  <c r="G12" i="8"/>
  <c r="G17" i="8"/>
  <c r="G32" i="8"/>
  <c r="G35" i="8"/>
  <c r="G14" i="8"/>
  <c r="G34" i="8"/>
  <c r="G28" i="8"/>
  <c r="G27" i="8"/>
  <c r="G25" i="8"/>
  <c r="G26" i="8"/>
  <c r="G5" i="8"/>
  <c r="G4" i="8"/>
  <c r="G6" i="8"/>
  <c r="G19" i="8"/>
  <c r="G11" i="8"/>
  <c r="G21" i="8"/>
  <c r="G33" i="8"/>
  <c r="G8" i="8"/>
  <c r="G9" i="8"/>
  <c r="G30" i="8"/>
  <c r="G20" i="8"/>
</calcChain>
</file>

<file path=xl/sharedStrings.xml><?xml version="1.0" encoding="utf-8"?>
<sst xmlns="http://schemas.openxmlformats.org/spreadsheetml/2006/main" count="3974" uniqueCount="405">
  <si>
    <t>C/S DF (0.2)</t>
  </si>
  <si>
    <t>Assist (0.2)</t>
  </si>
  <si>
    <t>Balance (0.3)</t>
  </si>
  <si>
    <t>오운용</t>
  </si>
  <si>
    <t>인원</t>
  </si>
  <si>
    <t>이연길</t>
  </si>
  <si>
    <t>이름</t>
  </si>
  <si>
    <t>이상현</t>
  </si>
  <si>
    <t>정효태</t>
  </si>
  <si>
    <t>전하늘</t>
  </si>
  <si>
    <t>21R</t>
  </si>
  <si>
    <t>7R</t>
  </si>
  <si>
    <t>9R</t>
  </si>
  <si>
    <t>2R</t>
  </si>
  <si>
    <t>김부건</t>
  </si>
  <si>
    <t>4R</t>
  </si>
  <si>
    <t>30R</t>
  </si>
  <si>
    <t>16R</t>
  </si>
  <si>
    <t>11R</t>
  </si>
  <si>
    <t>23R</t>
  </si>
  <si>
    <t>이종수</t>
  </si>
  <si>
    <t>13R</t>
  </si>
  <si>
    <t>3R</t>
  </si>
  <si>
    <t>15R</t>
  </si>
  <si>
    <t>28R</t>
  </si>
  <si>
    <t>35R</t>
  </si>
  <si>
    <t>5R</t>
  </si>
  <si>
    <t>구교훈</t>
  </si>
  <si>
    <t>33R</t>
  </si>
  <si>
    <t>17R</t>
  </si>
  <si>
    <t>22R</t>
  </si>
  <si>
    <t>19R</t>
  </si>
  <si>
    <t>김민성</t>
  </si>
  <si>
    <t>32R</t>
  </si>
  <si>
    <t>이성관</t>
  </si>
  <si>
    <t>27R</t>
  </si>
  <si>
    <t>김태호</t>
  </si>
  <si>
    <t>○</t>
  </si>
  <si>
    <t>권민석</t>
  </si>
  <si>
    <t>박형기</t>
  </si>
  <si>
    <t>조휘두</t>
  </si>
  <si>
    <t>신재경</t>
  </si>
  <si>
    <t>5Q</t>
  </si>
  <si>
    <t>4Q</t>
  </si>
  <si>
    <t>최경영</t>
  </si>
  <si>
    <t>유진효</t>
  </si>
  <si>
    <t>카톡</t>
  </si>
  <si>
    <t>1R</t>
  </si>
  <si>
    <t>윤성용</t>
  </si>
  <si>
    <t>이승민</t>
  </si>
  <si>
    <t>강종찬</t>
  </si>
  <si>
    <t>순위</t>
  </si>
  <si>
    <t>김인혁</t>
  </si>
  <si>
    <t>8R</t>
  </si>
  <si>
    <t>29R</t>
  </si>
  <si>
    <t>김용현</t>
  </si>
  <si>
    <t>20R</t>
  </si>
  <si>
    <t>김종준</t>
  </si>
  <si>
    <t>12R</t>
  </si>
  <si>
    <t>10R</t>
  </si>
  <si>
    <t>25R</t>
  </si>
  <si>
    <t>14R</t>
  </si>
  <si>
    <t>6R</t>
  </si>
  <si>
    <t>26R</t>
  </si>
  <si>
    <t>조현우</t>
  </si>
  <si>
    <t>18R</t>
  </si>
  <si>
    <t>김송환</t>
  </si>
  <si>
    <t>1Q</t>
  </si>
  <si>
    <t>24R</t>
  </si>
  <si>
    <t>한중희</t>
  </si>
  <si>
    <t>31R</t>
  </si>
  <si>
    <t>이정석</t>
  </si>
  <si>
    <t>임수철</t>
  </si>
  <si>
    <t>2Q</t>
  </si>
  <si>
    <t>34R</t>
  </si>
  <si>
    <t>3Q</t>
  </si>
  <si>
    <t>김청축</t>
  </si>
  <si>
    <t>윤창현</t>
  </si>
  <si>
    <t>개인 Point</t>
  </si>
  <si>
    <t>출석 Point</t>
  </si>
  <si>
    <t>Clean Sheet</t>
  </si>
  <si>
    <t>종합 Point</t>
  </si>
  <si>
    <t>Goal (0.2)</t>
  </si>
  <si>
    <t>C/S GK</t>
  </si>
  <si>
    <t>Goal</t>
  </si>
  <si>
    <t>Check</t>
  </si>
  <si>
    <t>Balance</t>
  </si>
  <si>
    <t>Assist</t>
  </si>
  <si>
    <t>Rank</t>
  </si>
  <si>
    <t>Round</t>
  </si>
  <si>
    <t>C/S DF</t>
  </si>
  <si>
    <t>Total</t>
  </si>
  <si>
    <t>김대현</t>
    <phoneticPr fontId="2" type="noConversion"/>
  </si>
  <si>
    <t>김동인</t>
    <phoneticPr fontId="2" type="noConversion"/>
  </si>
  <si>
    <t>이새샘</t>
    <phoneticPr fontId="2" type="noConversion"/>
  </si>
  <si>
    <t>장희도</t>
    <phoneticPr fontId="2" type="noConversion"/>
  </si>
  <si>
    <t>장희준</t>
    <phoneticPr fontId="2" type="noConversion"/>
  </si>
  <si>
    <t>전나현</t>
    <phoneticPr fontId="2" type="noConversion"/>
  </si>
  <si>
    <t>최승훈</t>
    <phoneticPr fontId="2" type="noConversion"/>
  </si>
  <si>
    <t>유정훈</t>
    <phoneticPr fontId="2" type="noConversion"/>
  </si>
  <si>
    <t>정재명</t>
    <phoneticPr fontId="2" type="noConversion"/>
  </si>
  <si>
    <t>안진혁</t>
    <phoneticPr fontId="2" type="noConversion"/>
  </si>
  <si>
    <t>정효태</t>
    <phoneticPr fontId="2" type="noConversion"/>
  </si>
  <si>
    <t>신재경</t>
    <phoneticPr fontId="2" type="noConversion"/>
  </si>
  <si>
    <t>김부건</t>
    <phoneticPr fontId="2" type="noConversion"/>
  </si>
  <si>
    <t>김용현</t>
    <phoneticPr fontId="2" type="noConversion"/>
  </si>
  <si>
    <t>강종찬</t>
    <phoneticPr fontId="2" type="noConversion"/>
  </si>
  <si>
    <t>김인혁</t>
    <phoneticPr fontId="2" type="noConversion"/>
  </si>
  <si>
    <t>김형원</t>
    <phoneticPr fontId="2" type="noConversion"/>
  </si>
  <si>
    <t>김송환</t>
    <phoneticPr fontId="2" type="noConversion"/>
  </si>
  <si>
    <t>최경영</t>
    <phoneticPr fontId="2" type="noConversion"/>
  </si>
  <si>
    <t>강기혁</t>
    <phoneticPr fontId="2" type="noConversion"/>
  </si>
  <si>
    <t>오우영</t>
    <phoneticPr fontId="2" type="noConversion"/>
  </si>
  <si>
    <t>김기문</t>
    <phoneticPr fontId="2" type="noConversion"/>
  </si>
  <si>
    <t>김범기</t>
    <phoneticPr fontId="2" type="noConversion"/>
  </si>
  <si>
    <t>홍석준</t>
    <phoneticPr fontId="2" type="noConversion"/>
  </si>
  <si>
    <t>Total</t>
    <phoneticPr fontId="2" type="noConversion"/>
  </si>
  <si>
    <t>이성관</t>
    <phoneticPr fontId="2" type="noConversion"/>
  </si>
  <si>
    <t>유니폼</t>
    <phoneticPr fontId="2" type="noConversion"/>
  </si>
  <si>
    <t>박정호</t>
    <phoneticPr fontId="2" type="noConversion"/>
  </si>
  <si>
    <t>문준수</t>
    <phoneticPr fontId="2" type="noConversion"/>
  </si>
  <si>
    <t>강일수</t>
    <phoneticPr fontId="2" type="noConversion"/>
  </si>
  <si>
    <t>민건호</t>
    <phoneticPr fontId="2" type="noConversion"/>
  </si>
  <si>
    <t>전성환</t>
    <phoneticPr fontId="2" type="noConversion"/>
  </si>
  <si>
    <t>최령창</t>
    <phoneticPr fontId="2" type="noConversion"/>
  </si>
  <si>
    <t>임호연</t>
    <phoneticPr fontId="2" type="noConversion"/>
  </si>
  <si>
    <t>황석원</t>
    <phoneticPr fontId="2" type="noConversion"/>
  </si>
  <si>
    <t>김민준</t>
    <phoneticPr fontId="2" type="noConversion"/>
  </si>
  <si>
    <t>유인상</t>
    <phoneticPr fontId="2" type="noConversion"/>
  </si>
  <si>
    <t>바람막이</t>
    <phoneticPr fontId="2" type="noConversion"/>
  </si>
  <si>
    <t>Home</t>
    <phoneticPr fontId="2" type="noConversion"/>
  </si>
  <si>
    <t>Away</t>
    <phoneticPr fontId="2" type="noConversion"/>
  </si>
  <si>
    <t>C/S GK (0.2)</t>
    <phoneticPr fontId="2" type="noConversion"/>
  </si>
  <si>
    <t>김태관</t>
    <phoneticPr fontId="2" type="noConversion"/>
  </si>
  <si>
    <t>손경호</t>
    <phoneticPr fontId="2" type="noConversion"/>
  </si>
  <si>
    <t>황재순</t>
    <phoneticPr fontId="2" type="noConversion"/>
  </si>
  <si>
    <t>박하빈</t>
    <phoneticPr fontId="2" type="noConversion"/>
  </si>
  <si>
    <t>김덕준</t>
    <phoneticPr fontId="2" type="noConversion"/>
  </si>
  <si>
    <t>김성수</t>
    <phoneticPr fontId="2" type="noConversion"/>
  </si>
  <si>
    <t>박주연</t>
    <phoneticPr fontId="2" type="noConversion"/>
  </si>
  <si>
    <t>차승원</t>
    <phoneticPr fontId="2" type="noConversion"/>
  </si>
  <si>
    <t>김용빈</t>
    <phoneticPr fontId="2" type="noConversion"/>
  </si>
  <si>
    <t>김민섭</t>
    <phoneticPr fontId="2" type="noConversion"/>
  </si>
  <si>
    <t>임태환</t>
    <phoneticPr fontId="2" type="noConversion"/>
  </si>
  <si>
    <t>득점왕</t>
    <phoneticPr fontId="2" type="noConversion"/>
  </si>
  <si>
    <t>도움왕</t>
    <phoneticPr fontId="2" type="noConversion"/>
  </si>
  <si>
    <t>수비왕1</t>
    <phoneticPr fontId="2" type="noConversion"/>
  </si>
  <si>
    <t>밸런스왕</t>
    <phoneticPr fontId="2" type="noConversion"/>
  </si>
  <si>
    <t>키퍼왕</t>
    <phoneticPr fontId="2" type="noConversion"/>
  </si>
  <si>
    <t>항목</t>
    <phoneticPr fontId="2" type="noConversion"/>
  </si>
  <si>
    <t>설명</t>
    <phoneticPr fontId="2" type="noConversion"/>
  </si>
  <si>
    <t>최다 득점</t>
    <phoneticPr fontId="2" type="noConversion"/>
  </si>
  <si>
    <t>최다 도움</t>
    <phoneticPr fontId="2" type="noConversion"/>
  </si>
  <si>
    <t>최다 밸런스</t>
    <phoneticPr fontId="2" type="noConversion"/>
  </si>
  <si>
    <t>최다 클린시트</t>
    <phoneticPr fontId="2" type="noConversion"/>
  </si>
  <si>
    <t>MVP</t>
    <phoneticPr fontId="2" type="noConversion"/>
  </si>
  <si>
    <t>비고</t>
    <phoneticPr fontId="2" type="noConversion"/>
  </si>
  <si>
    <t>신인왕1</t>
    <phoneticPr fontId="2" type="noConversion"/>
  </si>
  <si>
    <t>신인왕2</t>
    <phoneticPr fontId="2" type="noConversion"/>
  </si>
  <si>
    <t>신인왕3</t>
    <phoneticPr fontId="2" type="noConversion"/>
  </si>
  <si>
    <t>베스트11</t>
    <phoneticPr fontId="2" type="noConversion"/>
  </si>
  <si>
    <t>수상자 제외 최다 종합 포인트</t>
    <phoneticPr fontId="2" type="noConversion"/>
  </si>
  <si>
    <t>전년도 등록 최다 출석</t>
    <phoneticPr fontId="2" type="noConversion"/>
  </si>
  <si>
    <t>전년/금년 합산 최다 출석</t>
    <phoneticPr fontId="2" type="noConversion"/>
  </si>
  <si>
    <t>역대 수상자 제외</t>
    <phoneticPr fontId="2" type="noConversion"/>
  </si>
  <si>
    <t>김영태</t>
    <phoneticPr fontId="2" type="noConversion"/>
  </si>
  <si>
    <t>이민재</t>
    <phoneticPr fontId="2" type="noConversion"/>
  </si>
  <si>
    <t>5Q</t>
    <phoneticPr fontId="2" type="noConversion"/>
  </si>
  <si>
    <t>김태성</t>
    <phoneticPr fontId="2" type="noConversion"/>
  </si>
  <si>
    <t>36R</t>
  </si>
  <si>
    <t>37R</t>
  </si>
  <si>
    <t>38R</t>
  </si>
  <si>
    <t>39R</t>
  </si>
  <si>
    <t>40R</t>
  </si>
  <si>
    <t>41R</t>
  </si>
  <si>
    <t>42R</t>
  </si>
  <si>
    <t>43R</t>
  </si>
  <si>
    <t>44R</t>
  </si>
  <si>
    <t>45R</t>
  </si>
  <si>
    <t>김우인</t>
    <phoneticPr fontId="2" type="noConversion"/>
  </si>
  <si>
    <t>금년 등록 최다 출석</t>
    <phoneticPr fontId="2" type="noConversion"/>
  </si>
  <si>
    <t>추천</t>
    <phoneticPr fontId="2" type="noConversion"/>
  </si>
  <si>
    <t>운영진 추천</t>
    <phoneticPr fontId="2" type="noConversion"/>
  </si>
  <si>
    <t>이상민</t>
    <phoneticPr fontId="2" type="noConversion"/>
  </si>
  <si>
    <t>46R</t>
    <phoneticPr fontId="2" type="noConversion"/>
  </si>
  <si>
    <t>기존 MVP 제외, 중복 수상 가능</t>
    <phoneticPr fontId="2" type="noConversion"/>
  </si>
  <si>
    <t>노민준</t>
    <phoneticPr fontId="2" type="noConversion"/>
  </si>
  <si>
    <t>47R</t>
    <phoneticPr fontId="2" type="noConversion"/>
  </si>
  <si>
    <t>최다 출석</t>
    <phoneticPr fontId="2" type="noConversion"/>
  </si>
  <si>
    <t>1순위</t>
    <phoneticPr fontId="2" type="noConversion"/>
  </si>
  <si>
    <t>2순위</t>
    <phoneticPr fontId="2" type="noConversion"/>
  </si>
  <si>
    <t>3순위</t>
    <phoneticPr fontId="2" type="noConversion"/>
  </si>
  <si>
    <t>4순위</t>
    <phoneticPr fontId="2" type="noConversion"/>
  </si>
  <si>
    <t>5순위</t>
    <phoneticPr fontId="2" type="noConversion"/>
  </si>
  <si>
    <t>이재민</t>
    <phoneticPr fontId="2" type="noConversion"/>
  </si>
  <si>
    <t>1명</t>
    <phoneticPr fontId="2" type="noConversion"/>
  </si>
  <si>
    <t>2명</t>
    <phoneticPr fontId="2" type="noConversion"/>
  </si>
  <si>
    <t>5명</t>
    <phoneticPr fontId="2" type="noConversion"/>
  </si>
  <si>
    <t>※ 24년 DF 2명, GK 1명에서 DF/GK 통합 2명으로 수정</t>
    <phoneticPr fontId="2" type="noConversion"/>
  </si>
  <si>
    <t>※ 베스트11 종합 포인트 5명에서 종합 포인트 3명, 출석 3명으로 수정</t>
    <phoneticPr fontId="2" type="noConversion"/>
  </si>
  <si>
    <t>한의현</t>
    <phoneticPr fontId="2" type="noConversion"/>
  </si>
  <si>
    <t>입단일</t>
    <phoneticPr fontId="2" type="noConversion"/>
  </si>
  <si>
    <t>48R</t>
  </si>
  <si>
    <t>49R</t>
  </si>
  <si>
    <t>50R</t>
  </si>
  <si>
    <t>박주현</t>
    <phoneticPr fontId="2" type="noConversion"/>
  </si>
  <si>
    <t>김성준</t>
    <phoneticPr fontId="2" type="noConversion"/>
  </si>
  <si>
    <t>정민수</t>
    <phoneticPr fontId="2" type="noConversion"/>
  </si>
  <si>
    <t>조진한</t>
    <phoneticPr fontId="2" type="noConversion"/>
  </si>
  <si>
    <t>출전</t>
  </si>
  <si>
    <t>MATCH</t>
    <phoneticPr fontId="2" type="noConversion"/>
  </si>
  <si>
    <t>FM</t>
    <phoneticPr fontId="2" type="noConversion"/>
  </si>
  <si>
    <t>vs Team</t>
    <phoneticPr fontId="2" type="noConversion"/>
  </si>
  <si>
    <t>Semi-Pro</t>
    <phoneticPr fontId="2" type="noConversion"/>
  </si>
  <si>
    <t>김민성</t>
    <phoneticPr fontId="2" type="noConversion"/>
  </si>
  <si>
    <t>OG</t>
    <phoneticPr fontId="2" type="noConversion"/>
  </si>
  <si>
    <t>김종준</t>
    <phoneticPr fontId="2" type="noConversion"/>
  </si>
  <si>
    <t>김덕준</t>
  </si>
  <si>
    <t>이상현</t>
    <phoneticPr fontId="2" type="noConversion"/>
  </si>
  <si>
    <t>윤창현</t>
    <phoneticPr fontId="2" type="noConversion"/>
  </si>
  <si>
    <t>박지훈</t>
    <phoneticPr fontId="2" type="noConversion"/>
  </si>
  <si>
    <t>석건</t>
    <phoneticPr fontId="2" type="noConversion"/>
  </si>
  <si>
    <t>윤성용</t>
    <phoneticPr fontId="2" type="noConversion"/>
  </si>
  <si>
    <t>이연길</t>
    <phoneticPr fontId="2" type="noConversion"/>
  </si>
  <si>
    <t>DS FC</t>
    <phoneticPr fontId="2" type="noConversion"/>
  </si>
  <si>
    <t>김현우</t>
    <phoneticPr fontId="2" type="noConversion"/>
  </si>
  <si>
    <t>류서진</t>
    <phoneticPr fontId="2" type="noConversion"/>
  </si>
  <si>
    <t>손경호</t>
  </si>
  <si>
    <t>김성준</t>
  </si>
  <si>
    <t>김병문</t>
    <phoneticPr fontId="2" type="noConversion"/>
  </si>
  <si>
    <t>강기혁</t>
  </si>
  <si>
    <t>유정훈</t>
  </si>
  <si>
    <t>이태한</t>
    <phoneticPr fontId="2" type="noConversion"/>
  </si>
  <si>
    <t>대상</t>
    <phoneticPr fontId="2" type="noConversion"/>
  </si>
  <si>
    <t>황재순</t>
  </si>
  <si>
    <t>김우인</t>
  </si>
  <si>
    <t>한의현</t>
  </si>
  <si>
    <t>정민수</t>
  </si>
  <si>
    <t>임태환</t>
  </si>
  <si>
    <t>문준수</t>
  </si>
  <si>
    <t>이승윤</t>
    <phoneticPr fontId="2" type="noConversion"/>
  </si>
  <si>
    <t>김병준</t>
    <phoneticPr fontId="2" type="noConversion"/>
  </si>
  <si>
    <t>Assist</t>
    <phoneticPr fontId="2" type="noConversion"/>
  </si>
  <si>
    <t>강관석</t>
    <phoneticPr fontId="2" type="noConversion"/>
  </si>
  <si>
    <t>이호행</t>
    <phoneticPr fontId="2" type="noConversion"/>
  </si>
  <si>
    <t>이동우</t>
    <phoneticPr fontId="2" type="noConversion"/>
  </si>
  <si>
    <t>인원</t>
    <phoneticPr fontId="2" type="noConversion"/>
  </si>
  <si>
    <t>서셈</t>
    <phoneticPr fontId="2" type="noConversion"/>
  </si>
  <si>
    <t>양근수</t>
    <phoneticPr fontId="2" type="noConversion"/>
  </si>
  <si>
    <t>유휴민</t>
    <phoneticPr fontId="2" type="noConversion"/>
  </si>
  <si>
    <t>김민찬</t>
    <phoneticPr fontId="2" type="noConversion"/>
  </si>
  <si>
    <t>송명섭</t>
    <phoneticPr fontId="2" type="noConversion"/>
  </si>
  <si>
    <t>박주연</t>
  </si>
  <si>
    <t>박주연</t>
    <phoneticPr fontId="2" type="noConversion"/>
  </si>
  <si>
    <t>신재경</t>
    <phoneticPr fontId="2" type="noConversion"/>
  </si>
  <si>
    <t>Top Score</t>
    <phoneticPr fontId="2" type="noConversion"/>
  </si>
  <si>
    <t>Best Eleven</t>
    <phoneticPr fontId="2" type="noConversion"/>
  </si>
  <si>
    <t>Best MF</t>
    <phoneticPr fontId="2" type="noConversion"/>
  </si>
  <si>
    <t>Best DF/GK</t>
    <phoneticPr fontId="2" type="noConversion"/>
  </si>
  <si>
    <t>부분</t>
    <phoneticPr fontId="2" type="noConversion"/>
  </si>
  <si>
    <t>MVP (교대)</t>
    <phoneticPr fontId="2" type="noConversion"/>
  </si>
  <si>
    <t>Best Attendance</t>
    <phoneticPr fontId="2" type="noConversion"/>
  </si>
  <si>
    <t>Young Player</t>
    <phoneticPr fontId="2" type="noConversion"/>
  </si>
  <si>
    <t>최종 수상자</t>
    <phoneticPr fontId="2" type="noConversion"/>
  </si>
  <si>
    <t>문준수</t>
    <phoneticPr fontId="2" type="noConversion"/>
  </si>
  <si>
    <t>강기혁</t>
    <phoneticPr fontId="2" type="noConversion"/>
  </si>
  <si>
    <t>김대현</t>
    <phoneticPr fontId="2" type="noConversion"/>
  </si>
  <si>
    <t>김송환</t>
    <phoneticPr fontId="2" type="noConversion"/>
  </si>
  <si>
    <t>황석원</t>
    <phoneticPr fontId="2" type="noConversion"/>
  </si>
  <si>
    <t>최경영</t>
    <phoneticPr fontId="2" type="noConversion"/>
  </si>
  <si>
    <t>김부건</t>
    <phoneticPr fontId="2" type="noConversion"/>
  </si>
  <si>
    <t>정효태</t>
    <phoneticPr fontId="2" type="noConversion"/>
  </si>
  <si>
    <t>김성수</t>
    <phoneticPr fontId="2" type="noConversion"/>
  </si>
  <si>
    <t>이성관</t>
    <phoneticPr fontId="2" type="noConversion"/>
  </si>
  <si>
    <t>홍석준</t>
    <phoneticPr fontId="2" type="noConversion"/>
  </si>
  <si>
    <t>김형원</t>
    <phoneticPr fontId="2" type="noConversion"/>
  </si>
  <si>
    <t>손경호</t>
    <phoneticPr fontId="2" type="noConversion"/>
  </si>
  <si>
    <t>Best MF</t>
    <phoneticPr fontId="2" type="noConversion"/>
  </si>
  <si>
    <t>Score</t>
    <phoneticPr fontId="2" type="noConversion"/>
  </si>
  <si>
    <t>Assist</t>
    <phoneticPr fontId="2" type="noConversion"/>
  </si>
  <si>
    <t>Best DF</t>
    <phoneticPr fontId="2" type="noConversion"/>
  </si>
  <si>
    <t>Best GK</t>
    <phoneticPr fontId="2" type="noConversion"/>
  </si>
  <si>
    <t>Young Player</t>
    <phoneticPr fontId="2" type="noConversion"/>
  </si>
  <si>
    <t>비고</t>
    <phoneticPr fontId="2" type="noConversion"/>
  </si>
  <si>
    <t>인원</t>
    <phoneticPr fontId="2" type="noConversion"/>
  </si>
  <si>
    <t>김민섭</t>
  </si>
  <si>
    <t>비고1</t>
    <phoneticPr fontId="2" type="noConversion"/>
  </si>
  <si>
    <t>출석</t>
    <phoneticPr fontId="2" type="noConversion"/>
  </si>
  <si>
    <t>수상이력</t>
    <phoneticPr fontId="2" type="noConversion"/>
  </si>
  <si>
    <t>김인혁</t>
    <phoneticPr fontId="2" type="noConversion"/>
  </si>
  <si>
    <t>유정훈</t>
    <phoneticPr fontId="2" type="noConversion"/>
  </si>
  <si>
    <t>최경영</t>
    <phoneticPr fontId="2" type="noConversion"/>
  </si>
  <si>
    <t>문준수</t>
    <phoneticPr fontId="2" type="noConversion"/>
  </si>
  <si>
    <t>김종준</t>
    <phoneticPr fontId="2" type="noConversion"/>
  </si>
  <si>
    <t>김용현</t>
    <phoneticPr fontId="2" type="noConversion"/>
  </si>
  <si>
    <t>손경호</t>
    <phoneticPr fontId="2" type="noConversion"/>
  </si>
  <si>
    <t>강기혁</t>
    <phoneticPr fontId="2" type="noConversion"/>
  </si>
  <si>
    <t>김성수</t>
    <phoneticPr fontId="2" type="noConversion"/>
  </si>
  <si>
    <t>신재경</t>
    <phoneticPr fontId="2" type="noConversion"/>
  </si>
  <si>
    <t>김성준</t>
    <phoneticPr fontId="2" type="noConversion"/>
  </si>
  <si>
    <t>김우인</t>
    <phoneticPr fontId="2" type="noConversion"/>
  </si>
  <si>
    <t>이성관</t>
    <phoneticPr fontId="2" type="noConversion"/>
  </si>
  <si>
    <t>김송환</t>
    <phoneticPr fontId="2" type="noConversion"/>
  </si>
  <si>
    <t>임태환</t>
    <phoneticPr fontId="2" type="noConversion"/>
  </si>
  <si>
    <t>조진한</t>
    <phoneticPr fontId="2" type="noConversion"/>
  </si>
  <si>
    <t>김태성</t>
    <phoneticPr fontId="2" type="noConversion"/>
  </si>
  <si>
    <t>신종훈</t>
    <phoneticPr fontId="2" type="noConversion"/>
  </si>
  <si>
    <t>홍현석</t>
    <phoneticPr fontId="2" type="noConversion"/>
  </si>
  <si>
    <t>출전</t>
    <phoneticPr fontId="2" type="noConversion"/>
  </si>
  <si>
    <t>조현우</t>
    <phoneticPr fontId="2" type="noConversion"/>
  </si>
  <si>
    <t>유상근</t>
    <phoneticPr fontId="2" type="noConversion"/>
  </si>
  <si>
    <t>레이븐</t>
    <phoneticPr fontId="2" type="noConversion"/>
  </si>
  <si>
    <t>강관석</t>
  </si>
  <si>
    <t>유상근</t>
    <phoneticPr fontId="2" type="noConversion"/>
  </si>
  <si>
    <t>한중희</t>
    <phoneticPr fontId="2" type="noConversion"/>
  </si>
  <si>
    <t>전나현</t>
  </si>
  <si>
    <t>김기문</t>
  </si>
  <si>
    <t>AB</t>
    <phoneticPr fontId="2" type="noConversion"/>
  </si>
  <si>
    <t>BC</t>
    <phoneticPr fontId="2" type="noConversion"/>
  </si>
  <si>
    <t>CA</t>
    <phoneticPr fontId="2" type="noConversion"/>
  </si>
  <si>
    <t>김승철</t>
    <phoneticPr fontId="2" type="noConversion"/>
  </si>
  <si>
    <t>양진웅</t>
    <phoneticPr fontId="2" type="noConversion"/>
  </si>
  <si>
    <t>1Q</t>
    <phoneticPr fontId="2" type="noConversion"/>
  </si>
  <si>
    <t>BLUE</t>
    <phoneticPr fontId="2" type="noConversion"/>
  </si>
  <si>
    <t>RED</t>
    <phoneticPr fontId="2" type="noConversion"/>
  </si>
  <si>
    <t>임수철</t>
    <phoneticPr fontId="2" type="noConversion"/>
  </si>
  <si>
    <t>김준수</t>
    <phoneticPr fontId="2" type="noConversion"/>
  </si>
  <si>
    <t>전하늘</t>
    <phoneticPr fontId="2" type="noConversion"/>
  </si>
  <si>
    <t>classic</t>
    <phoneticPr fontId="2" type="noConversion"/>
  </si>
  <si>
    <t>challenge</t>
    <phoneticPr fontId="2" type="noConversion"/>
  </si>
  <si>
    <t>김김문</t>
    <phoneticPr fontId="2" type="noConversion"/>
  </si>
  <si>
    <t>김태완</t>
    <phoneticPr fontId="2" type="noConversion"/>
  </si>
  <si>
    <t>송인호</t>
    <phoneticPr fontId="2" type="noConversion"/>
  </si>
  <si>
    <t>김청축</t>
    <phoneticPr fontId="2" type="noConversion"/>
  </si>
  <si>
    <t>DTRO</t>
    <phoneticPr fontId="2" type="noConversion"/>
  </si>
  <si>
    <t>무명FC</t>
    <phoneticPr fontId="2" type="noConversion"/>
  </si>
  <si>
    <t>황석원</t>
  </si>
  <si>
    <t>김관석</t>
    <phoneticPr fontId="2" type="noConversion"/>
  </si>
  <si>
    <t>이찬영</t>
    <phoneticPr fontId="2" type="noConversion"/>
  </si>
  <si>
    <t>최경여</t>
    <phoneticPr fontId="2" type="noConversion"/>
  </si>
  <si>
    <t>조진한</t>
  </si>
  <si>
    <t>김호경</t>
    <phoneticPr fontId="2" type="noConversion"/>
  </si>
  <si>
    <t>윤원택</t>
    <phoneticPr fontId="2" type="noConversion"/>
  </si>
  <si>
    <t>정영하</t>
    <phoneticPr fontId="2" type="noConversion"/>
  </si>
  <si>
    <t>허동혁</t>
    <phoneticPr fontId="2" type="noConversion"/>
  </si>
  <si>
    <t>송윤상</t>
    <phoneticPr fontId="2" type="noConversion"/>
  </si>
  <si>
    <t>HOME</t>
    <phoneticPr fontId="2" type="noConversion"/>
  </si>
  <si>
    <t>AWAY</t>
    <phoneticPr fontId="2" type="noConversion"/>
  </si>
  <si>
    <t>이승윤</t>
  </si>
  <si>
    <t>정재명</t>
  </si>
  <si>
    <t>송명섭</t>
  </si>
  <si>
    <t>BLACK</t>
    <phoneticPr fontId="2" type="noConversion"/>
  </si>
  <si>
    <t>송윤상</t>
  </si>
  <si>
    <t>김진호</t>
    <phoneticPr fontId="2" type="noConversion"/>
  </si>
  <si>
    <t>CS</t>
    <phoneticPr fontId="2" type="noConversion"/>
  </si>
  <si>
    <t>김종혁</t>
    <phoneticPr fontId="2" type="noConversion"/>
  </si>
  <si>
    <t>손동범</t>
    <phoneticPr fontId="2" type="noConversion"/>
  </si>
  <si>
    <t>이정범</t>
    <phoneticPr fontId="2" type="noConversion"/>
  </si>
  <si>
    <t>6Q</t>
    <phoneticPr fontId="2" type="noConversion"/>
  </si>
  <si>
    <t>ORANGE</t>
    <phoneticPr fontId="2" type="noConversion"/>
  </si>
  <si>
    <t>오우영</t>
  </si>
  <si>
    <t>김태한</t>
    <phoneticPr fontId="2" type="noConversion"/>
  </si>
  <si>
    <t>허동혁</t>
  </si>
  <si>
    <t>권주용</t>
    <phoneticPr fontId="2" type="noConversion"/>
  </si>
  <si>
    <t>이민재</t>
  </si>
  <si>
    <t>오진환</t>
    <phoneticPr fontId="2" type="noConversion"/>
  </si>
  <si>
    <t>황철우</t>
    <phoneticPr fontId="2" type="noConversion"/>
  </si>
  <si>
    <t>Black
Blue</t>
    <phoneticPr fontId="2" type="noConversion"/>
  </si>
  <si>
    <t>Black
Red</t>
    <phoneticPr fontId="2" type="noConversion"/>
  </si>
  <si>
    <t>Red
Blue</t>
    <phoneticPr fontId="2" type="noConversion"/>
  </si>
  <si>
    <t>양진웅</t>
  </si>
  <si>
    <t>샌재경</t>
    <phoneticPr fontId="2" type="noConversion"/>
  </si>
  <si>
    <t>Red
Black</t>
    <phoneticPr fontId="2" type="noConversion"/>
  </si>
  <si>
    <t>김준영</t>
    <phoneticPr fontId="2" type="noConversion"/>
  </si>
  <si>
    <t>입단년도</t>
    <phoneticPr fontId="2" type="noConversion"/>
  </si>
  <si>
    <t>Origin</t>
    <phoneticPr fontId="2" type="noConversion"/>
  </si>
  <si>
    <t>김용만</t>
    <phoneticPr fontId="2" type="noConversion"/>
  </si>
  <si>
    <t>김태양</t>
    <phoneticPr fontId="2" type="noConversion"/>
  </si>
  <si>
    <t>차승원</t>
  </si>
  <si>
    <t>유상근</t>
  </si>
  <si>
    <t>최령창</t>
  </si>
  <si>
    <t>노민준</t>
  </si>
  <si>
    <t>홍석준</t>
  </si>
  <si>
    <t>김성수</t>
  </si>
  <si>
    <t>지급</t>
    <phoneticPr fontId="2" type="noConversion"/>
  </si>
  <si>
    <t>1차</t>
    <phoneticPr fontId="2" type="noConversion"/>
  </si>
  <si>
    <t>강도일</t>
    <phoneticPr fontId="2" type="noConversion"/>
  </si>
  <si>
    <t>이준수</t>
    <phoneticPr fontId="2" type="noConversion"/>
  </si>
  <si>
    <t>한상규</t>
    <phoneticPr fontId="2" type="noConversion"/>
  </si>
  <si>
    <t>김용만</t>
  </si>
  <si>
    <t>이경석</t>
    <phoneticPr fontId="2" type="noConversion"/>
  </si>
  <si>
    <t>출전 Point</t>
  </si>
  <si>
    <t>포인트</t>
    <phoneticPr fontId="2" type="noConversion"/>
  </si>
  <si>
    <t>Point</t>
    <phoneticPr fontId="2" type="noConversion"/>
  </si>
  <si>
    <t>TOP SCORER</t>
    <phoneticPr fontId="2" type="noConversion"/>
  </si>
  <si>
    <t>BEST ASSIST</t>
    <phoneticPr fontId="2" type="noConversion"/>
  </si>
  <si>
    <t>MF OF THE SEASON</t>
    <phoneticPr fontId="2" type="noConversion"/>
  </si>
  <si>
    <t>DF OF THE SEASON</t>
    <phoneticPr fontId="2" type="noConversion"/>
  </si>
  <si>
    <t>유휴민</t>
  </si>
  <si>
    <t>Best Eleven
&amp;
MVP</t>
    <phoneticPr fontId="2" type="noConversion"/>
  </si>
  <si>
    <t>단장추천</t>
    <phoneticPr fontId="2" type="noConversion"/>
  </si>
  <si>
    <t>대회준비</t>
    <phoneticPr fontId="2" type="noConversion"/>
  </si>
  <si>
    <t>운동장예약</t>
    <phoneticPr fontId="2" type="noConversion"/>
  </si>
  <si>
    <t>이승민</t>
    <phoneticPr fontId="2" type="noConversion"/>
  </si>
  <si>
    <t>총무10년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</si>
</sst>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m&quot;/&quot;d;@"/>
    <numFmt numFmtId="177" formatCode="0.0"/>
    <numFmt numFmtId="178" formatCode="0_);[Red]\(0\)"/>
  </numFmts>
  <fonts count="8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sz val="10"/>
      <color rgb="FF2828A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9EDF5"/>
        <bgColor indexed="64"/>
      </patternFill>
    </fill>
    <fill>
      <patternFill patternType="solid">
        <fgColor rgb="FFE7F4F6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BFAF7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6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76" fontId="1" fillId="13" borderId="1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8" fontId="1" fillId="0" borderId="3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12" borderId="1" xfId="1" applyFont="1" applyFill="1" applyBorder="1" applyAlignment="1">
      <alignment horizontal="center" vertical="center"/>
    </xf>
    <xf numFmtId="0" fontId="1" fillId="13" borderId="1" xfId="1" applyFont="1" applyFill="1" applyBorder="1" applyAlignment="1">
      <alignment horizontal="center" vertical="center"/>
    </xf>
    <xf numFmtId="0" fontId="1" fillId="14" borderId="1" xfId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8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8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8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1" fillId="8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12" borderId="1" xfId="0" applyNumberFormat="1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0" xfId="0" applyFont="1">
      <alignment vertical="center"/>
    </xf>
    <xf numFmtId="0" fontId="5" fillId="12" borderId="15" xfId="0" applyFont="1" applyFill="1" applyBorder="1">
      <alignment vertical="center"/>
    </xf>
    <xf numFmtId="0" fontId="5" fillId="12" borderId="15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0" fontId="1" fillId="12" borderId="15" xfId="0" applyFont="1" applyFill="1" applyBorder="1">
      <alignment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표준" xfId="0" builtinId="0"/>
    <cellStyle name="표준 2" xfId="1" xr:uid="{F9D42588-B7C5-4A50-82F2-2C75805140AA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Light Style 1 - Accent 1" table="0" count="7" xr9:uid="{00000000-0011-0000-FFFF-FFFF01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</tableStyles>
  <colors>
    <mruColors>
      <color rgb="FF2828A0"/>
      <color rgb="FF000064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T116"/>
  <sheetViews>
    <sheetView showGridLines="0" tabSelected="1" zoomScale="98" zoomScaleNormal="98" workbookViewId="0">
      <pane xSplit="9" topLeftCell="AO1" activePane="topRight" state="frozen"/>
      <selection pane="topRight" activeCell="B10" sqref="B10"/>
    </sheetView>
  </sheetViews>
  <sheetFormatPr defaultColWidth="8.8984375" defaultRowHeight="15.6" x14ac:dyDescent="0.25"/>
  <cols>
    <col min="1" max="1" width="4.19921875" style="1" bestFit="1" customWidth="1"/>
    <col min="2" max="2" width="6.296875" style="1" customWidth="1"/>
    <col min="3" max="3" width="12.19921875" style="61" bestFit="1" customWidth="1"/>
    <col min="4" max="4" width="8.19921875" style="54" customWidth="1"/>
    <col min="5" max="5" width="8.19921875" style="54" bestFit="1" customWidth="1"/>
    <col min="6" max="6" width="5.8984375" style="1" customWidth="1"/>
    <col min="7" max="7" width="4.3984375" style="1" customWidth="1"/>
    <col min="8" max="8" width="8.8984375" style="1" customWidth="1"/>
    <col min="9" max="9" width="8.19921875" style="1" customWidth="1"/>
    <col min="10" max="30" width="5.19921875" style="1" hidden="1" customWidth="1"/>
    <col min="31" max="33" width="5.19921875" style="3" hidden="1" customWidth="1"/>
    <col min="34" max="40" width="5.19921875" style="1" hidden="1" customWidth="1"/>
    <col min="41" max="59" width="5.19921875" style="1" customWidth="1"/>
    <col min="60" max="82" width="4.796875" style="1" customWidth="1"/>
    <col min="83" max="90" width="8.8984375" style="1"/>
    <col min="91" max="98" width="8.8984375" style="3"/>
  </cols>
  <sheetData>
    <row r="1" spans="1:82" x14ac:dyDescent="0.25">
      <c r="I1" s="18" t="s">
        <v>89</v>
      </c>
      <c r="J1" s="19" t="s">
        <v>47</v>
      </c>
      <c r="K1" s="1" t="s">
        <v>13</v>
      </c>
      <c r="L1" s="1" t="s">
        <v>22</v>
      </c>
      <c r="M1" s="1" t="s">
        <v>15</v>
      </c>
      <c r="N1" s="1" t="s">
        <v>26</v>
      </c>
      <c r="O1" s="1" t="s">
        <v>62</v>
      </c>
      <c r="P1" s="1" t="s">
        <v>11</v>
      </c>
      <c r="Q1" s="1" t="s">
        <v>53</v>
      </c>
      <c r="R1" s="1" t="s">
        <v>12</v>
      </c>
      <c r="S1" s="1" t="s">
        <v>59</v>
      </c>
      <c r="T1" s="1" t="s">
        <v>18</v>
      </c>
      <c r="U1" s="1" t="s">
        <v>58</v>
      </c>
      <c r="V1" s="1" t="s">
        <v>21</v>
      </c>
      <c r="W1" s="1" t="s">
        <v>61</v>
      </c>
      <c r="X1" s="1" t="s">
        <v>23</v>
      </c>
      <c r="Y1" s="1" t="s">
        <v>17</v>
      </c>
      <c r="Z1" s="1" t="s">
        <v>29</v>
      </c>
      <c r="AA1" s="1" t="s">
        <v>65</v>
      </c>
      <c r="AB1" s="1" t="s">
        <v>31</v>
      </c>
      <c r="AC1" s="1" t="s">
        <v>56</v>
      </c>
      <c r="AD1" s="1" t="s">
        <v>10</v>
      </c>
      <c r="AE1" s="1" t="s">
        <v>30</v>
      </c>
      <c r="AF1" s="1" t="s">
        <v>19</v>
      </c>
      <c r="AG1" s="1" t="s">
        <v>68</v>
      </c>
      <c r="AH1" s="1" t="s">
        <v>60</v>
      </c>
      <c r="AI1" s="1" t="s">
        <v>63</v>
      </c>
      <c r="AJ1" s="1" t="s">
        <v>35</v>
      </c>
      <c r="AK1" s="1" t="s">
        <v>24</v>
      </c>
      <c r="AL1" s="1" t="s">
        <v>54</v>
      </c>
      <c r="AM1" s="1" t="s">
        <v>16</v>
      </c>
      <c r="AN1" s="1" t="s">
        <v>70</v>
      </c>
      <c r="AO1" s="1" t="s">
        <v>33</v>
      </c>
      <c r="AP1" s="1" t="s">
        <v>28</v>
      </c>
      <c r="AQ1" s="1" t="s">
        <v>74</v>
      </c>
      <c r="AR1" s="1" t="s">
        <v>25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184</v>
      </c>
      <c r="BD1" s="1" t="s">
        <v>187</v>
      </c>
      <c r="BE1" s="1" t="s">
        <v>202</v>
      </c>
      <c r="BF1" s="1" t="s">
        <v>203</v>
      </c>
      <c r="BG1" s="1" t="s">
        <v>204</v>
      </c>
    </row>
    <row r="2" spans="1:82" x14ac:dyDescent="0.25">
      <c r="D2" s="54">
        <f>COUNTIF(D4:D135,"지급")</f>
        <v>30</v>
      </c>
      <c r="E2" s="54">
        <f>COUNTIF(E4:E135,"지급")</f>
        <v>0</v>
      </c>
      <c r="H2" s="18">
        <f>SUM(J2:AR2)/COUNTA(J2:BB2)</f>
        <v>20.399999999999999</v>
      </c>
      <c r="I2" s="18" t="s">
        <v>85</v>
      </c>
      <c r="J2" s="1">
        <f t="shared" ref="J2:AO2" si="0">COUNTA(J4:J147)</f>
        <v>33</v>
      </c>
      <c r="K2" s="1">
        <f t="shared" si="0"/>
        <v>18</v>
      </c>
      <c r="L2" s="1">
        <f t="shared" si="0"/>
        <v>19</v>
      </c>
      <c r="M2" s="1">
        <f t="shared" si="0"/>
        <v>26</v>
      </c>
      <c r="N2" s="1">
        <f t="shared" si="0"/>
        <v>20</v>
      </c>
      <c r="O2" s="1">
        <f t="shared" si="0"/>
        <v>25</v>
      </c>
      <c r="P2" s="1">
        <f t="shared" si="0"/>
        <v>23</v>
      </c>
      <c r="Q2" s="1">
        <f t="shared" si="0"/>
        <v>22</v>
      </c>
      <c r="R2" s="1">
        <f t="shared" si="0"/>
        <v>22</v>
      </c>
      <c r="S2" s="1">
        <f t="shared" si="0"/>
        <v>32</v>
      </c>
      <c r="T2" s="1">
        <f t="shared" si="0"/>
        <v>25</v>
      </c>
      <c r="U2" s="1">
        <f t="shared" si="0"/>
        <v>34</v>
      </c>
      <c r="V2" s="1">
        <f t="shared" si="0"/>
        <v>29</v>
      </c>
      <c r="W2" s="1">
        <f t="shared" si="0"/>
        <v>35</v>
      </c>
      <c r="X2" s="1">
        <f t="shared" si="0"/>
        <v>34</v>
      </c>
      <c r="Y2" s="1">
        <f t="shared" si="0"/>
        <v>18</v>
      </c>
      <c r="Z2" s="1">
        <f t="shared" si="0"/>
        <v>29</v>
      </c>
      <c r="AA2" s="1">
        <f t="shared" si="0"/>
        <v>22</v>
      </c>
      <c r="AB2" s="1">
        <f t="shared" si="0"/>
        <v>17</v>
      </c>
      <c r="AC2" s="1">
        <f t="shared" si="0"/>
        <v>30</v>
      </c>
      <c r="AD2" s="1">
        <f t="shared" si="0"/>
        <v>18</v>
      </c>
      <c r="AE2" s="1">
        <f t="shared" si="0"/>
        <v>28</v>
      </c>
      <c r="AF2" s="1">
        <f t="shared" si="0"/>
        <v>31</v>
      </c>
      <c r="AG2" s="1">
        <f t="shared" si="0"/>
        <v>16</v>
      </c>
      <c r="AH2" s="1">
        <f t="shared" si="0"/>
        <v>26</v>
      </c>
      <c r="AI2" s="1">
        <f t="shared" si="0"/>
        <v>23</v>
      </c>
      <c r="AJ2" s="1">
        <f t="shared" si="0"/>
        <v>18</v>
      </c>
      <c r="AK2" s="1">
        <f t="shared" si="0"/>
        <v>32</v>
      </c>
      <c r="AL2" s="1">
        <f t="shared" si="0"/>
        <v>26</v>
      </c>
      <c r="AM2" s="1">
        <f t="shared" si="0"/>
        <v>25</v>
      </c>
      <c r="AN2" s="1">
        <f t="shared" si="0"/>
        <v>37</v>
      </c>
      <c r="AO2" s="1">
        <f t="shared" si="0"/>
        <v>35</v>
      </c>
      <c r="AP2" s="1">
        <f t="shared" ref="AP2:BG2" si="1">COUNTA(AP4:AP147)</f>
        <v>37</v>
      </c>
      <c r="AQ2" s="1">
        <f t="shared" si="1"/>
        <v>33</v>
      </c>
      <c r="AR2" s="1">
        <f t="shared" si="1"/>
        <v>20</v>
      </c>
      <c r="AS2" s="1">
        <f t="shared" si="1"/>
        <v>24</v>
      </c>
      <c r="AT2" s="1">
        <f t="shared" si="1"/>
        <v>27</v>
      </c>
      <c r="AU2" s="1">
        <f t="shared" si="1"/>
        <v>16</v>
      </c>
      <c r="AV2" s="1">
        <f t="shared" si="1"/>
        <v>29</v>
      </c>
      <c r="AW2" s="1">
        <f t="shared" si="1"/>
        <v>21</v>
      </c>
      <c r="AX2" s="1">
        <f t="shared" si="1"/>
        <v>28</v>
      </c>
      <c r="AY2" s="1">
        <f t="shared" si="1"/>
        <v>29</v>
      </c>
      <c r="AZ2" s="1">
        <f t="shared" si="1"/>
        <v>27</v>
      </c>
      <c r="BA2" s="1">
        <f t="shared" si="1"/>
        <v>24</v>
      </c>
      <c r="BB2" s="1">
        <f t="shared" si="1"/>
        <v>0</v>
      </c>
      <c r="BC2" s="1">
        <f t="shared" si="1"/>
        <v>0</v>
      </c>
      <c r="BD2" s="1">
        <f t="shared" si="1"/>
        <v>0</v>
      </c>
      <c r="BE2" s="1">
        <f t="shared" si="1"/>
        <v>0</v>
      </c>
      <c r="BF2" s="1">
        <f t="shared" si="1"/>
        <v>0</v>
      </c>
      <c r="BG2" s="1">
        <f t="shared" si="1"/>
        <v>0</v>
      </c>
    </row>
    <row r="3" spans="1:82" x14ac:dyDescent="0.25">
      <c r="A3" s="2" t="s">
        <v>4</v>
      </c>
      <c r="B3" s="2" t="s">
        <v>6</v>
      </c>
      <c r="C3" s="59" t="s">
        <v>374</v>
      </c>
      <c r="D3" s="55" t="s">
        <v>118</v>
      </c>
      <c r="E3" s="55" t="s">
        <v>129</v>
      </c>
      <c r="F3" s="2" t="s">
        <v>46</v>
      </c>
      <c r="G3" s="2" t="s">
        <v>88</v>
      </c>
      <c r="H3" s="2" t="s">
        <v>81</v>
      </c>
      <c r="I3" s="2" t="s">
        <v>391</v>
      </c>
      <c r="J3" s="4">
        <v>45677</v>
      </c>
      <c r="K3" s="56">
        <v>45691</v>
      </c>
      <c r="L3" s="56">
        <v>45698</v>
      </c>
      <c r="M3" s="4">
        <v>45701</v>
      </c>
      <c r="N3" s="56">
        <v>45705</v>
      </c>
      <c r="O3" s="56">
        <v>45712</v>
      </c>
      <c r="P3" s="4">
        <v>45722</v>
      </c>
      <c r="Q3" s="4">
        <v>45729</v>
      </c>
      <c r="R3" s="4">
        <v>45736</v>
      </c>
      <c r="S3" s="4">
        <v>45743</v>
      </c>
      <c r="T3" s="4">
        <v>45750</v>
      </c>
      <c r="U3" s="4">
        <v>45757</v>
      </c>
      <c r="V3" s="4">
        <v>45764</v>
      </c>
      <c r="W3" s="4">
        <v>45771</v>
      </c>
      <c r="X3" s="4">
        <v>45792</v>
      </c>
      <c r="Y3" s="4">
        <v>45796</v>
      </c>
      <c r="Z3" s="4">
        <v>45806</v>
      </c>
      <c r="AA3" s="4">
        <v>45812</v>
      </c>
      <c r="AB3" s="4">
        <v>45818</v>
      </c>
      <c r="AC3" s="4">
        <v>45820</v>
      </c>
      <c r="AD3" s="4">
        <v>45831</v>
      </c>
      <c r="AE3" s="4">
        <v>45841</v>
      </c>
      <c r="AF3" s="4">
        <v>45848</v>
      </c>
      <c r="AG3" s="4">
        <v>45855</v>
      </c>
      <c r="AH3" s="4">
        <v>45860</v>
      </c>
      <c r="AI3" s="4">
        <v>45862</v>
      </c>
      <c r="AJ3" s="4">
        <v>45869</v>
      </c>
      <c r="AK3" s="4">
        <v>45876</v>
      </c>
      <c r="AL3" s="4">
        <v>45883</v>
      </c>
      <c r="AM3" s="4">
        <v>45888</v>
      </c>
      <c r="AN3" s="4">
        <v>45897</v>
      </c>
      <c r="AO3" s="4">
        <v>45904</v>
      </c>
      <c r="AP3" s="4">
        <v>45911</v>
      </c>
      <c r="AQ3" s="4">
        <v>45918</v>
      </c>
      <c r="AR3" s="4">
        <v>45925</v>
      </c>
      <c r="AS3" s="4">
        <v>45930</v>
      </c>
      <c r="AT3" s="4">
        <v>45946</v>
      </c>
      <c r="AU3" s="4">
        <v>45950</v>
      </c>
      <c r="AV3" s="4">
        <v>45957</v>
      </c>
      <c r="AW3" s="4">
        <v>45960</v>
      </c>
      <c r="AX3" s="4">
        <v>45967</v>
      </c>
      <c r="AY3" s="4">
        <v>45974</v>
      </c>
      <c r="AZ3" s="4">
        <v>45981</v>
      </c>
      <c r="BA3" s="4">
        <v>45988</v>
      </c>
      <c r="BB3" s="4"/>
      <c r="BC3" s="4"/>
      <c r="BD3" s="4"/>
      <c r="BE3" s="4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x14ac:dyDescent="0.25">
      <c r="A4" s="2">
        <v>1</v>
      </c>
      <c r="B4" s="2" t="s">
        <v>52</v>
      </c>
      <c r="C4" s="59" t="s">
        <v>375</v>
      </c>
      <c r="D4" s="55" t="s">
        <v>233</v>
      </c>
      <c r="E4" s="55"/>
      <c r="F4" s="2" t="s">
        <v>37</v>
      </c>
      <c r="G4" s="2">
        <f t="shared" ref="G4:G35" si="2">RANK(H4,$H$4:$H$124,0)</f>
        <v>6</v>
      </c>
      <c r="H4" s="6">
        <f>I4+개인기록Sheet!C4</f>
        <v>34.6</v>
      </c>
      <c r="I4" s="6">
        <f t="shared" ref="I4:I35" si="3">(COUNTIF(J4:CD4,"출전")*1)</f>
        <v>33</v>
      </c>
      <c r="J4" s="2" t="s">
        <v>308</v>
      </c>
      <c r="K4" s="2" t="s">
        <v>308</v>
      </c>
      <c r="L4" s="2"/>
      <c r="M4" s="2" t="s">
        <v>308</v>
      </c>
      <c r="N4" s="2" t="s">
        <v>308</v>
      </c>
      <c r="O4" s="2" t="s">
        <v>308</v>
      </c>
      <c r="P4" s="2"/>
      <c r="Q4" s="2"/>
      <c r="R4" s="2"/>
      <c r="S4" s="2" t="s">
        <v>308</v>
      </c>
      <c r="T4" s="2" t="s">
        <v>308</v>
      </c>
      <c r="U4" s="2" t="s">
        <v>308</v>
      </c>
      <c r="V4" s="2" t="s">
        <v>308</v>
      </c>
      <c r="W4" s="2" t="s">
        <v>308</v>
      </c>
      <c r="X4" s="2" t="s">
        <v>308</v>
      </c>
      <c r="Y4" s="2"/>
      <c r="Z4" s="2" t="s">
        <v>308</v>
      </c>
      <c r="AA4" s="2" t="s">
        <v>308</v>
      </c>
      <c r="AB4" s="2" t="s">
        <v>308</v>
      </c>
      <c r="AC4" s="2"/>
      <c r="AD4" s="2"/>
      <c r="AE4" s="2" t="s">
        <v>308</v>
      </c>
      <c r="AF4" s="2" t="s">
        <v>308</v>
      </c>
      <c r="AG4" s="2" t="s">
        <v>308</v>
      </c>
      <c r="AH4" s="2"/>
      <c r="AI4" s="2" t="s">
        <v>308</v>
      </c>
      <c r="AJ4" s="2"/>
      <c r="AK4" s="2" t="s">
        <v>308</v>
      </c>
      <c r="AL4" s="2" t="s">
        <v>308</v>
      </c>
      <c r="AM4" s="2" t="s">
        <v>308</v>
      </c>
      <c r="AN4" s="2" t="s">
        <v>308</v>
      </c>
      <c r="AO4" s="2" t="s">
        <v>308</v>
      </c>
      <c r="AP4" s="2"/>
      <c r="AQ4" s="2" t="s">
        <v>308</v>
      </c>
      <c r="AR4" s="2" t="s">
        <v>308</v>
      </c>
      <c r="AS4" s="2" t="s">
        <v>308</v>
      </c>
      <c r="AT4" s="2" t="s">
        <v>308</v>
      </c>
      <c r="AU4" s="2" t="s">
        <v>308</v>
      </c>
      <c r="AV4" s="2" t="s">
        <v>308</v>
      </c>
      <c r="AW4" s="2" t="s">
        <v>308</v>
      </c>
      <c r="AX4" s="2" t="s">
        <v>308</v>
      </c>
      <c r="AY4" s="2"/>
      <c r="AZ4" s="2" t="s">
        <v>209</v>
      </c>
      <c r="BA4" s="2" t="s">
        <v>209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5">
      <c r="A5" s="2">
        <v>2</v>
      </c>
      <c r="B5" s="2" t="s">
        <v>41</v>
      </c>
      <c r="C5" s="59">
        <v>2021</v>
      </c>
      <c r="D5" s="55" t="s">
        <v>233</v>
      </c>
      <c r="E5" s="55"/>
      <c r="F5" s="2" t="s">
        <v>37</v>
      </c>
      <c r="G5" s="2">
        <f t="shared" si="2"/>
        <v>24</v>
      </c>
      <c r="H5" s="6">
        <f>I5+개인기록Sheet!C5</f>
        <v>24.2</v>
      </c>
      <c r="I5" s="6">
        <f t="shared" si="3"/>
        <v>19</v>
      </c>
      <c r="J5" s="2"/>
      <c r="K5" s="2"/>
      <c r="L5" s="2" t="s">
        <v>308</v>
      </c>
      <c r="M5" s="2" t="s">
        <v>308</v>
      </c>
      <c r="N5" s="2" t="s">
        <v>308</v>
      </c>
      <c r="O5" s="2" t="s">
        <v>308</v>
      </c>
      <c r="P5" s="2"/>
      <c r="Q5" s="2" t="s">
        <v>308</v>
      </c>
      <c r="R5" s="2"/>
      <c r="S5" s="2" t="s">
        <v>308</v>
      </c>
      <c r="T5" s="2"/>
      <c r="U5" s="2" t="s">
        <v>308</v>
      </c>
      <c r="V5" s="2" t="s">
        <v>308</v>
      </c>
      <c r="W5" s="2" t="s">
        <v>308</v>
      </c>
      <c r="X5" s="2" t="s">
        <v>308</v>
      </c>
      <c r="Y5" s="2"/>
      <c r="Z5" s="2" t="s">
        <v>308</v>
      </c>
      <c r="AA5" s="2"/>
      <c r="AB5" s="2"/>
      <c r="AC5" s="2" t="s">
        <v>308</v>
      </c>
      <c r="AD5" s="2"/>
      <c r="AE5" s="2"/>
      <c r="AF5" s="2"/>
      <c r="AG5" s="2" t="s">
        <v>308</v>
      </c>
      <c r="AH5" s="2"/>
      <c r="AI5" s="2"/>
      <c r="AJ5" s="2"/>
      <c r="AK5" s="2" t="s">
        <v>308</v>
      </c>
      <c r="AL5" s="2"/>
      <c r="AM5" s="2"/>
      <c r="AN5" s="2" t="s">
        <v>308</v>
      </c>
      <c r="AO5" s="2"/>
      <c r="AP5" s="2" t="s">
        <v>308</v>
      </c>
      <c r="AQ5" s="2"/>
      <c r="AR5" s="2"/>
      <c r="AS5" s="2"/>
      <c r="AT5" s="2"/>
      <c r="AU5" s="2"/>
      <c r="AV5" s="2" t="s">
        <v>308</v>
      </c>
      <c r="AW5" s="2"/>
      <c r="AX5" s="2" t="s">
        <v>308</v>
      </c>
      <c r="AY5" s="2"/>
      <c r="AZ5" s="2" t="s">
        <v>209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x14ac:dyDescent="0.25">
      <c r="A6" s="2">
        <v>3</v>
      </c>
      <c r="B6" s="2" t="s">
        <v>8</v>
      </c>
      <c r="C6" s="59" t="s">
        <v>375</v>
      </c>
      <c r="D6" s="55" t="s">
        <v>233</v>
      </c>
      <c r="E6" s="55"/>
      <c r="F6" s="2" t="s">
        <v>37</v>
      </c>
      <c r="G6" s="2">
        <f t="shared" si="2"/>
        <v>75</v>
      </c>
      <c r="H6" s="6">
        <f>I6+개인기록Sheet!C6</f>
        <v>3.5</v>
      </c>
      <c r="I6" s="6">
        <f t="shared" si="3"/>
        <v>3</v>
      </c>
      <c r="J6" s="2"/>
      <c r="K6" s="2"/>
      <c r="L6" s="2"/>
      <c r="M6" s="2"/>
      <c r="N6" s="2"/>
      <c r="O6" s="2"/>
      <c r="P6" s="2" t="s">
        <v>308</v>
      </c>
      <c r="Q6" s="2"/>
      <c r="R6" s="2" t="s">
        <v>308</v>
      </c>
      <c r="S6" s="2"/>
      <c r="T6" s="2"/>
      <c r="U6" s="2"/>
      <c r="V6" s="2" t="s">
        <v>308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x14ac:dyDescent="0.25">
      <c r="A7" s="2">
        <v>4</v>
      </c>
      <c r="B7" s="2" t="s">
        <v>49</v>
      </c>
      <c r="C7" s="59" t="s">
        <v>375</v>
      </c>
      <c r="D7" s="55"/>
      <c r="E7" s="55"/>
      <c r="F7" s="2" t="s">
        <v>37</v>
      </c>
      <c r="G7" s="2">
        <f t="shared" si="2"/>
        <v>91</v>
      </c>
      <c r="H7" s="6">
        <f>I7+개인기록Sheet!C7</f>
        <v>0</v>
      </c>
      <c r="I7" s="6">
        <f t="shared" si="3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x14ac:dyDescent="0.25">
      <c r="A8" s="2">
        <v>5</v>
      </c>
      <c r="B8" s="2" t="s">
        <v>71</v>
      </c>
      <c r="C8" s="59" t="s">
        <v>375</v>
      </c>
      <c r="D8" s="55" t="s">
        <v>233</v>
      </c>
      <c r="E8" s="55"/>
      <c r="F8" s="2" t="s">
        <v>37</v>
      </c>
      <c r="G8" s="2">
        <f t="shared" si="2"/>
        <v>91</v>
      </c>
      <c r="H8" s="6">
        <f>I8+개인기록Sheet!C8</f>
        <v>0</v>
      </c>
      <c r="I8" s="6">
        <f t="shared" si="3"/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5">
      <c r="A9" s="2">
        <v>6</v>
      </c>
      <c r="B9" s="2" t="s">
        <v>50</v>
      </c>
      <c r="C9" s="59" t="s">
        <v>375</v>
      </c>
      <c r="D9" s="55" t="s">
        <v>384</v>
      </c>
      <c r="E9" s="55"/>
      <c r="F9" s="2" t="s">
        <v>37</v>
      </c>
      <c r="G9" s="2">
        <f t="shared" si="2"/>
        <v>9</v>
      </c>
      <c r="H9" s="6">
        <f>I9+개인기록Sheet!C9</f>
        <v>33.4</v>
      </c>
      <c r="I9" s="6">
        <f t="shared" si="3"/>
        <v>28</v>
      </c>
      <c r="J9" s="2"/>
      <c r="K9" s="2" t="s">
        <v>308</v>
      </c>
      <c r="L9" s="2" t="s">
        <v>308</v>
      </c>
      <c r="M9" s="2" t="s">
        <v>308</v>
      </c>
      <c r="N9" s="2" t="s">
        <v>308</v>
      </c>
      <c r="O9" s="2" t="s">
        <v>308</v>
      </c>
      <c r="P9" s="2" t="s">
        <v>308</v>
      </c>
      <c r="Q9" s="2"/>
      <c r="R9" s="2" t="s">
        <v>308</v>
      </c>
      <c r="S9" s="2" t="s">
        <v>308</v>
      </c>
      <c r="T9" s="2"/>
      <c r="U9" s="2" t="s">
        <v>308</v>
      </c>
      <c r="V9" s="2"/>
      <c r="W9" s="2"/>
      <c r="X9" s="2" t="s">
        <v>308</v>
      </c>
      <c r="Y9" s="2"/>
      <c r="Z9" s="2" t="s">
        <v>308</v>
      </c>
      <c r="AA9" s="2" t="s">
        <v>308</v>
      </c>
      <c r="AB9" s="2"/>
      <c r="AC9" s="2"/>
      <c r="AD9" s="2" t="s">
        <v>308</v>
      </c>
      <c r="AE9" s="2" t="s">
        <v>308</v>
      </c>
      <c r="AF9" s="2" t="s">
        <v>308</v>
      </c>
      <c r="AG9" s="2"/>
      <c r="AH9" s="2" t="s">
        <v>308</v>
      </c>
      <c r="AI9" s="2"/>
      <c r="AJ9" s="2"/>
      <c r="AK9" s="2"/>
      <c r="AL9" s="2" t="s">
        <v>308</v>
      </c>
      <c r="AM9" s="2"/>
      <c r="AN9" s="2"/>
      <c r="AO9" s="2" t="s">
        <v>308</v>
      </c>
      <c r="AP9" s="2" t="s">
        <v>308</v>
      </c>
      <c r="AQ9" s="2" t="s">
        <v>308</v>
      </c>
      <c r="AR9" s="2" t="s">
        <v>308</v>
      </c>
      <c r="AS9" s="2" t="s">
        <v>308</v>
      </c>
      <c r="AT9" s="2" t="s">
        <v>308</v>
      </c>
      <c r="AU9" s="2" t="s">
        <v>308</v>
      </c>
      <c r="AV9" s="2" t="s">
        <v>308</v>
      </c>
      <c r="AW9" s="2"/>
      <c r="AX9" s="2" t="s">
        <v>308</v>
      </c>
      <c r="AY9" s="2" t="s">
        <v>308</v>
      </c>
      <c r="AZ9" s="2" t="s">
        <v>209</v>
      </c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5">
      <c r="A10" s="2">
        <v>7</v>
      </c>
      <c r="B10" s="2" t="s">
        <v>243</v>
      </c>
      <c r="C10" s="60">
        <v>2024</v>
      </c>
      <c r="D10" s="55" t="s">
        <v>233</v>
      </c>
      <c r="E10" s="55"/>
      <c r="F10" s="2" t="s">
        <v>37</v>
      </c>
      <c r="G10" s="2">
        <f>RANK(H10,$H$4:$H$124,0)</f>
        <v>1</v>
      </c>
      <c r="H10" s="6">
        <f>I10+개인기록Sheet!C10</f>
        <v>43.2</v>
      </c>
      <c r="I10" s="6">
        <f>(COUNTIF(J10:CD10,"출전")*1)</f>
        <v>35</v>
      </c>
      <c r="J10" s="2" t="s">
        <v>308</v>
      </c>
      <c r="K10" s="2"/>
      <c r="L10" s="2"/>
      <c r="M10" s="2" t="s">
        <v>308</v>
      </c>
      <c r="N10" s="2"/>
      <c r="O10" s="2"/>
      <c r="P10" s="2" t="s">
        <v>308</v>
      </c>
      <c r="Q10" s="2" t="s">
        <v>308</v>
      </c>
      <c r="R10" s="2" t="s">
        <v>308</v>
      </c>
      <c r="S10" s="2" t="s">
        <v>308</v>
      </c>
      <c r="T10" s="2" t="s">
        <v>308</v>
      </c>
      <c r="U10" s="2" t="s">
        <v>308</v>
      </c>
      <c r="V10" s="2" t="s">
        <v>308</v>
      </c>
      <c r="W10" s="2" t="s">
        <v>308</v>
      </c>
      <c r="X10" s="2" t="s">
        <v>308</v>
      </c>
      <c r="Y10" s="2" t="s">
        <v>308</v>
      </c>
      <c r="Z10" s="2"/>
      <c r="AA10" s="2"/>
      <c r="AB10" s="2" t="s">
        <v>308</v>
      </c>
      <c r="AC10" s="2" t="s">
        <v>308</v>
      </c>
      <c r="AD10" s="2" t="s">
        <v>308</v>
      </c>
      <c r="AE10" s="2" t="s">
        <v>308</v>
      </c>
      <c r="AF10" s="2" t="s">
        <v>308</v>
      </c>
      <c r="AG10" s="2" t="s">
        <v>308</v>
      </c>
      <c r="AH10" s="2" t="s">
        <v>308</v>
      </c>
      <c r="AI10" s="2" t="s">
        <v>308</v>
      </c>
      <c r="AJ10" s="2"/>
      <c r="AK10" s="2" t="s">
        <v>308</v>
      </c>
      <c r="AL10" s="2" t="s">
        <v>308</v>
      </c>
      <c r="AM10" s="2" t="s">
        <v>308</v>
      </c>
      <c r="AN10" s="2" t="s">
        <v>308</v>
      </c>
      <c r="AO10" s="2" t="s">
        <v>308</v>
      </c>
      <c r="AP10" s="2" t="s">
        <v>308</v>
      </c>
      <c r="AQ10" s="2" t="s">
        <v>308</v>
      </c>
      <c r="AR10" s="2" t="s">
        <v>308</v>
      </c>
      <c r="AS10" s="2" t="s">
        <v>308</v>
      </c>
      <c r="AT10" s="2"/>
      <c r="AU10" s="2" t="s">
        <v>308</v>
      </c>
      <c r="AV10" s="2"/>
      <c r="AW10" s="2" t="s">
        <v>308</v>
      </c>
      <c r="AX10" s="2" t="s">
        <v>308</v>
      </c>
      <c r="AY10" s="2" t="s">
        <v>308</v>
      </c>
      <c r="AZ10" s="2" t="s">
        <v>209</v>
      </c>
      <c r="BA10" s="2" t="s">
        <v>209</v>
      </c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x14ac:dyDescent="0.25">
      <c r="A11" s="2">
        <v>8</v>
      </c>
      <c r="B11" s="2" t="s">
        <v>111</v>
      </c>
      <c r="C11" s="59">
        <v>2022</v>
      </c>
      <c r="D11" s="55" t="s">
        <v>384</v>
      </c>
      <c r="E11" s="55"/>
      <c r="F11" s="2" t="s">
        <v>37</v>
      </c>
      <c r="G11" s="2">
        <f>RANK(H11,$H$4:$H$124,0)</f>
        <v>10</v>
      </c>
      <c r="H11" s="6">
        <f>I11+개인기록Sheet!C11</f>
        <v>33.1</v>
      </c>
      <c r="I11" s="6">
        <f>(COUNTIF(J11:CD11,"출전")*1)</f>
        <v>26</v>
      </c>
      <c r="J11" s="2" t="s">
        <v>308</v>
      </c>
      <c r="K11" s="2"/>
      <c r="L11" s="2" t="s">
        <v>308</v>
      </c>
      <c r="M11" s="2"/>
      <c r="N11" s="2" t="s">
        <v>308</v>
      </c>
      <c r="O11" s="2" t="s">
        <v>308</v>
      </c>
      <c r="P11" s="2"/>
      <c r="Q11" s="2" t="s">
        <v>308</v>
      </c>
      <c r="R11" s="2" t="s">
        <v>308</v>
      </c>
      <c r="S11" s="2"/>
      <c r="T11" s="2" t="s">
        <v>308</v>
      </c>
      <c r="U11" s="2" t="s">
        <v>308</v>
      </c>
      <c r="V11" s="2"/>
      <c r="W11" s="2"/>
      <c r="X11" s="2" t="s">
        <v>308</v>
      </c>
      <c r="Y11" s="2" t="s">
        <v>308</v>
      </c>
      <c r="Z11" s="2" t="s">
        <v>308</v>
      </c>
      <c r="AA11" s="2"/>
      <c r="AB11" s="2" t="s">
        <v>308</v>
      </c>
      <c r="AC11" s="2" t="s">
        <v>308</v>
      </c>
      <c r="AD11" s="2"/>
      <c r="AE11" s="2" t="s">
        <v>308</v>
      </c>
      <c r="AF11" s="2"/>
      <c r="AG11" s="2" t="s">
        <v>308</v>
      </c>
      <c r="AH11" s="2" t="s">
        <v>308</v>
      </c>
      <c r="AI11" s="2"/>
      <c r="AJ11" s="2"/>
      <c r="AK11" s="2" t="s">
        <v>308</v>
      </c>
      <c r="AL11" s="2" t="s">
        <v>308</v>
      </c>
      <c r="AM11" s="2"/>
      <c r="AN11" s="2" t="s">
        <v>308</v>
      </c>
      <c r="AO11" s="2" t="s">
        <v>308</v>
      </c>
      <c r="AP11" s="2"/>
      <c r="AQ11" s="2" t="s">
        <v>308</v>
      </c>
      <c r="AR11" s="2" t="s">
        <v>308</v>
      </c>
      <c r="AS11" s="2" t="s">
        <v>308</v>
      </c>
      <c r="AT11" s="2" t="s">
        <v>308</v>
      </c>
      <c r="AU11" s="2"/>
      <c r="AV11" s="2" t="s">
        <v>308</v>
      </c>
      <c r="AW11" s="2"/>
      <c r="AX11" s="2"/>
      <c r="AY11" s="2" t="s">
        <v>308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x14ac:dyDescent="0.25">
      <c r="A12" s="2">
        <v>9</v>
      </c>
      <c r="B12" s="2" t="s">
        <v>386</v>
      </c>
      <c r="C12" s="60">
        <v>2025</v>
      </c>
      <c r="D12" s="55"/>
      <c r="E12" s="55"/>
      <c r="F12" s="62"/>
      <c r="G12" s="2">
        <f>RANK(H12,$H$4:$H$124,0)</f>
        <v>91</v>
      </c>
      <c r="H12" s="6">
        <f>I12+개인기록Sheet!C12</f>
        <v>0</v>
      </c>
      <c r="I12" s="6">
        <f>(COUNTIF(J12:CD12,"출전")*1)</f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x14ac:dyDescent="0.25">
      <c r="A13" s="2">
        <v>10</v>
      </c>
      <c r="B13" s="2" t="s">
        <v>121</v>
      </c>
      <c r="C13" s="59">
        <v>2022</v>
      </c>
      <c r="D13" s="55"/>
      <c r="E13" s="55"/>
      <c r="F13" s="2" t="s">
        <v>37</v>
      </c>
      <c r="G13" s="2">
        <f>RANK(H13,$H$4:$H$124,0)</f>
        <v>91</v>
      </c>
      <c r="H13" s="6">
        <f>I13+개인기록Sheet!C13</f>
        <v>0</v>
      </c>
      <c r="I13" s="6">
        <f>(COUNTIF(J13:CD13,"출전")*1)</f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1:82" x14ac:dyDescent="0.25">
      <c r="A14" s="2">
        <v>11</v>
      </c>
      <c r="B14" s="2" t="s">
        <v>27</v>
      </c>
      <c r="C14" s="59" t="s">
        <v>375</v>
      </c>
      <c r="D14" s="55"/>
      <c r="E14" s="55"/>
      <c r="F14" s="2" t="s">
        <v>37</v>
      </c>
      <c r="G14" s="2">
        <f>RANK(H14,$H$4:$H$124,0)</f>
        <v>91</v>
      </c>
      <c r="H14" s="6">
        <f>I14+개인기록Sheet!C14</f>
        <v>0</v>
      </c>
      <c r="I14" s="6">
        <f>(COUNTIF(J14:CD14,"출전")*1)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2" x14ac:dyDescent="0.25">
      <c r="A15" s="2">
        <v>12</v>
      </c>
      <c r="B15" s="2" t="s">
        <v>38</v>
      </c>
      <c r="C15" s="59">
        <v>2021</v>
      </c>
      <c r="D15" s="55"/>
      <c r="E15" s="55"/>
      <c r="F15" s="2" t="s">
        <v>37</v>
      </c>
      <c r="G15" s="2">
        <f>RANK(H15,$H$4:$H$124,0)</f>
        <v>91</v>
      </c>
      <c r="H15" s="6">
        <f>I15+개인기록Sheet!C15</f>
        <v>0</v>
      </c>
      <c r="I15" s="6">
        <f>(COUNTIF(J15:CD15,"출전")*1)</f>
        <v>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1:82" x14ac:dyDescent="0.25">
      <c r="A16" s="2">
        <v>13</v>
      </c>
      <c r="B16" s="2" t="s">
        <v>363</v>
      </c>
      <c r="C16" s="60">
        <v>2025</v>
      </c>
      <c r="D16" s="55"/>
      <c r="E16" s="55"/>
      <c r="F16" s="2" t="s">
        <v>37</v>
      </c>
      <c r="G16" s="2">
        <f>RANK(H16,$H$4:$H$124,0)</f>
        <v>83</v>
      </c>
      <c r="H16" s="6">
        <f>I16+개인기록Sheet!C16</f>
        <v>2.2000000000000002</v>
      </c>
      <c r="I16" s="6">
        <f>(COUNTIF(J16:CD16,"출전")*1)</f>
        <v>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 t="s">
        <v>308</v>
      </c>
      <c r="AO16" s="2"/>
      <c r="AP16" s="2"/>
      <c r="AQ16" s="2"/>
      <c r="AR16" s="2"/>
      <c r="AS16" s="2"/>
      <c r="AT16" s="2"/>
      <c r="AU16" s="2"/>
      <c r="AV16" s="2" t="s">
        <v>308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2" x14ac:dyDescent="0.25">
      <c r="A17" s="2">
        <v>14</v>
      </c>
      <c r="B17" s="2" t="s">
        <v>113</v>
      </c>
      <c r="C17" s="59">
        <v>2022</v>
      </c>
      <c r="D17" s="55" t="s">
        <v>384</v>
      </c>
      <c r="E17" s="55"/>
      <c r="F17" s="2" t="s">
        <v>37</v>
      </c>
      <c r="G17" s="2">
        <f>RANK(H17,$H$4:$H$124,0)</f>
        <v>13</v>
      </c>
      <c r="H17" s="6">
        <f>I17+개인기록Sheet!C17</f>
        <v>31.9</v>
      </c>
      <c r="I17" s="6">
        <f>(COUNTIF(J17:CD17,"출전")*1)</f>
        <v>23</v>
      </c>
      <c r="J17" s="2"/>
      <c r="K17" s="2" t="s">
        <v>308</v>
      </c>
      <c r="L17" s="2" t="s">
        <v>308</v>
      </c>
      <c r="M17" s="2" t="s">
        <v>308</v>
      </c>
      <c r="N17" s="2" t="s">
        <v>308</v>
      </c>
      <c r="O17" s="2"/>
      <c r="P17" s="2" t="s">
        <v>308</v>
      </c>
      <c r="Q17" s="2"/>
      <c r="R17" s="2" t="s">
        <v>308</v>
      </c>
      <c r="S17" s="2" t="s">
        <v>308</v>
      </c>
      <c r="T17" s="2"/>
      <c r="U17" s="2" t="s">
        <v>308</v>
      </c>
      <c r="V17" s="2" t="s">
        <v>308</v>
      </c>
      <c r="W17" s="2" t="s">
        <v>308</v>
      </c>
      <c r="X17" s="2"/>
      <c r="Y17" s="2"/>
      <c r="Z17" s="2"/>
      <c r="AA17" s="2"/>
      <c r="AB17" s="2"/>
      <c r="AC17" s="2" t="s">
        <v>308</v>
      </c>
      <c r="AD17" s="2"/>
      <c r="AE17" s="2"/>
      <c r="AF17" s="2"/>
      <c r="AG17" s="2" t="s">
        <v>308</v>
      </c>
      <c r="AH17" s="2" t="s">
        <v>308</v>
      </c>
      <c r="AI17" s="2" t="s">
        <v>308</v>
      </c>
      <c r="AJ17" s="2"/>
      <c r="AK17" s="2" t="s">
        <v>308</v>
      </c>
      <c r="AL17" s="2" t="s">
        <v>308</v>
      </c>
      <c r="AM17" s="2"/>
      <c r="AN17" s="2" t="s">
        <v>308</v>
      </c>
      <c r="AO17" s="2" t="s">
        <v>308</v>
      </c>
      <c r="AP17" s="2" t="s">
        <v>308</v>
      </c>
      <c r="AQ17" s="2" t="s">
        <v>308</v>
      </c>
      <c r="AR17" s="2"/>
      <c r="AS17" s="2"/>
      <c r="AT17" s="2" t="s">
        <v>308</v>
      </c>
      <c r="AU17" s="2"/>
      <c r="AV17" s="2"/>
      <c r="AW17" s="2"/>
      <c r="AX17" s="2" t="s">
        <v>308</v>
      </c>
      <c r="AY17" s="2"/>
      <c r="AZ17" s="2" t="s">
        <v>209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spans="1:82" x14ac:dyDescent="0.25">
      <c r="A18" s="2">
        <v>15</v>
      </c>
      <c r="B18" s="2" t="s">
        <v>137</v>
      </c>
      <c r="C18" s="59">
        <v>2023</v>
      </c>
      <c r="D18" s="55" t="s">
        <v>233</v>
      </c>
      <c r="E18" s="55"/>
      <c r="F18" s="2" t="s">
        <v>37</v>
      </c>
      <c r="G18" s="2">
        <f>RANK(H18,$H$4:$H$124,0)</f>
        <v>49</v>
      </c>
      <c r="H18" s="6">
        <f>I18+개인기록Sheet!C18</f>
        <v>10.7</v>
      </c>
      <c r="I18" s="6">
        <f>(COUNTIF(J18:CD18,"출전")*1)</f>
        <v>8</v>
      </c>
      <c r="J18" s="2"/>
      <c r="K18" s="2"/>
      <c r="L18" s="2"/>
      <c r="M18" s="2"/>
      <c r="N18" s="2"/>
      <c r="O18" s="2"/>
      <c r="P18" s="2" t="s">
        <v>308</v>
      </c>
      <c r="Q18" s="2"/>
      <c r="R18" s="2" t="s">
        <v>308</v>
      </c>
      <c r="S18" s="2"/>
      <c r="T18" s="2" t="s">
        <v>308</v>
      </c>
      <c r="U18" s="2" t="s">
        <v>308</v>
      </c>
      <c r="V18" s="2"/>
      <c r="W18" s="2"/>
      <c r="X18" s="2"/>
      <c r="Y18" s="2"/>
      <c r="Z18" s="2" t="s">
        <v>308</v>
      </c>
      <c r="AA18" s="2"/>
      <c r="AB18" s="2"/>
      <c r="AC18" s="2"/>
      <c r="AD18" s="2"/>
      <c r="AE18" s="2" t="s">
        <v>308</v>
      </c>
      <c r="AF18" s="2" t="s">
        <v>308</v>
      </c>
      <c r="AG18" s="2"/>
      <c r="AH18" s="2"/>
      <c r="AI18" s="2"/>
      <c r="AJ18" s="2"/>
      <c r="AK18" s="2"/>
      <c r="AL18" s="2"/>
      <c r="AM18" s="2"/>
      <c r="AN18" s="2" t="s">
        <v>308</v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x14ac:dyDescent="0.25">
      <c r="A19" s="2">
        <v>16</v>
      </c>
      <c r="B19" s="2" t="s">
        <v>93</v>
      </c>
      <c r="C19" s="59">
        <v>2022</v>
      </c>
      <c r="D19" s="55" t="s">
        <v>233</v>
      </c>
      <c r="E19" s="55"/>
      <c r="F19" s="2" t="s">
        <v>37</v>
      </c>
      <c r="G19" s="2">
        <f>RANK(H19,$H$4:$H$124,0)</f>
        <v>63</v>
      </c>
      <c r="H19" s="6">
        <f>I19+개인기록Sheet!C19</f>
        <v>7.4</v>
      </c>
      <c r="I19" s="6">
        <f>(COUNTIF(J19:CD19,"출전")*1)</f>
        <v>7</v>
      </c>
      <c r="J19" s="2"/>
      <c r="K19" s="2"/>
      <c r="L19" s="2"/>
      <c r="M19" s="2" t="s">
        <v>308</v>
      </c>
      <c r="N19" s="2" t="s">
        <v>308</v>
      </c>
      <c r="O19" s="2" t="s">
        <v>308</v>
      </c>
      <c r="P19" s="2"/>
      <c r="Q19" s="2"/>
      <c r="R19" s="2"/>
      <c r="S19" s="2"/>
      <c r="T19" s="2" t="s">
        <v>308</v>
      </c>
      <c r="U19" s="2" t="s">
        <v>308</v>
      </c>
      <c r="V19" s="2"/>
      <c r="W19" s="2" t="s">
        <v>308</v>
      </c>
      <c r="X19" s="2" t="s">
        <v>308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x14ac:dyDescent="0.25">
      <c r="A20" s="2">
        <v>17</v>
      </c>
      <c r="B20" s="2" t="s">
        <v>142</v>
      </c>
      <c r="C20" s="59">
        <v>2023</v>
      </c>
      <c r="D20" s="55" t="s">
        <v>384</v>
      </c>
      <c r="E20" s="55"/>
      <c r="F20" s="2" t="s">
        <v>37</v>
      </c>
      <c r="G20" s="2">
        <f>RANK(H20,$H$4:$H$124,0)</f>
        <v>46</v>
      </c>
      <c r="H20" s="6">
        <f>I20+개인기록Sheet!C20</f>
        <v>11.6</v>
      </c>
      <c r="I20" s="6">
        <f>(COUNTIF(J20:CD20,"출전")*1)</f>
        <v>10</v>
      </c>
      <c r="J20" s="2"/>
      <c r="K20" s="2"/>
      <c r="L20" s="2"/>
      <c r="M20" s="2" t="s">
        <v>308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308</v>
      </c>
      <c r="Y20" s="2"/>
      <c r="Z20" s="2"/>
      <c r="AA20" s="2"/>
      <c r="AB20" s="2"/>
      <c r="AC20" s="2"/>
      <c r="AD20" s="2"/>
      <c r="AE20" s="2" t="s">
        <v>308</v>
      </c>
      <c r="AF20" s="2" t="s">
        <v>308</v>
      </c>
      <c r="AG20" s="2"/>
      <c r="AH20" s="2"/>
      <c r="AI20" s="2" t="s">
        <v>308</v>
      </c>
      <c r="AJ20" s="2"/>
      <c r="AK20" s="2"/>
      <c r="AL20" s="2" t="s">
        <v>308</v>
      </c>
      <c r="AM20" s="2"/>
      <c r="AN20" s="2"/>
      <c r="AO20" s="2"/>
      <c r="AP20" s="2" t="s">
        <v>308</v>
      </c>
      <c r="AQ20" s="2" t="s">
        <v>308</v>
      </c>
      <c r="AR20" s="2"/>
      <c r="AS20" s="2"/>
      <c r="AT20" s="2"/>
      <c r="AU20" s="2"/>
      <c r="AV20" s="2"/>
      <c r="AW20" s="2" t="s">
        <v>308</v>
      </c>
      <c r="AX20" s="2" t="s">
        <v>308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x14ac:dyDescent="0.25">
      <c r="A21" s="2">
        <v>18</v>
      </c>
      <c r="B21" s="2" t="s">
        <v>127</v>
      </c>
      <c r="C21" s="59">
        <v>2023</v>
      </c>
      <c r="D21" s="55"/>
      <c r="E21" s="55"/>
      <c r="F21" s="62"/>
      <c r="G21" s="2">
        <f>RANK(H21,$H$4:$H$124,0)</f>
        <v>91</v>
      </c>
      <c r="H21" s="6">
        <f>I21+개인기록Sheet!C21</f>
        <v>0</v>
      </c>
      <c r="I21" s="6">
        <f>(COUNTIF(J21:CD21,"출전")*1)</f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5">
      <c r="A22" s="2">
        <v>19</v>
      </c>
      <c r="B22" s="2" t="s">
        <v>114</v>
      </c>
      <c r="C22" s="59">
        <v>2022</v>
      </c>
      <c r="D22" s="55"/>
      <c r="E22" s="55"/>
      <c r="F22" s="2" t="s">
        <v>37</v>
      </c>
      <c r="G22" s="2">
        <f>RANK(H22,$H$4:$H$124,0)</f>
        <v>91</v>
      </c>
      <c r="H22" s="6">
        <f>I22+개인기록Sheet!C22</f>
        <v>0</v>
      </c>
      <c r="I22" s="6">
        <f>(COUNTIF(J22:CD22,"출전")*1)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5">
      <c r="A23" s="2">
        <v>20</v>
      </c>
      <c r="B23" s="2" t="s">
        <v>241</v>
      </c>
      <c r="C23" s="60">
        <v>2024</v>
      </c>
      <c r="D23" s="55"/>
      <c r="E23" s="55"/>
      <c r="F23" s="2" t="s">
        <v>37</v>
      </c>
      <c r="G23" s="2">
        <f>RANK(H23,$H$4:$H$124,0)</f>
        <v>45</v>
      </c>
      <c r="H23" s="6">
        <f>I23+개인기록Sheet!C23</f>
        <v>12</v>
      </c>
      <c r="I23" s="6">
        <f>(COUNTIF(J23:CD23,"출전")*1)</f>
        <v>9</v>
      </c>
      <c r="J23" s="2" t="s">
        <v>308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308</v>
      </c>
      <c r="AG23" s="2"/>
      <c r="AH23" s="2"/>
      <c r="AI23" s="2"/>
      <c r="AJ23" s="2"/>
      <c r="AK23" s="2" t="s">
        <v>308</v>
      </c>
      <c r="AL23" s="2"/>
      <c r="AM23" s="2"/>
      <c r="AN23" s="2"/>
      <c r="AO23" s="2" t="s">
        <v>308</v>
      </c>
      <c r="AP23" s="2" t="s">
        <v>308</v>
      </c>
      <c r="AQ23" s="2" t="s">
        <v>308</v>
      </c>
      <c r="AR23" s="2"/>
      <c r="AS23" s="2"/>
      <c r="AT23" s="2" t="s">
        <v>308</v>
      </c>
      <c r="AU23" s="2" t="s">
        <v>308</v>
      </c>
      <c r="AV23" s="2"/>
      <c r="AW23" s="2"/>
      <c r="AX23" s="2"/>
      <c r="AY23" s="2"/>
      <c r="AZ23" s="2" t="s">
        <v>209</v>
      </c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1:82" x14ac:dyDescent="0.25">
      <c r="A24" s="2">
        <v>21</v>
      </c>
      <c r="B24" s="2" t="s">
        <v>14</v>
      </c>
      <c r="C24" s="59" t="s">
        <v>375</v>
      </c>
      <c r="D24" s="55" t="s">
        <v>384</v>
      </c>
      <c r="E24" s="55"/>
      <c r="F24" s="2" t="s">
        <v>37</v>
      </c>
      <c r="G24" s="2">
        <f>RANK(H24,$H$4:$H$124,0)</f>
        <v>40</v>
      </c>
      <c r="H24" s="6">
        <f>I24+개인기록Sheet!C24</f>
        <v>15.3</v>
      </c>
      <c r="I24" s="6">
        <f>(COUNTIF(J24:CD24,"출전")*1)</f>
        <v>13</v>
      </c>
      <c r="J24" s="2"/>
      <c r="K24" s="2"/>
      <c r="L24" s="2" t="s">
        <v>308</v>
      </c>
      <c r="M24" s="2"/>
      <c r="N24" s="2" t="s">
        <v>308</v>
      </c>
      <c r="O24" s="2"/>
      <c r="P24" s="2"/>
      <c r="Q24" s="2"/>
      <c r="R24" s="2"/>
      <c r="S24" s="2"/>
      <c r="T24" s="2"/>
      <c r="U24" s="2"/>
      <c r="V24" s="2"/>
      <c r="W24" s="2" t="s">
        <v>308</v>
      </c>
      <c r="X24" s="2" t="s">
        <v>308</v>
      </c>
      <c r="Y24" s="2"/>
      <c r="Z24" s="2"/>
      <c r="AA24" s="2"/>
      <c r="AB24" s="2" t="s">
        <v>308</v>
      </c>
      <c r="AC24" s="2"/>
      <c r="AD24" s="2"/>
      <c r="AE24" s="2"/>
      <c r="AF24" s="2"/>
      <c r="AG24" s="2" t="s">
        <v>308</v>
      </c>
      <c r="AH24" s="2" t="s">
        <v>308</v>
      </c>
      <c r="AI24" s="2"/>
      <c r="AJ24" s="2" t="s">
        <v>308</v>
      </c>
      <c r="AK24" s="2" t="s">
        <v>308</v>
      </c>
      <c r="AL24" s="2"/>
      <c r="AM24" s="2"/>
      <c r="AN24" s="2"/>
      <c r="AO24" s="2"/>
      <c r="AP24" s="2"/>
      <c r="AQ24" s="2"/>
      <c r="AR24" s="2" t="s">
        <v>308</v>
      </c>
      <c r="AS24" s="2"/>
      <c r="AT24" s="2" t="s">
        <v>308</v>
      </c>
      <c r="AU24" s="2"/>
      <c r="AV24" s="2" t="s">
        <v>308</v>
      </c>
      <c r="AW24" s="2" t="s">
        <v>308</v>
      </c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1:82" x14ac:dyDescent="0.25">
      <c r="A25" s="2">
        <v>22</v>
      </c>
      <c r="B25" s="2" t="s">
        <v>138</v>
      </c>
      <c r="C25" s="59">
        <v>2023</v>
      </c>
      <c r="D25" s="55" t="s">
        <v>384</v>
      </c>
      <c r="E25" s="55"/>
      <c r="F25" s="2" t="s">
        <v>37</v>
      </c>
      <c r="G25" s="2">
        <f>RANK(H25,$H$4:$H$124,0)</f>
        <v>41</v>
      </c>
      <c r="H25" s="6">
        <f>I25+개인기록Sheet!C25</f>
        <v>15.1</v>
      </c>
      <c r="I25" s="6">
        <f>(COUNTIF(J25:CD25,"출전")*1)</f>
        <v>12</v>
      </c>
      <c r="J25" s="2" t="s">
        <v>308</v>
      </c>
      <c r="K25" s="2"/>
      <c r="L25" s="2"/>
      <c r="M25" s="2"/>
      <c r="N25" s="2"/>
      <c r="O25" s="2" t="s">
        <v>308</v>
      </c>
      <c r="P25" s="2"/>
      <c r="Q25" s="2"/>
      <c r="R25" s="2"/>
      <c r="S25" s="2"/>
      <c r="T25" s="2"/>
      <c r="U25" s="2"/>
      <c r="V25" s="2"/>
      <c r="W25" s="2" t="s">
        <v>308</v>
      </c>
      <c r="X25" s="2"/>
      <c r="Y25" s="2" t="s">
        <v>308</v>
      </c>
      <c r="Z25" s="2"/>
      <c r="AA25" s="2"/>
      <c r="AB25" s="2" t="s">
        <v>308</v>
      </c>
      <c r="AC25" s="2" t="s">
        <v>308</v>
      </c>
      <c r="AD25" s="2"/>
      <c r="AE25" s="2"/>
      <c r="AF25" s="2"/>
      <c r="AG25" s="2"/>
      <c r="AH25" s="2"/>
      <c r="AI25" s="2"/>
      <c r="AJ25" s="2"/>
      <c r="AK25" s="2" t="s">
        <v>308</v>
      </c>
      <c r="AL25" s="2"/>
      <c r="AM25" s="2"/>
      <c r="AN25" s="2" t="s">
        <v>308</v>
      </c>
      <c r="AO25" s="2"/>
      <c r="AP25" s="2" t="s">
        <v>308</v>
      </c>
      <c r="AQ25" s="2"/>
      <c r="AR25" s="2"/>
      <c r="AS25" s="2"/>
      <c r="AT25" s="2"/>
      <c r="AU25" s="2"/>
      <c r="AV25" s="2" t="s">
        <v>308</v>
      </c>
      <c r="AW25" s="2" t="s">
        <v>308</v>
      </c>
      <c r="AX25" s="2"/>
      <c r="AY25" s="2"/>
      <c r="AZ25" s="2" t="s">
        <v>209</v>
      </c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1:82" x14ac:dyDescent="0.25">
      <c r="A26" s="2">
        <v>23</v>
      </c>
      <c r="B26" s="2" t="s">
        <v>206</v>
      </c>
      <c r="C26" s="60">
        <v>2024</v>
      </c>
      <c r="D26" s="55" t="s">
        <v>384</v>
      </c>
      <c r="E26" s="55"/>
      <c r="F26" s="2" t="s">
        <v>37</v>
      </c>
      <c r="G26" s="2">
        <f>RANK(H26,$H$4:$H$124,0)</f>
        <v>3</v>
      </c>
      <c r="H26" s="6">
        <f>I26+개인기록Sheet!C26</f>
        <v>39.200000000000003</v>
      </c>
      <c r="I26" s="6">
        <f>(COUNTIF(J26:CD26,"출전")*1)</f>
        <v>31</v>
      </c>
      <c r="J26" s="2" t="s">
        <v>308</v>
      </c>
      <c r="K26" s="2" t="s">
        <v>308</v>
      </c>
      <c r="L26" s="2" t="s">
        <v>308</v>
      </c>
      <c r="M26" s="2"/>
      <c r="N26" s="2" t="s">
        <v>308</v>
      </c>
      <c r="O26" s="2" t="s">
        <v>308</v>
      </c>
      <c r="P26" s="2"/>
      <c r="Q26" s="2" t="s">
        <v>308</v>
      </c>
      <c r="R26" s="2"/>
      <c r="S26" s="2" t="s">
        <v>308</v>
      </c>
      <c r="T26" s="2"/>
      <c r="U26" s="2" t="s">
        <v>308</v>
      </c>
      <c r="V26" s="2" t="s">
        <v>308</v>
      </c>
      <c r="W26" s="2" t="s">
        <v>308</v>
      </c>
      <c r="X26" s="2" t="s">
        <v>308</v>
      </c>
      <c r="Y26" s="2" t="s">
        <v>308</v>
      </c>
      <c r="Z26" s="2" t="s">
        <v>308</v>
      </c>
      <c r="AA26" s="2"/>
      <c r="AB26" s="2"/>
      <c r="AC26" s="2"/>
      <c r="AD26" s="2"/>
      <c r="AE26" s="2"/>
      <c r="AF26" s="2"/>
      <c r="AG26" s="2" t="s">
        <v>308</v>
      </c>
      <c r="AH26" s="2" t="s">
        <v>308</v>
      </c>
      <c r="AI26" s="2" t="s">
        <v>308</v>
      </c>
      <c r="AJ26" s="2" t="s">
        <v>308</v>
      </c>
      <c r="AK26" s="2" t="s">
        <v>308</v>
      </c>
      <c r="AL26" s="2" t="s">
        <v>308</v>
      </c>
      <c r="AM26" s="2" t="s">
        <v>308</v>
      </c>
      <c r="AN26" s="2" t="s">
        <v>308</v>
      </c>
      <c r="AO26" s="2" t="s">
        <v>308</v>
      </c>
      <c r="AP26" s="2" t="s">
        <v>308</v>
      </c>
      <c r="AQ26" s="2"/>
      <c r="AR26" s="2" t="s">
        <v>308</v>
      </c>
      <c r="AS26" s="2"/>
      <c r="AT26" s="2" t="s">
        <v>308</v>
      </c>
      <c r="AU26" s="2"/>
      <c r="AV26" s="2" t="s">
        <v>308</v>
      </c>
      <c r="AW26" s="2" t="s">
        <v>308</v>
      </c>
      <c r="AX26" s="2" t="s">
        <v>308</v>
      </c>
      <c r="AY26" s="2" t="s">
        <v>308</v>
      </c>
      <c r="AZ26" s="2" t="s">
        <v>209</v>
      </c>
      <c r="BA26" s="2" t="s">
        <v>209</v>
      </c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x14ac:dyDescent="0.25">
      <c r="A27" s="2">
        <v>24</v>
      </c>
      <c r="B27" s="2" t="s">
        <v>66</v>
      </c>
      <c r="C27" s="59" t="s">
        <v>375</v>
      </c>
      <c r="D27" s="55" t="s">
        <v>384</v>
      </c>
      <c r="E27" s="55"/>
      <c r="F27" s="2" t="s">
        <v>37</v>
      </c>
      <c r="G27" s="2">
        <f>RANK(H27,$H$4:$H$124,0)</f>
        <v>16</v>
      </c>
      <c r="H27" s="6">
        <f>I27+개인기록Sheet!C27</f>
        <v>30.3</v>
      </c>
      <c r="I27" s="6">
        <f>(COUNTIF(J27:CD27,"출전")*1)</f>
        <v>24</v>
      </c>
      <c r="J27" s="2" t="s">
        <v>308</v>
      </c>
      <c r="K27" s="2"/>
      <c r="L27" s="2"/>
      <c r="M27" s="2" t="s">
        <v>308</v>
      </c>
      <c r="N27" s="2"/>
      <c r="O27" s="2" t="s">
        <v>308</v>
      </c>
      <c r="P27" s="2"/>
      <c r="Q27" s="2" t="s">
        <v>308</v>
      </c>
      <c r="R27" s="2"/>
      <c r="S27" s="2" t="s">
        <v>308</v>
      </c>
      <c r="T27" s="2"/>
      <c r="U27" s="2" t="s">
        <v>308</v>
      </c>
      <c r="V27" s="2" t="s">
        <v>308</v>
      </c>
      <c r="W27" s="2" t="s">
        <v>308</v>
      </c>
      <c r="X27" s="2"/>
      <c r="Y27" s="2"/>
      <c r="Z27" s="2"/>
      <c r="AA27" s="2" t="s">
        <v>308</v>
      </c>
      <c r="AB27" s="2"/>
      <c r="AC27" s="2"/>
      <c r="AD27" s="2"/>
      <c r="AE27" s="2" t="s">
        <v>308</v>
      </c>
      <c r="AF27" s="2"/>
      <c r="AG27" s="2" t="s">
        <v>308</v>
      </c>
      <c r="AH27" s="2" t="s">
        <v>308</v>
      </c>
      <c r="AI27" s="2"/>
      <c r="AJ27" s="2"/>
      <c r="AK27" s="2" t="s">
        <v>308</v>
      </c>
      <c r="AL27" s="2" t="s">
        <v>308</v>
      </c>
      <c r="AM27" s="2"/>
      <c r="AN27" s="2" t="s">
        <v>308</v>
      </c>
      <c r="AO27" s="2" t="s">
        <v>308</v>
      </c>
      <c r="AP27" s="2" t="s">
        <v>308</v>
      </c>
      <c r="AQ27" s="2" t="s">
        <v>308</v>
      </c>
      <c r="AR27" s="2" t="s">
        <v>308</v>
      </c>
      <c r="AS27" s="2" t="s">
        <v>308</v>
      </c>
      <c r="AT27" s="2" t="s">
        <v>308</v>
      </c>
      <c r="AU27" s="2"/>
      <c r="AV27" s="2" t="s">
        <v>308</v>
      </c>
      <c r="AW27" s="2" t="s">
        <v>308</v>
      </c>
      <c r="AX27" s="2" t="s">
        <v>308</v>
      </c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x14ac:dyDescent="0.25">
      <c r="A28" s="2">
        <v>25</v>
      </c>
      <c r="B28" s="2" t="s">
        <v>320</v>
      </c>
      <c r="C28" s="60">
        <v>2025</v>
      </c>
      <c r="D28" s="55" t="s">
        <v>385</v>
      </c>
      <c r="E28" s="55"/>
      <c r="F28" s="2" t="s">
        <v>37</v>
      </c>
      <c r="G28" s="2">
        <f>RANK(H28,$H$4:$H$124,0)</f>
        <v>54</v>
      </c>
      <c r="H28" s="6">
        <f>I28+개인기록Sheet!C28</f>
        <v>9.6999999999999993</v>
      </c>
      <c r="I28" s="6">
        <f>(COUNTIF(J28:CD28,"출전")*1)</f>
        <v>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308</v>
      </c>
      <c r="V28" s="2"/>
      <c r="W28" s="2"/>
      <c r="X28" s="2"/>
      <c r="Y28" s="2"/>
      <c r="Z28" s="2"/>
      <c r="AA28" s="2"/>
      <c r="AB28" s="2" t="s">
        <v>308</v>
      </c>
      <c r="AC28" s="2"/>
      <c r="AD28" s="2"/>
      <c r="AE28" s="2"/>
      <c r="AF28" s="2" t="s">
        <v>308</v>
      </c>
      <c r="AG28" s="2"/>
      <c r="AH28" s="2" t="s">
        <v>308</v>
      </c>
      <c r="AI28" s="2" t="s">
        <v>308</v>
      </c>
      <c r="AJ28" s="2"/>
      <c r="AK28" s="2" t="s">
        <v>308</v>
      </c>
      <c r="AL28" s="2" t="s">
        <v>308</v>
      </c>
      <c r="AM28" s="2"/>
      <c r="AN28" s="2" t="s">
        <v>308</v>
      </c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5">
      <c r="A29" s="2">
        <v>26</v>
      </c>
      <c r="B29" s="2" t="s">
        <v>165</v>
      </c>
      <c r="C29" s="59">
        <v>2023</v>
      </c>
      <c r="D29" s="55"/>
      <c r="E29" s="55"/>
      <c r="F29" s="2" t="s">
        <v>37</v>
      </c>
      <c r="G29" s="2">
        <f>RANK(H29,$H$4:$H$124,0)</f>
        <v>91</v>
      </c>
      <c r="H29" s="6">
        <f>I29+개인기록Sheet!C29</f>
        <v>0</v>
      </c>
      <c r="I29" s="6">
        <f>(COUNTIF(J29:CD29,"출전")*1)</f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x14ac:dyDescent="0.25">
      <c r="A30" s="2">
        <v>27</v>
      </c>
      <c r="B30" s="2" t="s">
        <v>376</v>
      </c>
      <c r="C30" s="60">
        <v>2025</v>
      </c>
      <c r="D30" s="55"/>
      <c r="E30" s="55"/>
      <c r="F30" s="2" t="s">
        <v>37</v>
      </c>
      <c r="G30" s="2">
        <f>RANK(H30,$H$4:$H$124,0)</f>
        <v>85</v>
      </c>
      <c r="H30" s="6">
        <f>I30+개인기록Sheet!C30</f>
        <v>1.6</v>
      </c>
      <c r="I30" s="6">
        <f>(COUNTIF(J30:CD30,"출전")*1)</f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 t="s">
        <v>308</v>
      </c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1:82" x14ac:dyDescent="0.25">
      <c r="A31" s="2">
        <v>28</v>
      </c>
      <c r="B31" s="2" t="s">
        <v>141</v>
      </c>
      <c r="C31" s="59">
        <v>2023</v>
      </c>
      <c r="D31" s="55"/>
      <c r="E31" s="55"/>
      <c r="F31" s="2" t="s">
        <v>37</v>
      </c>
      <c r="G31" s="2">
        <f>RANK(H31,$H$4:$H$124,0)</f>
        <v>76</v>
      </c>
      <c r="H31" s="6">
        <f>I31+개인기록Sheet!C31</f>
        <v>3.2</v>
      </c>
      <c r="I31" s="6">
        <f>(COUNTIF(J31:CD31,"출전")*1)</f>
        <v>3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 t="s">
        <v>308</v>
      </c>
      <c r="AL31" s="2"/>
      <c r="AM31" s="2"/>
      <c r="AN31" s="2"/>
      <c r="AO31" s="2"/>
      <c r="AP31" s="2"/>
      <c r="AQ31" s="2"/>
      <c r="AR31" s="2"/>
      <c r="AS31" s="2"/>
      <c r="AT31" s="2" t="s">
        <v>308</v>
      </c>
      <c r="AU31" s="2"/>
      <c r="AV31" s="2"/>
      <c r="AW31" s="2"/>
      <c r="AX31" s="2"/>
      <c r="AY31" s="2"/>
      <c r="AZ31" s="2" t="s">
        <v>209</v>
      </c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spans="1:82" x14ac:dyDescent="0.25">
      <c r="A32" s="2">
        <v>29</v>
      </c>
      <c r="B32" s="2" t="s">
        <v>55</v>
      </c>
      <c r="C32" s="59" t="s">
        <v>375</v>
      </c>
      <c r="D32" s="55" t="s">
        <v>384</v>
      </c>
      <c r="E32" s="55"/>
      <c r="F32" s="2" t="s">
        <v>37</v>
      </c>
      <c r="G32" s="2">
        <f>RANK(H32,$H$4:$H$124,0)</f>
        <v>8</v>
      </c>
      <c r="H32" s="6">
        <f>I32+개인기록Sheet!C32</f>
        <v>34.1</v>
      </c>
      <c r="I32" s="6">
        <f>(COUNTIF(J32:CD32,"출전")*1)</f>
        <v>26</v>
      </c>
      <c r="J32" s="2" t="s">
        <v>308</v>
      </c>
      <c r="K32" s="2"/>
      <c r="L32" s="2"/>
      <c r="M32" s="2" t="s">
        <v>308</v>
      </c>
      <c r="N32" s="2" t="s">
        <v>308</v>
      </c>
      <c r="O32" s="2" t="s">
        <v>308</v>
      </c>
      <c r="P32" s="2"/>
      <c r="Q32" s="2" t="s">
        <v>308</v>
      </c>
      <c r="R32" s="2"/>
      <c r="S32" s="2" t="s">
        <v>308</v>
      </c>
      <c r="T32" s="2"/>
      <c r="U32" s="2" t="s">
        <v>308</v>
      </c>
      <c r="V32" s="2" t="s">
        <v>308</v>
      </c>
      <c r="W32" s="2" t="s">
        <v>308</v>
      </c>
      <c r="X32" s="2" t="s">
        <v>308</v>
      </c>
      <c r="Y32" s="2"/>
      <c r="Z32" s="2" t="s">
        <v>308</v>
      </c>
      <c r="AA32" s="2" t="s">
        <v>308</v>
      </c>
      <c r="AB32" s="2"/>
      <c r="AC32" s="2"/>
      <c r="AD32" s="2"/>
      <c r="AE32" s="2" t="s">
        <v>308</v>
      </c>
      <c r="AF32" s="2" t="s">
        <v>308</v>
      </c>
      <c r="AG32" s="2"/>
      <c r="AH32" s="2" t="s">
        <v>308</v>
      </c>
      <c r="AI32" s="2"/>
      <c r="AJ32" s="2" t="s">
        <v>308</v>
      </c>
      <c r="AK32" s="2" t="s">
        <v>308</v>
      </c>
      <c r="AL32" s="2" t="s">
        <v>308</v>
      </c>
      <c r="AM32" s="2" t="s">
        <v>308</v>
      </c>
      <c r="AN32" s="2" t="s">
        <v>308</v>
      </c>
      <c r="AO32" s="2"/>
      <c r="AP32" s="2" t="s">
        <v>308</v>
      </c>
      <c r="AQ32" s="2"/>
      <c r="AR32" s="2"/>
      <c r="AS32" s="2" t="s">
        <v>308</v>
      </c>
      <c r="AT32" s="2" t="s">
        <v>308</v>
      </c>
      <c r="AU32" s="2"/>
      <c r="AV32" s="2" t="s">
        <v>308</v>
      </c>
      <c r="AW32" s="2"/>
      <c r="AX32" s="2" t="s">
        <v>308</v>
      </c>
      <c r="AY32" s="2" t="s">
        <v>308</v>
      </c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x14ac:dyDescent="0.25">
      <c r="A33" s="2">
        <v>30</v>
      </c>
      <c r="B33" s="2" t="s">
        <v>179</v>
      </c>
      <c r="C33" s="59">
        <v>2023</v>
      </c>
      <c r="D33" s="55" t="s">
        <v>384</v>
      </c>
      <c r="E33" s="55"/>
      <c r="F33" s="2" t="s">
        <v>37</v>
      </c>
      <c r="G33" s="2">
        <f>RANK(H33,$H$4:$H$124,0)</f>
        <v>12</v>
      </c>
      <c r="H33" s="6">
        <f>I33+개인기록Sheet!C33</f>
        <v>32.299999999999997</v>
      </c>
      <c r="I33" s="6">
        <f>(COUNTIF(J33:CD33,"출전")*1)</f>
        <v>26</v>
      </c>
      <c r="J33" s="2" t="s">
        <v>308</v>
      </c>
      <c r="K33" s="2"/>
      <c r="L33" s="2"/>
      <c r="M33" s="2" t="s">
        <v>308</v>
      </c>
      <c r="N33" s="2"/>
      <c r="O33" s="2"/>
      <c r="P33" s="2" t="s">
        <v>308</v>
      </c>
      <c r="Q33" s="2"/>
      <c r="R33" s="2"/>
      <c r="S33" s="2" t="s">
        <v>308</v>
      </c>
      <c r="T33" s="2" t="s">
        <v>308</v>
      </c>
      <c r="U33" s="2" t="s">
        <v>308</v>
      </c>
      <c r="V33" s="2" t="s">
        <v>308</v>
      </c>
      <c r="W33" s="2"/>
      <c r="X33" s="2" t="s">
        <v>308</v>
      </c>
      <c r="Y33" s="2"/>
      <c r="Z33" s="2" t="s">
        <v>308</v>
      </c>
      <c r="AA33" s="2" t="s">
        <v>308</v>
      </c>
      <c r="AB33" s="2" t="s">
        <v>308</v>
      </c>
      <c r="AC33" s="2" t="s">
        <v>308</v>
      </c>
      <c r="AD33" s="2" t="s">
        <v>308</v>
      </c>
      <c r="AE33" s="2"/>
      <c r="AF33" s="2" t="s">
        <v>308</v>
      </c>
      <c r="AG33" s="2" t="s">
        <v>308</v>
      </c>
      <c r="AH33" s="2"/>
      <c r="AI33" s="2"/>
      <c r="AJ33" s="2" t="s">
        <v>308</v>
      </c>
      <c r="AK33" s="2" t="s">
        <v>308</v>
      </c>
      <c r="AL33" s="2" t="s">
        <v>308</v>
      </c>
      <c r="AM33" s="2"/>
      <c r="AN33" s="2" t="s">
        <v>308</v>
      </c>
      <c r="AO33" s="2" t="s">
        <v>308</v>
      </c>
      <c r="AP33" s="2"/>
      <c r="AQ33" s="2" t="s">
        <v>308</v>
      </c>
      <c r="AR33" s="2"/>
      <c r="AS33" s="2" t="s">
        <v>308</v>
      </c>
      <c r="AT33" s="2" t="s">
        <v>308</v>
      </c>
      <c r="AU33" s="2"/>
      <c r="AV33" s="2"/>
      <c r="AW33" s="2"/>
      <c r="AX33" s="2" t="s">
        <v>308</v>
      </c>
      <c r="AY33" s="2" t="s">
        <v>308</v>
      </c>
      <c r="AZ33" s="2"/>
      <c r="BA33" s="2" t="s">
        <v>209</v>
      </c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1:82" x14ac:dyDescent="0.25">
      <c r="A34" s="2">
        <v>31</v>
      </c>
      <c r="B34" s="2" t="s">
        <v>57</v>
      </c>
      <c r="C34" s="59" t="s">
        <v>375</v>
      </c>
      <c r="D34" s="55" t="s">
        <v>385</v>
      </c>
      <c r="E34" s="55"/>
      <c r="F34" s="2" t="s">
        <v>37</v>
      </c>
      <c r="G34" s="2">
        <f>RANK(H34,$H$4:$H$124,0)</f>
        <v>17</v>
      </c>
      <c r="H34" s="6">
        <f>I34+개인기록Sheet!C34</f>
        <v>29.5</v>
      </c>
      <c r="I34" s="6">
        <f>(COUNTIF(J34:CD34,"출전")*1)</f>
        <v>27</v>
      </c>
      <c r="J34" s="2" t="s">
        <v>308</v>
      </c>
      <c r="K34" s="2" t="s">
        <v>308</v>
      </c>
      <c r="L34" s="2" t="s">
        <v>308</v>
      </c>
      <c r="M34" s="2" t="s">
        <v>308</v>
      </c>
      <c r="N34" s="2" t="s">
        <v>308</v>
      </c>
      <c r="O34" s="2"/>
      <c r="P34" s="2" t="s">
        <v>308</v>
      </c>
      <c r="Q34" s="2" t="s">
        <v>308</v>
      </c>
      <c r="R34" s="2" t="s">
        <v>308</v>
      </c>
      <c r="S34" s="2" t="s">
        <v>308</v>
      </c>
      <c r="T34" s="2" t="s">
        <v>308</v>
      </c>
      <c r="U34" s="2" t="s">
        <v>308</v>
      </c>
      <c r="V34" s="2" t="s">
        <v>308</v>
      </c>
      <c r="W34" s="2" t="s">
        <v>308</v>
      </c>
      <c r="X34" s="2" t="s">
        <v>308</v>
      </c>
      <c r="Y34" s="2" t="s">
        <v>308</v>
      </c>
      <c r="Z34" s="2" t="s">
        <v>308</v>
      </c>
      <c r="AA34" s="2" t="s">
        <v>308</v>
      </c>
      <c r="AB34" s="2"/>
      <c r="AC34" s="2" t="s">
        <v>308</v>
      </c>
      <c r="AD34" s="2"/>
      <c r="AE34" s="2" t="s">
        <v>308</v>
      </c>
      <c r="AF34" s="2" t="s">
        <v>308</v>
      </c>
      <c r="AG34" s="2"/>
      <c r="AH34" s="2" t="s">
        <v>308</v>
      </c>
      <c r="AI34" s="2"/>
      <c r="AJ34" s="2"/>
      <c r="AK34" s="2"/>
      <c r="AL34" s="2"/>
      <c r="AM34" s="2"/>
      <c r="AN34" s="2" t="s">
        <v>308</v>
      </c>
      <c r="AO34" s="2"/>
      <c r="AP34" s="2"/>
      <c r="AQ34" s="2"/>
      <c r="AR34" s="2" t="s">
        <v>308</v>
      </c>
      <c r="AS34" s="2" t="s">
        <v>308</v>
      </c>
      <c r="AT34" s="2"/>
      <c r="AU34" s="2"/>
      <c r="AV34" s="2" t="s">
        <v>308</v>
      </c>
      <c r="AW34" s="2"/>
      <c r="AX34" s="2"/>
      <c r="AY34" s="2" t="s">
        <v>308</v>
      </c>
      <c r="AZ34" s="2" t="s">
        <v>209</v>
      </c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1:82" x14ac:dyDescent="0.25">
      <c r="A35" s="2">
        <v>32</v>
      </c>
      <c r="B35" s="2" t="s">
        <v>355</v>
      </c>
      <c r="C35" s="60">
        <v>2025</v>
      </c>
      <c r="D35" s="55"/>
      <c r="E35" s="55"/>
      <c r="F35" s="2" t="s">
        <v>37</v>
      </c>
      <c r="G35" s="2">
        <f>RANK(H35,$H$4:$H$124,0)</f>
        <v>69</v>
      </c>
      <c r="H35" s="6">
        <f>I35+개인기록Sheet!C35</f>
        <v>5.8</v>
      </c>
      <c r="I35" s="6">
        <f>(COUNTIF(J35:CD35,"출전")*1)</f>
        <v>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 t="s">
        <v>308</v>
      </c>
      <c r="AL35" s="2" t="s">
        <v>308</v>
      </c>
      <c r="AM35" s="2" t="s">
        <v>308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 t="s">
        <v>209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spans="1:82" x14ac:dyDescent="0.25">
      <c r="A36" s="2">
        <v>33</v>
      </c>
      <c r="B36" s="2" t="s">
        <v>373</v>
      </c>
      <c r="C36" s="60">
        <v>2025</v>
      </c>
      <c r="D36" s="55"/>
      <c r="E36" s="55"/>
      <c r="F36" s="2" t="s">
        <v>37</v>
      </c>
      <c r="G36" s="2">
        <f>RANK(H36,$H$4:$H$124,0)</f>
        <v>87</v>
      </c>
      <c r="H36" s="6">
        <f>I36+개인기록Sheet!C36</f>
        <v>1.2</v>
      </c>
      <c r="I36" s="6">
        <f>(COUNTIF(J36:CD36,"출전")*1)</f>
        <v>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 t="s">
        <v>308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1:82" x14ac:dyDescent="0.25">
      <c r="A37" s="2">
        <v>34</v>
      </c>
      <c r="B37" s="2" t="s">
        <v>353</v>
      </c>
      <c r="C37" s="60">
        <v>2025</v>
      </c>
      <c r="D37" s="55"/>
      <c r="E37" s="55"/>
      <c r="F37" s="2" t="s">
        <v>37</v>
      </c>
      <c r="G37" s="2">
        <f>RANK(H37,$H$4:$H$124,0)</f>
        <v>50</v>
      </c>
      <c r="H37" s="6">
        <f>I37+개인기록Sheet!C37</f>
        <v>10.6</v>
      </c>
      <c r="I37" s="6">
        <f>(COUNTIF(J37:CD37,"출전")*1)</f>
        <v>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 t="s">
        <v>308</v>
      </c>
      <c r="AJ37" s="2"/>
      <c r="AK37" s="2"/>
      <c r="AL37" s="2"/>
      <c r="AM37" s="2"/>
      <c r="AN37" s="2" t="s">
        <v>308</v>
      </c>
      <c r="AO37" s="2" t="s">
        <v>308</v>
      </c>
      <c r="AP37" s="2" t="s">
        <v>308</v>
      </c>
      <c r="AQ37" s="2" t="s">
        <v>308</v>
      </c>
      <c r="AR37" s="2"/>
      <c r="AS37" s="2" t="s">
        <v>308</v>
      </c>
      <c r="AT37" s="2"/>
      <c r="AU37" s="2"/>
      <c r="AV37" s="2"/>
      <c r="AW37" s="2"/>
      <c r="AX37" s="2" t="s">
        <v>308</v>
      </c>
      <c r="AY37" s="2"/>
      <c r="AZ37" s="2" t="s">
        <v>209</v>
      </c>
      <c r="BA37" s="2" t="s">
        <v>209</v>
      </c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  <row r="38" spans="1:82" x14ac:dyDescent="0.25">
      <c r="A38" s="2">
        <v>35</v>
      </c>
      <c r="B38" s="2" t="s">
        <v>133</v>
      </c>
      <c r="C38" s="59">
        <v>2023</v>
      </c>
      <c r="D38" s="55"/>
      <c r="E38" s="55"/>
      <c r="F38" s="2" t="s">
        <v>37</v>
      </c>
      <c r="G38" s="2">
        <f>RANK(H38,$H$4:$H$124,0)</f>
        <v>91</v>
      </c>
      <c r="H38" s="6">
        <f>I38+개인기록Sheet!C38</f>
        <v>0</v>
      </c>
      <c r="I38" s="6">
        <f>(COUNTIF(J38:CD38,"출전")*1)</f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</row>
    <row r="39" spans="1:82" x14ac:dyDescent="0.25">
      <c r="A39" s="2">
        <v>36</v>
      </c>
      <c r="B39" s="2" t="s">
        <v>168</v>
      </c>
      <c r="C39" s="59">
        <v>2023</v>
      </c>
      <c r="D39" s="55"/>
      <c r="E39" s="55"/>
      <c r="F39" s="2" t="s">
        <v>37</v>
      </c>
      <c r="G39" s="2">
        <f>RANK(H39,$H$4:$H$124,0)</f>
        <v>58</v>
      </c>
      <c r="H39" s="6">
        <f>I39+개인기록Sheet!C39</f>
        <v>8.6</v>
      </c>
      <c r="I39" s="6">
        <f>(COUNTIF(J39:CD39,"출전")*1)</f>
        <v>8</v>
      </c>
      <c r="J39" s="2" t="s">
        <v>308</v>
      </c>
      <c r="K39" s="2" t="s">
        <v>308</v>
      </c>
      <c r="L39" s="2"/>
      <c r="M39" s="2"/>
      <c r="N39" s="2"/>
      <c r="O39" s="2"/>
      <c r="P39" s="2" t="s">
        <v>308</v>
      </c>
      <c r="Q39" s="2"/>
      <c r="R39" s="2"/>
      <c r="S39" s="2"/>
      <c r="T39" s="2"/>
      <c r="U39" s="2"/>
      <c r="V39" s="2"/>
      <c r="W39" s="2" t="s">
        <v>308</v>
      </c>
      <c r="X39" s="2"/>
      <c r="Y39" s="2"/>
      <c r="Z39" s="2"/>
      <c r="AA39" s="2"/>
      <c r="AB39" s="2"/>
      <c r="AC39" s="2"/>
      <c r="AD39" s="2"/>
      <c r="AE39" s="2"/>
      <c r="AF39" s="2" t="s">
        <v>308</v>
      </c>
      <c r="AG39" s="2"/>
      <c r="AH39" s="2"/>
      <c r="AI39" s="2"/>
      <c r="AJ39" s="2"/>
      <c r="AK39" s="2"/>
      <c r="AL39" s="2"/>
      <c r="AM39" s="2"/>
      <c r="AN39" s="2"/>
      <c r="AO39" s="2"/>
      <c r="AP39" s="2" t="s">
        <v>308</v>
      </c>
      <c r="AQ39" s="2" t="s">
        <v>308</v>
      </c>
      <c r="AR39" s="2"/>
      <c r="AS39" s="2"/>
      <c r="AT39" s="2"/>
      <c r="AU39" s="2" t="s">
        <v>308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</row>
    <row r="40" spans="1:82" x14ac:dyDescent="0.25">
      <c r="A40" s="2">
        <v>37</v>
      </c>
      <c r="B40" s="2" t="s">
        <v>377</v>
      </c>
      <c r="C40" s="60">
        <v>2025</v>
      </c>
      <c r="D40" s="55"/>
      <c r="E40" s="55"/>
      <c r="F40" s="2" t="s">
        <v>37</v>
      </c>
      <c r="G40" s="2">
        <f>RANK(H40,$H$4:$H$124,0)</f>
        <v>91</v>
      </c>
      <c r="H40" s="6">
        <f>I40+개인기록Sheet!C40</f>
        <v>0</v>
      </c>
      <c r="I40" s="6">
        <f>(COUNTIF(J40:CD40,"출전")*1)</f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</row>
    <row r="41" spans="1:82" x14ac:dyDescent="0.25">
      <c r="A41" s="2">
        <v>38</v>
      </c>
      <c r="B41" s="2" t="s">
        <v>331</v>
      </c>
      <c r="C41" s="60">
        <v>2025</v>
      </c>
      <c r="D41" s="55"/>
      <c r="E41" s="55"/>
      <c r="F41" s="2" t="s">
        <v>37</v>
      </c>
      <c r="G41" s="2">
        <f>RANK(H41,$H$4:$H$124,0)</f>
        <v>53</v>
      </c>
      <c r="H41" s="6">
        <f>I41+개인기록Sheet!C41</f>
        <v>10</v>
      </c>
      <c r="I41" s="6">
        <f>(COUNTIF(J41:CD41,"출전")*1)</f>
        <v>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 t="s">
        <v>308</v>
      </c>
      <c r="AB41" s="2" t="s">
        <v>308</v>
      </c>
      <c r="AC41" s="2"/>
      <c r="AD41" s="2" t="s">
        <v>308</v>
      </c>
      <c r="AE41" s="2" t="s">
        <v>308</v>
      </c>
      <c r="AF41" s="2"/>
      <c r="AG41" s="2"/>
      <c r="AH41" s="2"/>
      <c r="AI41" s="2"/>
      <c r="AJ41" s="2" t="s">
        <v>308</v>
      </c>
      <c r="AK41" s="2"/>
      <c r="AL41" s="2"/>
      <c r="AM41" s="2"/>
      <c r="AN41" s="2"/>
      <c r="AO41" s="2"/>
      <c r="AP41" s="2"/>
      <c r="AQ41" s="2" t="s">
        <v>308</v>
      </c>
      <c r="AR41" s="2"/>
      <c r="AS41" s="2"/>
      <c r="AT41" s="2"/>
      <c r="AU41" s="2"/>
      <c r="AV41" s="2" t="s">
        <v>308</v>
      </c>
      <c r="AW41" s="2"/>
      <c r="AX41" s="2"/>
      <c r="AY41" s="2"/>
      <c r="AZ41" s="2"/>
      <c r="BA41" s="2" t="s">
        <v>209</v>
      </c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</row>
    <row r="42" spans="1:82" x14ac:dyDescent="0.25">
      <c r="A42" s="2">
        <v>39</v>
      </c>
      <c r="B42" s="2" t="s">
        <v>36</v>
      </c>
      <c r="C42" s="59" t="s">
        <v>375</v>
      </c>
      <c r="D42" s="55"/>
      <c r="E42" s="55"/>
      <c r="F42" s="2" t="s">
        <v>37</v>
      </c>
      <c r="G42" s="2">
        <f>RANK(H42,$H$4:$H$124,0)</f>
        <v>91</v>
      </c>
      <c r="H42" s="6">
        <f>I42+개인기록Sheet!C42</f>
        <v>0</v>
      </c>
      <c r="I42" s="6">
        <f>(COUNTIF(J42:CD42,"출전")*1)</f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</row>
    <row r="43" spans="1:82" x14ac:dyDescent="0.25">
      <c r="A43" s="2">
        <v>40</v>
      </c>
      <c r="B43" s="2" t="s">
        <v>108</v>
      </c>
      <c r="C43" s="59">
        <v>2022</v>
      </c>
      <c r="D43" s="55" t="s">
        <v>384</v>
      </c>
      <c r="E43" s="55"/>
      <c r="F43" s="2" t="s">
        <v>37</v>
      </c>
      <c r="G43" s="2">
        <f>RANK(H43,$H$4:$H$124,0)</f>
        <v>43</v>
      </c>
      <c r="H43" s="6">
        <f>I43+개인기록Sheet!C43</f>
        <v>12.4</v>
      </c>
      <c r="I43" s="6">
        <f>(COUNTIF(J43:CD43,"출전")*1)</f>
        <v>10</v>
      </c>
      <c r="J43" s="2"/>
      <c r="K43" s="2"/>
      <c r="L43" s="2"/>
      <c r="M43" s="2"/>
      <c r="N43" s="2"/>
      <c r="O43" s="2"/>
      <c r="P43" s="2" t="s">
        <v>308</v>
      </c>
      <c r="Q43" s="2"/>
      <c r="R43" s="2"/>
      <c r="S43" s="2" t="s">
        <v>308</v>
      </c>
      <c r="T43" s="2" t="s">
        <v>308</v>
      </c>
      <c r="U43" s="2"/>
      <c r="V43" s="2"/>
      <c r="W43" s="2" t="s">
        <v>308</v>
      </c>
      <c r="X43" s="2"/>
      <c r="Y43" s="2" t="s">
        <v>308</v>
      </c>
      <c r="Z43" s="2" t="s">
        <v>308</v>
      </c>
      <c r="AA43" s="2"/>
      <c r="AB43" s="2"/>
      <c r="AC43" s="2"/>
      <c r="AD43" s="2" t="s">
        <v>308</v>
      </c>
      <c r="AE43" s="2"/>
      <c r="AF43" s="2"/>
      <c r="AG43" s="2"/>
      <c r="AH43" s="2" t="s">
        <v>308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308</v>
      </c>
      <c r="AU43" s="2"/>
      <c r="AV43" s="2" t="s">
        <v>308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</row>
    <row r="44" spans="1:82" x14ac:dyDescent="0.25">
      <c r="A44" s="2">
        <v>41</v>
      </c>
      <c r="B44" s="2" t="s">
        <v>341</v>
      </c>
      <c r="C44" s="60">
        <v>2025</v>
      </c>
      <c r="D44" s="55"/>
      <c r="E44" s="55"/>
      <c r="F44" s="2" t="s">
        <v>37</v>
      </c>
      <c r="G44" s="2">
        <f>RANK(H44,$H$4:$H$124,0)</f>
        <v>74</v>
      </c>
      <c r="H44" s="6">
        <f>I44+개인기록Sheet!C44</f>
        <v>3.6</v>
      </c>
      <c r="I44" s="6">
        <f>(COUNTIF(J44:CD44,"출전")*1)</f>
        <v>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s">
        <v>308</v>
      </c>
      <c r="AE44" s="2"/>
      <c r="AF44" s="2" t="s">
        <v>308</v>
      </c>
      <c r="AG44" s="2"/>
      <c r="AH44" s="2" t="s">
        <v>308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</row>
    <row r="45" spans="1:82" x14ac:dyDescent="0.25">
      <c r="A45" s="2">
        <v>42</v>
      </c>
      <c r="B45" s="2" t="s">
        <v>186</v>
      </c>
      <c r="C45" s="59">
        <v>2023</v>
      </c>
      <c r="D45" s="55" t="s">
        <v>384</v>
      </c>
      <c r="E45" s="55"/>
      <c r="F45" s="2" t="s">
        <v>37</v>
      </c>
      <c r="G45" s="2">
        <f>RANK(H45,$H$4:$H$124,0)</f>
        <v>25</v>
      </c>
      <c r="H45" s="6">
        <f>I45+개인기록Sheet!C45</f>
        <v>23</v>
      </c>
      <c r="I45" s="6">
        <f>(COUNTIF(J45:CD45,"출전")*1)</f>
        <v>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 t="s">
        <v>308</v>
      </c>
      <c r="X45" s="2" t="s">
        <v>308</v>
      </c>
      <c r="Y45" s="2"/>
      <c r="Z45" s="2" t="s">
        <v>308</v>
      </c>
      <c r="AA45" s="2"/>
      <c r="AB45" s="2"/>
      <c r="AC45" s="2" t="s">
        <v>308</v>
      </c>
      <c r="AD45" s="2" t="s">
        <v>308</v>
      </c>
      <c r="AE45" s="2" t="s">
        <v>308</v>
      </c>
      <c r="AF45" s="2" t="s">
        <v>308</v>
      </c>
      <c r="AG45" s="2"/>
      <c r="AH45" s="2"/>
      <c r="AI45" s="2" t="s">
        <v>308</v>
      </c>
      <c r="AJ45" s="2"/>
      <c r="AK45" s="2"/>
      <c r="AL45" s="2"/>
      <c r="AM45" s="2" t="s">
        <v>308</v>
      </c>
      <c r="AN45" s="2" t="s">
        <v>308</v>
      </c>
      <c r="AO45" s="2" t="s">
        <v>308</v>
      </c>
      <c r="AP45" s="2" t="s">
        <v>308</v>
      </c>
      <c r="AQ45" s="2"/>
      <c r="AR45" s="2" t="s">
        <v>308</v>
      </c>
      <c r="AS45" s="2" t="s">
        <v>308</v>
      </c>
      <c r="AT45" s="2" t="s">
        <v>308</v>
      </c>
      <c r="AU45" s="2" t="s">
        <v>308</v>
      </c>
      <c r="AV45" s="2"/>
      <c r="AW45" s="2" t="s">
        <v>308</v>
      </c>
      <c r="AX45" s="2" t="s">
        <v>308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</row>
    <row r="46" spans="1:82" x14ac:dyDescent="0.25">
      <c r="A46" s="2">
        <v>43</v>
      </c>
      <c r="B46" s="2" t="s">
        <v>120</v>
      </c>
      <c r="C46" s="59">
        <v>2022</v>
      </c>
      <c r="D46" s="55" t="s">
        <v>384</v>
      </c>
      <c r="E46" s="55"/>
      <c r="F46" s="2" t="s">
        <v>37</v>
      </c>
      <c r="G46" s="2">
        <f>RANK(H46,$H$4:$H$124,0)</f>
        <v>4</v>
      </c>
      <c r="H46" s="6">
        <f>I46+개인기록Sheet!C46</f>
        <v>37.4</v>
      </c>
      <c r="I46" s="6">
        <f>(COUNTIF(J46:CD46,"출전")*1)</f>
        <v>29</v>
      </c>
      <c r="J46" s="2" t="s">
        <v>308</v>
      </c>
      <c r="K46" s="2"/>
      <c r="L46" s="2"/>
      <c r="M46" s="2" t="s">
        <v>308</v>
      </c>
      <c r="N46" s="2"/>
      <c r="O46" s="2"/>
      <c r="P46" s="2"/>
      <c r="Q46" s="2" t="s">
        <v>308</v>
      </c>
      <c r="R46" s="2" t="s">
        <v>308</v>
      </c>
      <c r="S46" s="2" t="s">
        <v>308</v>
      </c>
      <c r="T46" s="2" t="s">
        <v>308</v>
      </c>
      <c r="U46" s="2" t="s">
        <v>308</v>
      </c>
      <c r="V46" s="2"/>
      <c r="W46" s="2" t="s">
        <v>308</v>
      </c>
      <c r="X46" s="2" t="s">
        <v>308</v>
      </c>
      <c r="Y46" s="2" t="s">
        <v>308</v>
      </c>
      <c r="Z46" s="2" t="s">
        <v>308</v>
      </c>
      <c r="AA46" s="2"/>
      <c r="AB46" s="2" t="s">
        <v>308</v>
      </c>
      <c r="AC46" s="2"/>
      <c r="AD46" s="2" t="s">
        <v>308</v>
      </c>
      <c r="AE46" s="2"/>
      <c r="AF46" s="2"/>
      <c r="AG46" s="2"/>
      <c r="AH46" s="2" t="s">
        <v>308</v>
      </c>
      <c r="AI46" s="2"/>
      <c r="AJ46" s="2"/>
      <c r="AK46" s="2" t="s">
        <v>308</v>
      </c>
      <c r="AL46" s="2" t="s">
        <v>308</v>
      </c>
      <c r="AM46" s="2" t="s">
        <v>308</v>
      </c>
      <c r="AN46" s="2" t="s">
        <v>308</v>
      </c>
      <c r="AO46" s="2" t="s">
        <v>308</v>
      </c>
      <c r="AP46" s="2" t="s">
        <v>308</v>
      </c>
      <c r="AQ46" s="2"/>
      <c r="AR46" s="2" t="s">
        <v>308</v>
      </c>
      <c r="AS46" s="2" t="s">
        <v>308</v>
      </c>
      <c r="AT46" s="2" t="s">
        <v>308</v>
      </c>
      <c r="AU46" s="2" t="s">
        <v>308</v>
      </c>
      <c r="AV46" s="2" t="s">
        <v>308</v>
      </c>
      <c r="AW46" s="2"/>
      <c r="AX46" s="2" t="s">
        <v>308</v>
      </c>
      <c r="AY46" s="2" t="s">
        <v>308</v>
      </c>
      <c r="AZ46" s="2" t="s">
        <v>209</v>
      </c>
      <c r="BA46" s="2" t="s">
        <v>209</v>
      </c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</row>
    <row r="47" spans="1:82" x14ac:dyDescent="0.25">
      <c r="A47" s="2">
        <v>44</v>
      </c>
      <c r="B47" s="2" t="s">
        <v>122</v>
      </c>
      <c r="C47" s="59">
        <v>2022</v>
      </c>
      <c r="D47" s="55"/>
      <c r="E47" s="55"/>
      <c r="F47" s="2" t="s">
        <v>37</v>
      </c>
      <c r="G47" s="2">
        <f>RANK(H47,$H$4:$H$124,0)</f>
        <v>91</v>
      </c>
      <c r="H47" s="6">
        <f>I47+개인기록Sheet!C47</f>
        <v>0</v>
      </c>
      <c r="I47" s="6">
        <f>(COUNTIF(J47:CD47,"출전")*1)</f>
        <v>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</row>
    <row r="48" spans="1:82" x14ac:dyDescent="0.25">
      <c r="A48" s="2">
        <v>45</v>
      </c>
      <c r="B48" s="2" t="s">
        <v>119</v>
      </c>
      <c r="C48" s="59">
        <v>2022</v>
      </c>
      <c r="D48" s="55"/>
      <c r="E48" s="55"/>
      <c r="F48" s="2" t="s">
        <v>37</v>
      </c>
      <c r="G48" s="2">
        <f>RANK(H48,$H$4:$H$124,0)</f>
        <v>86</v>
      </c>
      <c r="H48" s="6">
        <f>I48+개인기록Sheet!C48</f>
        <v>1.4</v>
      </c>
      <c r="I48" s="6">
        <f>(COUNTIF(J48:CD48,"출전")*1)</f>
        <v>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308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</row>
    <row r="49" spans="1:82" x14ac:dyDescent="0.25">
      <c r="A49" s="2">
        <v>46</v>
      </c>
      <c r="B49" s="2" t="s">
        <v>139</v>
      </c>
      <c r="C49" s="59">
        <v>2023</v>
      </c>
      <c r="D49" s="55" t="s">
        <v>384</v>
      </c>
      <c r="E49" s="55"/>
      <c r="F49" s="2" t="s">
        <v>37</v>
      </c>
      <c r="G49" s="2">
        <f>RANK(H49,$H$4:$H$124,0)</f>
        <v>11</v>
      </c>
      <c r="H49" s="6">
        <f>I49+개인기록Sheet!C49</f>
        <v>32.6</v>
      </c>
      <c r="I49" s="6">
        <f>(COUNTIF(J49:CD49,"출전")*1)</f>
        <v>26</v>
      </c>
      <c r="J49" s="2" t="s">
        <v>308</v>
      </c>
      <c r="K49" s="2"/>
      <c r="L49" s="2"/>
      <c r="M49" s="2" t="s">
        <v>308</v>
      </c>
      <c r="N49" s="2"/>
      <c r="O49" s="2"/>
      <c r="P49" s="2" t="s">
        <v>308</v>
      </c>
      <c r="Q49" s="2" t="s">
        <v>308</v>
      </c>
      <c r="R49" s="2"/>
      <c r="S49" s="2" t="s">
        <v>308</v>
      </c>
      <c r="T49" s="2" t="s">
        <v>308</v>
      </c>
      <c r="U49" s="2"/>
      <c r="V49" s="2" t="s">
        <v>308</v>
      </c>
      <c r="W49" s="2"/>
      <c r="X49" s="2"/>
      <c r="Y49" s="2"/>
      <c r="Z49" s="2" t="s">
        <v>308</v>
      </c>
      <c r="AA49" s="2"/>
      <c r="AB49" s="2"/>
      <c r="AC49" s="2"/>
      <c r="AD49" s="2" t="s">
        <v>308</v>
      </c>
      <c r="AE49" s="2"/>
      <c r="AF49" s="2" t="s">
        <v>308</v>
      </c>
      <c r="AG49" s="2" t="s">
        <v>308</v>
      </c>
      <c r="AH49" s="2" t="s">
        <v>308</v>
      </c>
      <c r="AI49" s="2" t="s">
        <v>308</v>
      </c>
      <c r="AJ49" s="2" t="s">
        <v>308</v>
      </c>
      <c r="AK49" s="2"/>
      <c r="AL49" s="2" t="s">
        <v>308</v>
      </c>
      <c r="AM49" s="2" t="s">
        <v>308</v>
      </c>
      <c r="AN49" s="2" t="s">
        <v>308</v>
      </c>
      <c r="AO49" s="2" t="s">
        <v>308</v>
      </c>
      <c r="AP49" s="2" t="s">
        <v>308</v>
      </c>
      <c r="AQ49" s="2" t="s">
        <v>308</v>
      </c>
      <c r="AR49" s="2"/>
      <c r="AS49" s="2"/>
      <c r="AT49" s="2" t="s">
        <v>308</v>
      </c>
      <c r="AU49" s="2" t="s">
        <v>308</v>
      </c>
      <c r="AV49" s="2" t="s">
        <v>308</v>
      </c>
      <c r="AW49" s="2" t="s">
        <v>308</v>
      </c>
      <c r="AX49" s="2" t="s">
        <v>308</v>
      </c>
      <c r="AY49" s="2" t="s">
        <v>308</v>
      </c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</row>
    <row r="50" spans="1:82" x14ac:dyDescent="0.25">
      <c r="A50" s="2">
        <v>47</v>
      </c>
      <c r="B50" s="2" t="s">
        <v>205</v>
      </c>
      <c r="C50" s="59">
        <v>2023</v>
      </c>
      <c r="D50" s="55"/>
      <c r="E50" s="55"/>
      <c r="F50" s="2" t="s">
        <v>37</v>
      </c>
      <c r="G50" s="2">
        <f>RANK(H50,$H$4:$H$124,0)</f>
        <v>91</v>
      </c>
      <c r="H50" s="6">
        <f>I50+개인기록Sheet!C50</f>
        <v>0</v>
      </c>
      <c r="I50" s="6">
        <f>(COUNTIF(J50:CD50,"출전")*1)</f>
        <v>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</row>
    <row r="51" spans="1:82" x14ac:dyDescent="0.25">
      <c r="A51" s="2">
        <v>48</v>
      </c>
      <c r="B51" s="2" t="s">
        <v>136</v>
      </c>
      <c r="C51" s="59">
        <v>2023</v>
      </c>
      <c r="D51" s="55"/>
      <c r="E51" s="55"/>
      <c r="F51" s="2" t="s">
        <v>37</v>
      </c>
      <c r="G51" s="2">
        <f>RANK(H51,$H$4:$H$124,0)</f>
        <v>90</v>
      </c>
      <c r="H51" s="6">
        <f>I51+개인기록Sheet!C51</f>
        <v>1</v>
      </c>
      <c r="I51" s="6">
        <f>(COUNTIF(J51:CD51,"출전")*1)</f>
        <v>1</v>
      </c>
      <c r="J51" s="2"/>
      <c r="K51" s="2" t="s">
        <v>308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</row>
    <row r="52" spans="1:82" x14ac:dyDescent="0.25">
      <c r="A52" s="2">
        <v>49</v>
      </c>
      <c r="B52" s="2" t="s">
        <v>39</v>
      </c>
      <c r="C52" s="59">
        <v>2022</v>
      </c>
      <c r="D52" s="55"/>
      <c r="E52" s="55"/>
      <c r="F52" s="2" t="s">
        <v>37</v>
      </c>
      <c r="G52" s="2">
        <f>RANK(H52,$H$4:$H$124,0)</f>
        <v>91</v>
      </c>
      <c r="H52" s="6">
        <f>I52+개인기록Sheet!C52</f>
        <v>0</v>
      </c>
      <c r="I52" s="6">
        <f>(COUNTIF(J52:CD52,"출전")*1)</f>
        <v>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</row>
    <row r="53" spans="1:82" x14ac:dyDescent="0.25">
      <c r="A53" s="2">
        <v>50</v>
      </c>
      <c r="B53" s="2" t="s">
        <v>247</v>
      </c>
      <c r="C53" s="60">
        <v>2024</v>
      </c>
      <c r="D53" s="55"/>
      <c r="E53" s="55"/>
      <c r="F53" s="2" t="s">
        <v>37</v>
      </c>
      <c r="G53" s="2">
        <f>RANK(H53,$H$4:$H$124,0)</f>
        <v>73</v>
      </c>
      <c r="H53" s="6">
        <f>I53+개인기록Sheet!C53</f>
        <v>4</v>
      </c>
      <c r="I53" s="6">
        <f>(COUNTIF(J53:CD53,"출전")*1)</f>
        <v>4</v>
      </c>
      <c r="J53" s="2"/>
      <c r="K53" s="2" t="s">
        <v>308</v>
      </c>
      <c r="L53" s="2" t="s">
        <v>308</v>
      </c>
      <c r="M53" s="2"/>
      <c r="N53" s="2" t="s">
        <v>308</v>
      </c>
      <c r="O53" s="2" t="s">
        <v>308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</row>
    <row r="54" spans="1:82" x14ac:dyDescent="0.25">
      <c r="A54" s="2">
        <v>51</v>
      </c>
      <c r="B54" s="2" t="s">
        <v>134</v>
      </c>
      <c r="C54" s="59">
        <v>2023</v>
      </c>
      <c r="D54" s="55" t="s">
        <v>233</v>
      </c>
      <c r="E54" s="55"/>
      <c r="F54" s="2" t="s">
        <v>37</v>
      </c>
      <c r="G54" s="2">
        <f>RANK(H54,$H$4:$H$124,0)</f>
        <v>30</v>
      </c>
      <c r="H54" s="6">
        <f>I54+개인기록Sheet!C54</f>
        <v>20</v>
      </c>
      <c r="I54" s="6">
        <f>(COUNTIF(J54:CD54,"출전")*1)</f>
        <v>17</v>
      </c>
      <c r="J54" s="2" t="s">
        <v>308</v>
      </c>
      <c r="K54" s="2" t="s">
        <v>308</v>
      </c>
      <c r="L54" s="2" t="s">
        <v>308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308</v>
      </c>
      <c r="Y54" s="2" t="s">
        <v>308</v>
      </c>
      <c r="Z54" s="2" t="s">
        <v>308</v>
      </c>
      <c r="AA54" s="2" t="s">
        <v>308</v>
      </c>
      <c r="AB54" s="2" t="s">
        <v>308</v>
      </c>
      <c r="AC54" s="2" t="s">
        <v>308</v>
      </c>
      <c r="AD54" s="2" t="s">
        <v>308</v>
      </c>
      <c r="AE54" s="2" t="s">
        <v>308</v>
      </c>
      <c r="AF54" s="2"/>
      <c r="AG54" s="2"/>
      <c r="AH54" s="2"/>
      <c r="AI54" s="2"/>
      <c r="AJ54" s="2"/>
      <c r="AK54" s="2" t="s">
        <v>308</v>
      </c>
      <c r="AL54" s="2"/>
      <c r="AM54" s="2"/>
      <c r="AN54" s="2"/>
      <c r="AO54" s="2" t="s">
        <v>308</v>
      </c>
      <c r="AP54" s="2" t="s">
        <v>308</v>
      </c>
      <c r="AQ54" s="2"/>
      <c r="AR54" s="2"/>
      <c r="AS54" s="2"/>
      <c r="AT54" s="2" t="s">
        <v>308</v>
      </c>
      <c r="AU54" s="2"/>
      <c r="AV54" s="2" t="s">
        <v>308</v>
      </c>
      <c r="AW54" s="2" t="s">
        <v>308</v>
      </c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</row>
    <row r="55" spans="1:82" x14ac:dyDescent="0.25">
      <c r="A55" s="2">
        <v>52</v>
      </c>
      <c r="B55" s="2" t="s">
        <v>356</v>
      </c>
      <c r="C55" s="60">
        <v>2025</v>
      </c>
      <c r="D55" s="55"/>
      <c r="E55" s="55"/>
      <c r="F55" s="62"/>
      <c r="G55" s="2">
        <f>RANK(H55,$H$4:$H$124,0)</f>
        <v>91</v>
      </c>
      <c r="H55" s="6">
        <f>I55+개인기록Sheet!C55</f>
        <v>0</v>
      </c>
      <c r="I55" s="6">
        <f>(COUNTIF(J55:CD55,"출전")*1)</f>
        <v>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</row>
    <row r="56" spans="1:82" x14ac:dyDescent="0.25">
      <c r="A56" s="2">
        <v>53</v>
      </c>
      <c r="B56" s="2" t="s">
        <v>345</v>
      </c>
      <c r="C56" s="60">
        <v>2025</v>
      </c>
      <c r="D56" s="55"/>
      <c r="E56" s="55"/>
      <c r="F56" s="2" t="s">
        <v>37</v>
      </c>
      <c r="G56" s="2">
        <f>RANK(H56,$H$4:$H$124,0)</f>
        <v>51</v>
      </c>
      <c r="H56" s="6">
        <f>I56+개인기록Sheet!C56</f>
        <v>10.3</v>
      </c>
      <c r="I56" s="6">
        <f>(COUNTIF(J56:CD56,"출전")*1)</f>
        <v>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 t="s">
        <v>308</v>
      </c>
      <c r="AF56" s="2"/>
      <c r="AG56" s="2" t="s">
        <v>308</v>
      </c>
      <c r="AH56" s="2" t="s">
        <v>308</v>
      </c>
      <c r="AI56" s="2" t="s">
        <v>308</v>
      </c>
      <c r="AJ56" s="2"/>
      <c r="AK56" s="2"/>
      <c r="AL56" s="2"/>
      <c r="AM56" s="2" t="s">
        <v>308</v>
      </c>
      <c r="AN56" s="2" t="s">
        <v>308</v>
      </c>
      <c r="AO56" s="2"/>
      <c r="AP56" s="2" t="s">
        <v>308</v>
      </c>
      <c r="AQ56" s="2"/>
      <c r="AR56" s="2" t="s">
        <v>308</v>
      </c>
      <c r="AS56" s="2"/>
      <c r="AT56" s="2"/>
      <c r="AU56" s="2"/>
      <c r="AV56" s="2" t="s">
        <v>308</v>
      </c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</row>
    <row r="57" spans="1:82" x14ac:dyDescent="0.25">
      <c r="A57" s="2">
        <v>54</v>
      </c>
      <c r="B57" s="2" t="s">
        <v>332</v>
      </c>
      <c r="C57" s="60">
        <v>2025</v>
      </c>
      <c r="D57" s="55"/>
      <c r="E57" s="55"/>
      <c r="F57" s="2" t="s">
        <v>37</v>
      </c>
      <c r="G57" s="2">
        <f>RANK(H57,$H$4:$H$124,0)</f>
        <v>72</v>
      </c>
      <c r="H57" s="6">
        <f>I57+개인기록Sheet!C57</f>
        <v>4.2</v>
      </c>
      <c r="I57" s="6">
        <f>(COUNTIF(J57:CD57,"출전")*1)</f>
        <v>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 t="s">
        <v>308</v>
      </c>
      <c r="AA57" s="2" t="s">
        <v>308</v>
      </c>
      <c r="AB57" s="2" t="s">
        <v>308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 t="s">
        <v>308</v>
      </c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</row>
    <row r="58" spans="1:82" x14ac:dyDescent="0.25">
      <c r="A58" s="2">
        <v>55</v>
      </c>
      <c r="B58" s="2" t="s">
        <v>306</v>
      </c>
      <c r="C58" s="60">
        <v>2024</v>
      </c>
      <c r="D58" s="55"/>
      <c r="E58" s="55"/>
      <c r="F58" s="2" t="s">
        <v>37</v>
      </c>
      <c r="G58" s="2">
        <f>RANK(H58,$H$4:$H$124,0)</f>
        <v>82</v>
      </c>
      <c r="H58" s="6">
        <f>I58+개인기록Sheet!C58</f>
        <v>2.6</v>
      </c>
      <c r="I58" s="6">
        <f>(COUNTIF(J58:CD58,"출전")*1)</f>
        <v>2</v>
      </c>
      <c r="J58" s="2"/>
      <c r="K58" s="2"/>
      <c r="L58" s="2"/>
      <c r="M58" s="2"/>
      <c r="N58" s="2"/>
      <c r="O58" s="2"/>
      <c r="P58" s="2"/>
      <c r="Q58" s="2"/>
      <c r="R58" s="2"/>
      <c r="S58" s="2" t="s">
        <v>308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s">
        <v>209</v>
      </c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</row>
    <row r="59" spans="1:82" x14ac:dyDescent="0.25">
      <c r="A59" s="2">
        <v>56</v>
      </c>
      <c r="B59" s="2" t="s">
        <v>101</v>
      </c>
      <c r="C59" s="59">
        <v>2022</v>
      </c>
      <c r="D59" s="55" t="s">
        <v>384</v>
      </c>
      <c r="E59" s="55"/>
      <c r="F59" s="2" t="s">
        <v>37</v>
      </c>
      <c r="G59" s="2">
        <f>RANK(H59,$H$4:$H$124,0)</f>
        <v>38</v>
      </c>
      <c r="H59" s="6">
        <f>I59+개인기록Sheet!C59</f>
        <v>17</v>
      </c>
      <c r="I59" s="6">
        <f>(COUNTIF(J59:CD59,"출전")*1)</f>
        <v>14</v>
      </c>
      <c r="J59" s="2" t="s">
        <v>308</v>
      </c>
      <c r="K59" s="2"/>
      <c r="L59" s="2"/>
      <c r="M59" s="2" t="s">
        <v>308</v>
      </c>
      <c r="N59" s="2"/>
      <c r="O59" s="2"/>
      <c r="P59" s="2"/>
      <c r="Q59" s="2"/>
      <c r="R59" s="2"/>
      <c r="S59" s="2" t="s">
        <v>308</v>
      </c>
      <c r="T59" s="2"/>
      <c r="U59" s="2"/>
      <c r="V59" s="2" t="s">
        <v>308</v>
      </c>
      <c r="W59" s="2" t="s">
        <v>308</v>
      </c>
      <c r="X59" s="2" t="s">
        <v>308</v>
      </c>
      <c r="Y59" s="2"/>
      <c r="Z59" s="2" t="s">
        <v>308</v>
      </c>
      <c r="AA59" s="2"/>
      <c r="AB59" s="2"/>
      <c r="AC59" s="2" t="s">
        <v>308</v>
      </c>
      <c r="AD59" s="2"/>
      <c r="AE59" s="2"/>
      <c r="AF59" s="2"/>
      <c r="AG59" s="2"/>
      <c r="AH59" s="2"/>
      <c r="AI59" s="2"/>
      <c r="AJ59" s="2"/>
      <c r="AK59" s="2" t="s">
        <v>308</v>
      </c>
      <c r="AL59" s="2"/>
      <c r="AM59" s="2" t="s">
        <v>308</v>
      </c>
      <c r="AN59" s="2"/>
      <c r="AO59" s="2"/>
      <c r="AP59" s="2" t="s">
        <v>209</v>
      </c>
      <c r="AQ59" s="2" t="s">
        <v>308</v>
      </c>
      <c r="AR59" s="2"/>
      <c r="AS59" s="2"/>
      <c r="AT59" s="2"/>
      <c r="AU59" s="2"/>
      <c r="AV59" s="2"/>
      <c r="AW59" s="2"/>
      <c r="AX59" s="2" t="s">
        <v>308</v>
      </c>
      <c r="AY59" s="2" t="s">
        <v>308</v>
      </c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</row>
    <row r="60" spans="1:82" x14ac:dyDescent="0.25">
      <c r="A60" s="2">
        <v>57</v>
      </c>
      <c r="B60" s="2" t="s">
        <v>248</v>
      </c>
      <c r="C60" s="60">
        <v>2024</v>
      </c>
      <c r="D60" s="55"/>
      <c r="E60" s="55"/>
      <c r="F60" s="2" t="s">
        <v>37</v>
      </c>
      <c r="G60" s="2">
        <f>RANK(H60,$H$4:$H$124,0)</f>
        <v>66</v>
      </c>
      <c r="H60" s="6">
        <f>I60+개인기록Sheet!C60</f>
        <v>7.2</v>
      </c>
      <c r="I60" s="6">
        <f>(COUNTIF(J60:CD60,"출전")*1)</f>
        <v>6</v>
      </c>
      <c r="J60" s="2"/>
      <c r="K60" s="2"/>
      <c r="L60" s="2"/>
      <c r="M60" s="2"/>
      <c r="N60" s="2"/>
      <c r="O60" s="2"/>
      <c r="P60" s="2"/>
      <c r="Q60" s="2"/>
      <c r="R60" s="2"/>
      <c r="S60" s="2" t="s">
        <v>308</v>
      </c>
      <c r="T60" s="2"/>
      <c r="U60" s="2"/>
      <c r="V60" s="2"/>
      <c r="W60" s="2" t="s">
        <v>308</v>
      </c>
      <c r="X60" s="2"/>
      <c r="Y60" s="2"/>
      <c r="Z60" s="2"/>
      <c r="AA60" s="2"/>
      <c r="AB60" s="2"/>
      <c r="AC60" s="2" t="s">
        <v>308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 t="s">
        <v>308</v>
      </c>
      <c r="AP60" s="2" t="s">
        <v>308</v>
      </c>
      <c r="AQ60" s="2" t="s">
        <v>308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</row>
    <row r="61" spans="1:82" x14ac:dyDescent="0.25">
      <c r="A61" s="2">
        <v>58</v>
      </c>
      <c r="B61" s="2" t="s">
        <v>321</v>
      </c>
      <c r="C61" s="60">
        <v>2025</v>
      </c>
      <c r="D61" s="55" t="s">
        <v>384</v>
      </c>
      <c r="E61" s="55"/>
      <c r="F61" s="2" t="s">
        <v>37</v>
      </c>
      <c r="G61" s="2">
        <f>RANK(H61,$H$4:$H$124,0)</f>
        <v>21</v>
      </c>
      <c r="H61" s="6">
        <f>I61+개인기록Sheet!C61</f>
        <v>26.2</v>
      </c>
      <c r="I61" s="6">
        <f>(COUNTIF(J61:CD61,"출전")*1)</f>
        <v>19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308</v>
      </c>
      <c r="V61" s="2" t="s">
        <v>308</v>
      </c>
      <c r="W61" s="2" t="s">
        <v>308</v>
      </c>
      <c r="X61" s="2" t="s">
        <v>308</v>
      </c>
      <c r="Y61" s="2" t="s">
        <v>308</v>
      </c>
      <c r="Z61" s="2" t="s">
        <v>308</v>
      </c>
      <c r="AA61" s="2"/>
      <c r="AB61" s="2"/>
      <c r="AC61" s="2" t="s">
        <v>308</v>
      </c>
      <c r="AD61" s="2"/>
      <c r="AE61" s="2" t="s">
        <v>308</v>
      </c>
      <c r="AF61" s="2" t="s">
        <v>308</v>
      </c>
      <c r="AG61" s="2"/>
      <c r="AH61" s="2"/>
      <c r="AI61" s="2"/>
      <c r="AJ61" s="2"/>
      <c r="AK61" s="2"/>
      <c r="AL61" s="2"/>
      <c r="AM61" s="2"/>
      <c r="AN61" s="2" t="s">
        <v>308</v>
      </c>
      <c r="AO61" s="2" t="s">
        <v>308</v>
      </c>
      <c r="AP61" s="2" t="s">
        <v>308</v>
      </c>
      <c r="AQ61" s="2" t="s">
        <v>308</v>
      </c>
      <c r="AR61" s="2"/>
      <c r="AS61" s="2" t="s">
        <v>308</v>
      </c>
      <c r="AT61" s="2"/>
      <c r="AU61" s="2"/>
      <c r="AV61" s="2"/>
      <c r="AW61" s="2" t="s">
        <v>308</v>
      </c>
      <c r="AX61" s="2" t="s">
        <v>308</v>
      </c>
      <c r="AY61" s="2" t="s">
        <v>308</v>
      </c>
      <c r="AZ61" s="2" t="s">
        <v>209</v>
      </c>
      <c r="BA61" s="2" t="s">
        <v>209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</row>
    <row r="62" spans="1:82" x14ac:dyDescent="0.25">
      <c r="A62" s="2">
        <v>59</v>
      </c>
      <c r="B62" s="2" t="s">
        <v>112</v>
      </c>
      <c r="C62" s="59">
        <v>2022</v>
      </c>
      <c r="D62" s="55" t="s">
        <v>384</v>
      </c>
      <c r="E62" s="55"/>
      <c r="F62" s="2" t="s">
        <v>37</v>
      </c>
      <c r="G62" s="2">
        <f>RANK(H62,$H$4:$H$124,0)</f>
        <v>36</v>
      </c>
      <c r="H62" s="6">
        <f>I62+개인기록Sheet!C62</f>
        <v>18.5</v>
      </c>
      <c r="I62" s="6">
        <f>(COUNTIF(J62:CD62,"출전")*1)</f>
        <v>15</v>
      </c>
      <c r="J62" s="2" t="s">
        <v>308</v>
      </c>
      <c r="K62" s="2"/>
      <c r="L62" s="2"/>
      <c r="M62" s="2"/>
      <c r="N62" s="2" t="s">
        <v>308</v>
      </c>
      <c r="O62" s="2" t="s">
        <v>308</v>
      </c>
      <c r="P62" s="2"/>
      <c r="Q62" s="2" t="s">
        <v>308</v>
      </c>
      <c r="R62" s="2"/>
      <c r="S62" s="2"/>
      <c r="T62" s="2"/>
      <c r="U62" s="2" t="s">
        <v>308</v>
      </c>
      <c r="V62" s="2"/>
      <c r="W62" s="2"/>
      <c r="X62" s="2" t="s">
        <v>308</v>
      </c>
      <c r="Y62" s="2"/>
      <c r="Z62" s="2"/>
      <c r="AA62" s="2"/>
      <c r="AB62" s="2"/>
      <c r="AC62" s="2" t="s">
        <v>308</v>
      </c>
      <c r="AD62" s="2"/>
      <c r="AE62" s="2"/>
      <c r="AF62" s="2" t="s">
        <v>308</v>
      </c>
      <c r="AG62" s="2"/>
      <c r="AH62" s="2"/>
      <c r="AI62" s="2"/>
      <c r="AJ62" s="2"/>
      <c r="AK62" s="2" t="s">
        <v>308</v>
      </c>
      <c r="AL62" s="2"/>
      <c r="AM62" s="2"/>
      <c r="AN62" s="2" t="s">
        <v>308</v>
      </c>
      <c r="AO62" s="2" t="s">
        <v>308</v>
      </c>
      <c r="AP62" s="2"/>
      <c r="AQ62" s="2" t="s">
        <v>308</v>
      </c>
      <c r="AR62" s="2"/>
      <c r="AS62" s="2"/>
      <c r="AT62" s="2" t="s">
        <v>308</v>
      </c>
      <c r="AU62" s="2"/>
      <c r="AV62" s="2" t="s">
        <v>308</v>
      </c>
      <c r="AW62" s="2"/>
      <c r="AX62" s="2"/>
      <c r="AY62" s="2" t="s">
        <v>308</v>
      </c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</row>
    <row r="63" spans="1:82" x14ac:dyDescent="0.25">
      <c r="A63" s="2">
        <v>60</v>
      </c>
      <c r="B63" s="2" t="s">
        <v>3</v>
      </c>
      <c r="C63" s="59" t="s">
        <v>375</v>
      </c>
      <c r="D63" s="55"/>
      <c r="E63" s="55"/>
      <c r="F63" s="2" t="s">
        <v>37</v>
      </c>
      <c r="G63" s="2">
        <f>RANK(H63,$H$4:$H$124,0)</f>
        <v>91</v>
      </c>
      <c r="H63" s="6">
        <f>I63+개인기록Sheet!C63</f>
        <v>0</v>
      </c>
      <c r="I63" s="6">
        <f>(COUNTIF(J63:CD63,"출전")*1)</f>
        <v>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</row>
    <row r="64" spans="1:82" x14ac:dyDescent="0.25">
      <c r="A64" s="2">
        <v>61</v>
      </c>
      <c r="B64" s="2" t="s">
        <v>365</v>
      </c>
      <c r="C64" s="60">
        <v>2025</v>
      </c>
      <c r="D64" s="55"/>
      <c r="E64" s="55"/>
      <c r="F64" s="2" t="s">
        <v>37</v>
      </c>
      <c r="G64" s="2">
        <f>RANK(H64,$H$4:$H$124,0)</f>
        <v>87</v>
      </c>
      <c r="H64" s="6">
        <f>I64+개인기록Sheet!C64</f>
        <v>1.2</v>
      </c>
      <c r="I64" s="6">
        <f>(COUNTIF(J64:CD64,"출전")*1)</f>
        <v>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 t="s">
        <v>308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</row>
    <row r="65" spans="1:82" x14ac:dyDescent="0.25">
      <c r="A65" s="2">
        <v>62</v>
      </c>
      <c r="B65" s="2" t="s">
        <v>310</v>
      </c>
      <c r="C65" s="60">
        <v>2025</v>
      </c>
      <c r="D65" s="55" t="s">
        <v>233</v>
      </c>
      <c r="E65" s="55"/>
      <c r="F65" s="2" t="s">
        <v>37</v>
      </c>
      <c r="G65" s="2">
        <f>RANK(H65,$H$4:$H$124,0)</f>
        <v>18</v>
      </c>
      <c r="H65" s="6">
        <f>I65+개인기록Sheet!C65</f>
        <v>29.2</v>
      </c>
      <c r="I65" s="6">
        <f>(COUNTIF(J65:CD65,"출전")*1)</f>
        <v>22</v>
      </c>
      <c r="J65" s="2"/>
      <c r="K65" s="2"/>
      <c r="L65" s="2"/>
      <c r="M65" s="2"/>
      <c r="N65" s="2"/>
      <c r="O65" s="2"/>
      <c r="P65" s="2"/>
      <c r="Q65" s="2" t="s">
        <v>308</v>
      </c>
      <c r="R65" s="2"/>
      <c r="S65" s="2" t="s">
        <v>308</v>
      </c>
      <c r="T65" s="2" t="s">
        <v>308</v>
      </c>
      <c r="U65" s="2" t="s">
        <v>308</v>
      </c>
      <c r="V65" s="2"/>
      <c r="W65" s="2"/>
      <c r="X65" s="2" t="s">
        <v>308</v>
      </c>
      <c r="Y65" s="2" t="s">
        <v>308</v>
      </c>
      <c r="Z65" s="2" t="s">
        <v>308</v>
      </c>
      <c r="AA65" s="2" t="s">
        <v>308</v>
      </c>
      <c r="AB65" s="2"/>
      <c r="AC65" s="2" t="s">
        <v>308</v>
      </c>
      <c r="AD65" s="2" t="s">
        <v>308</v>
      </c>
      <c r="AE65" s="2" t="s">
        <v>308</v>
      </c>
      <c r="AF65" s="2" t="s">
        <v>308</v>
      </c>
      <c r="AG65" s="2"/>
      <c r="AH65" s="2" t="s">
        <v>308</v>
      </c>
      <c r="AI65" s="2" t="s">
        <v>308</v>
      </c>
      <c r="AJ65" s="2"/>
      <c r="AK65" s="2" t="s">
        <v>308</v>
      </c>
      <c r="AL65" s="2"/>
      <c r="AM65" s="2"/>
      <c r="AN65" s="2" t="s">
        <v>308</v>
      </c>
      <c r="AO65" s="2"/>
      <c r="AP65" s="2"/>
      <c r="AQ65" s="2" t="s">
        <v>308</v>
      </c>
      <c r="AR65" s="2"/>
      <c r="AS65" s="2"/>
      <c r="AT65" s="2" t="s">
        <v>308</v>
      </c>
      <c r="AU65" s="2"/>
      <c r="AV65" s="2"/>
      <c r="AW65" s="2"/>
      <c r="AX65" s="2" t="s">
        <v>308</v>
      </c>
      <c r="AY65" s="2" t="s">
        <v>308</v>
      </c>
      <c r="AZ65" s="2" t="s">
        <v>209</v>
      </c>
      <c r="BA65" s="2" t="s">
        <v>209</v>
      </c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</row>
    <row r="66" spans="1:82" x14ac:dyDescent="0.25">
      <c r="A66" s="2">
        <v>63</v>
      </c>
      <c r="B66" s="2" t="s">
        <v>128</v>
      </c>
      <c r="C66" s="59">
        <v>2023</v>
      </c>
      <c r="D66" s="55" t="s">
        <v>384</v>
      </c>
      <c r="E66" s="55"/>
      <c r="F66" s="2" t="s">
        <v>37</v>
      </c>
      <c r="G66" s="2">
        <f>RANK(H66,$H$4:$H$124,0)</f>
        <v>42</v>
      </c>
      <c r="H66" s="6">
        <f>I66+개인기록Sheet!C66</f>
        <v>13.2</v>
      </c>
      <c r="I66" s="6">
        <f>(COUNTIF(J66:CD66,"출전")*1)</f>
        <v>10</v>
      </c>
      <c r="J66" s="2" t="s">
        <v>308</v>
      </c>
      <c r="K66" s="2"/>
      <c r="L66" s="2" t="s">
        <v>308</v>
      </c>
      <c r="M66" s="2"/>
      <c r="N66" s="2"/>
      <c r="O66" s="2" t="s">
        <v>308</v>
      </c>
      <c r="P66" s="2" t="s">
        <v>308</v>
      </c>
      <c r="Q66" s="2"/>
      <c r="R66" s="2"/>
      <c r="S66" s="2"/>
      <c r="T66" s="2"/>
      <c r="U66" s="2" t="s">
        <v>308</v>
      </c>
      <c r="V66" s="2" t="s">
        <v>308</v>
      </c>
      <c r="W66" s="2"/>
      <c r="X66" s="2"/>
      <c r="Y66" s="2" t="s">
        <v>308</v>
      </c>
      <c r="Z66" s="2"/>
      <c r="AA66" s="2"/>
      <c r="AB66" s="2"/>
      <c r="AC66" s="2" t="s">
        <v>308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 t="s">
        <v>308</v>
      </c>
      <c r="AQ66" s="2"/>
      <c r="AR66" s="2"/>
      <c r="AS66" s="2"/>
      <c r="AT66" s="2"/>
      <c r="AU66" s="2"/>
      <c r="AV66" s="2"/>
      <c r="AW66" s="2" t="s">
        <v>308</v>
      </c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</row>
    <row r="67" spans="1:82" x14ac:dyDescent="0.25">
      <c r="A67" s="2">
        <v>64</v>
      </c>
      <c r="B67" s="2" t="s">
        <v>99</v>
      </c>
      <c r="C67" s="59">
        <v>2021</v>
      </c>
      <c r="D67" s="55" t="s">
        <v>233</v>
      </c>
      <c r="E67" s="55"/>
      <c r="F67" s="2" t="s">
        <v>37</v>
      </c>
      <c r="G67" s="2">
        <f>RANK(H67,$H$4:$H$124,0)</f>
        <v>2</v>
      </c>
      <c r="H67" s="6">
        <f>I67+개인기록Sheet!C67</f>
        <v>39.9</v>
      </c>
      <c r="I67" s="6">
        <f>(COUNTIF(J67:CD67,"출전")*1)</f>
        <v>29</v>
      </c>
      <c r="J67" s="2" t="s">
        <v>308</v>
      </c>
      <c r="K67" s="2"/>
      <c r="L67" s="2"/>
      <c r="M67" s="2" t="s">
        <v>308</v>
      </c>
      <c r="N67" s="2"/>
      <c r="O67" s="2" t="s">
        <v>308</v>
      </c>
      <c r="P67" s="2" t="s">
        <v>308</v>
      </c>
      <c r="Q67" s="2" t="s">
        <v>308</v>
      </c>
      <c r="R67" s="2"/>
      <c r="S67" s="2" t="s">
        <v>308</v>
      </c>
      <c r="T67" s="2" t="s">
        <v>308</v>
      </c>
      <c r="U67" s="2" t="s">
        <v>308</v>
      </c>
      <c r="V67" s="2" t="s">
        <v>308</v>
      </c>
      <c r="W67" s="2"/>
      <c r="X67" s="2" t="s">
        <v>308</v>
      </c>
      <c r="Y67" s="2"/>
      <c r="Z67" s="2"/>
      <c r="AA67" s="2" t="s">
        <v>308</v>
      </c>
      <c r="AB67" s="2" t="s">
        <v>308</v>
      </c>
      <c r="AC67" s="2"/>
      <c r="AD67" s="2" t="s">
        <v>308</v>
      </c>
      <c r="AE67" s="2" t="s">
        <v>308</v>
      </c>
      <c r="AF67" s="2" t="s">
        <v>308</v>
      </c>
      <c r="AG67" s="2" t="s">
        <v>308</v>
      </c>
      <c r="AH67" s="2"/>
      <c r="AI67" s="2" t="s">
        <v>308</v>
      </c>
      <c r="AJ67" s="2"/>
      <c r="AK67" s="2" t="s">
        <v>308</v>
      </c>
      <c r="AL67" s="2" t="s">
        <v>308</v>
      </c>
      <c r="AM67" s="2" t="s">
        <v>308</v>
      </c>
      <c r="AN67" s="2" t="s">
        <v>308</v>
      </c>
      <c r="AO67" s="2"/>
      <c r="AP67" s="2" t="s">
        <v>308</v>
      </c>
      <c r="AQ67" s="2" t="s">
        <v>308</v>
      </c>
      <c r="AR67" s="2"/>
      <c r="AS67" s="2"/>
      <c r="AT67" s="2" t="s">
        <v>308</v>
      </c>
      <c r="AU67" s="2" t="s">
        <v>308</v>
      </c>
      <c r="AV67" s="2" t="s">
        <v>308</v>
      </c>
      <c r="AW67" s="2"/>
      <c r="AX67" s="2" t="s">
        <v>308</v>
      </c>
      <c r="AY67" s="2" t="s">
        <v>308</v>
      </c>
      <c r="AZ67" s="2" t="s">
        <v>209</v>
      </c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</row>
    <row r="68" spans="1:82" x14ac:dyDescent="0.25">
      <c r="A68" s="2">
        <v>65</v>
      </c>
      <c r="B68" s="2" t="s">
        <v>45</v>
      </c>
      <c r="C68" s="59" t="s">
        <v>375</v>
      </c>
      <c r="D68" s="55"/>
      <c r="E68" s="55"/>
      <c r="F68" s="2" t="s">
        <v>37</v>
      </c>
      <c r="G68" s="2">
        <f>RANK(H68,$H$4:$H$124,0)</f>
        <v>91</v>
      </c>
      <c r="H68" s="6">
        <f>I68+개인기록Sheet!C68</f>
        <v>0</v>
      </c>
      <c r="I68" s="6">
        <f>(COUNTIF(J68:CD68,"출전")*1)</f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</row>
    <row r="69" spans="1:82" x14ac:dyDescent="0.25">
      <c r="A69" s="2">
        <v>66</v>
      </c>
      <c r="B69" s="2" t="s">
        <v>249</v>
      </c>
      <c r="C69" s="60">
        <v>2024</v>
      </c>
      <c r="D69" s="55" t="s">
        <v>385</v>
      </c>
      <c r="E69" s="55"/>
      <c r="F69" s="2" t="s">
        <v>37</v>
      </c>
      <c r="G69" s="2">
        <f>RANK(H69,$H$4:$H$124,0)</f>
        <v>44</v>
      </c>
      <c r="H69" s="6">
        <f>I69+개인기록Sheet!C69</f>
        <v>12.2</v>
      </c>
      <c r="I69" s="6">
        <f>(COUNTIF(J69:CD69,"출전")*1)</f>
        <v>11</v>
      </c>
      <c r="J69" s="2"/>
      <c r="K69" s="2"/>
      <c r="L69" s="2"/>
      <c r="M69" s="2"/>
      <c r="N69" s="2"/>
      <c r="O69" s="2"/>
      <c r="P69" s="2"/>
      <c r="Q69" s="2"/>
      <c r="R69" s="2"/>
      <c r="S69" s="2" t="s">
        <v>308</v>
      </c>
      <c r="T69" s="2"/>
      <c r="U69" s="2" t="s">
        <v>308</v>
      </c>
      <c r="V69" s="2" t="s">
        <v>308</v>
      </c>
      <c r="W69" s="2" t="s">
        <v>308</v>
      </c>
      <c r="X69" s="2"/>
      <c r="Y69" s="2"/>
      <c r="Z69" s="2"/>
      <c r="AA69" s="2"/>
      <c r="AB69" s="2"/>
      <c r="AC69" s="2" t="s">
        <v>308</v>
      </c>
      <c r="AD69" s="2"/>
      <c r="AE69" s="2"/>
      <c r="AF69" s="2"/>
      <c r="AG69" s="2"/>
      <c r="AH69" s="2"/>
      <c r="AI69" s="2"/>
      <c r="AJ69" s="2" t="s">
        <v>308</v>
      </c>
      <c r="AK69" s="2"/>
      <c r="AL69" s="2"/>
      <c r="AM69" s="2"/>
      <c r="AN69" s="2"/>
      <c r="AO69" s="2" t="s">
        <v>308</v>
      </c>
      <c r="AP69" s="2" t="s">
        <v>308</v>
      </c>
      <c r="AQ69" s="2" t="s">
        <v>308</v>
      </c>
      <c r="AR69" s="2" t="s">
        <v>308</v>
      </c>
      <c r="AS69" s="2"/>
      <c r="AT69" s="2"/>
      <c r="AU69" s="2" t="s">
        <v>308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</row>
    <row r="70" spans="1:82" x14ac:dyDescent="0.25">
      <c r="A70" s="2">
        <v>67</v>
      </c>
      <c r="B70" s="2" t="s">
        <v>342</v>
      </c>
      <c r="C70" s="60">
        <v>2025</v>
      </c>
      <c r="D70" s="55"/>
      <c r="E70" s="55"/>
      <c r="F70" s="2" t="s">
        <v>37</v>
      </c>
      <c r="G70" s="2">
        <f>RANK(H70,$H$4:$H$124,0)</f>
        <v>70</v>
      </c>
      <c r="H70" s="6">
        <f>I70+개인기록Sheet!C70</f>
        <v>4.4000000000000004</v>
      </c>
      <c r="I70" s="6">
        <f>(COUNTIF(J70:CD70,"출전")*1)</f>
        <v>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308</v>
      </c>
      <c r="AL70" s="2"/>
      <c r="AM70" s="2"/>
      <c r="AN70" s="2"/>
      <c r="AO70" s="2"/>
      <c r="AP70" s="2"/>
      <c r="AQ70" s="2" t="s">
        <v>308</v>
      </c>
      <c r="AR70" s="2"/>
      <c r="AS70" s="2"/>
      <c r="AT70" s="2" t="s">
        <v>308</v>
      </c>
      <c r="AU70" s="2" t="s">
        <v>308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</row>
    <row r="71" spans="1:82" x14ac:dyDescent="0.25">
      <c r="A71" s="2">
        <v>68</v>
      </c>
      <c r="B71" s="2" t="s">
        <v>77</v>
      </c>
      <c r="C71" s="59" t="s">
        <v>375</v>
      </c>
      <c r="D71" s="55" t="s">
        <v>384</v>
      </c>
      <c r="E71" s="55"/>
      <c r="F71" s="2" t="s">
        <v>37</v>
      </c>
      <c r="G71" s="2">
        <f>RANK(H71,$H$4:$H$124,0)</f>
        <v>20</v>
      </c>
      <c r="H71" s="6">
        <f>I71+개인기록Sheet!C71</f>
        <v>26.4</v>
      </c>
      <c r="I71" s="6">
        <f>(COUNTIF(J71:CD71,"출전")*1)</f>
        <v>19</v>
      </c>
      <c r="J71" s="2"/>
      <c r="K71" s="2"/>
      <c r="L71" s="2"/>
      <c r="M71" s="2" t="s">
        <v>308</v>
      </c>
      <c r="N71" s="2"/>
      <c r="O71" s="2"/>
      <c r="P71" s="2" t="s">
        <v>308</v>
      </c>
      <c r="Q71" s="2" t="s">
        <v>308</v>
      </c>
      <c r="R71" s="2"/>
      <c r="S71" s="2" t="s">
        <v>308</v>
      </c>
      <c r="T71" s="2"/>
      <c r="U71" s="2"/>
      <c r="V71" s="2" t="s">
        <v>308</v>
      </c>
      <c r="W71" s="2" t="s">
        <v>308</v>
      </c>
      <c r="X71" s="2" t="s">
        <v>308</v>
      </c>
      <c r="Y71" s="2"/>
      <c r="Z71" s="2" t="s">
        <v>308</v>
      </c>
      <c r="AA71" s="2"/>
      <c r="AB71" s="2" t="s">
        <v>308</v>
      </c>
      <c r="AC71" s="2" t="s">
        <v>308</v>
      </c>
      <c r="AD71" s="2"/>
      <c r="AE71" s="2"/>
      <c r="AF71" s="2"/>
      <c r="AG71" s="2" t="s">
        <v>308</v>
      </c>
      <c r="AH71" s="2" t="s">
        <v>308</v>
      </c>
      <c r="AI71" s="2"/>
      <c r="AJ71" s="2"/>
      <c r="AK71" s="2"/>
      <c r="AL71" s="2"/>
      <c r="AM71" s="2"/>
      <c r="AN71" s="2" t="s">
        <v>308</v>
      </c>
      <c r="AO71" s="2" t="s">
        <v>308</v>
      </c>
      <c r="AP71" s="2" t="s">
        <v>308</v>
      </c>
      <c r="AQ71" s="2"/>
      <c r="AR71" s="2"/>
      <c r="AS71" s="2"/>
      <c r="AT71" s="2" t="s">
        <v>308</v>
      </c>
      <c r="AU71" s="2"/>
      <c r="AV71" s="2"/>
      <c r="AW71" s="2" t="s">
        <v>308</v>
      </c>
      <c r="AX71" s="2"/>
      <c r="AY71" s="2" t="s">
        <v>308</v>
      </c>
      <c r="AZ71" s="2" t="s">
        <v>209</v>
      </c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</row>
    <row r="72" spans="1:82" x14ac:dyDescent="0.25">
      <c r="A72" s="2">
        <v>69</v>
      </c>
      <c r="B72" s="2" t="s">
        <v>390</v>
      </c>
      <c r="C72" s="60">
        <v>2025</v>
      </c>
      <c r="D72" s="55"/>
      <c r="E72" s="55"/>
      <c r="F72" s="2" t="s">
        <v>37</v>
      </c>
      <c r="G72" s="2">
        <f>RANK(H72,$H$4:$H$124,0)</f>
        <v>87</v>
      </c>
      <c r="H72" s="6">
        <f>I72+개인기록Sheet!C72</f>
        <v>1.2</v>
      </c>
      <c r="I72" s="6">
        <f>(COUNTIF(J72:CD72,"출전")*1)</f>
        <v>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 t="s">
        <v>209</v>
      </c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</row>
    <row r="73" spans="1:82" x14ac:dyDescent="0.25">
      <c r="A73" s="2">
        <v>70</v>
      </c>
      <c r="B73" s="2" t="s">
        <v>245</v>
      </c>
      <c r="C73" s="60">
        <v>2024</v>
      </c>
      <c r="D73" s="55"/>
      <c r="E73" s="55"/>
      <c r="F73" s="2" t="s">
        <v>37</v>
      </c>
      <c r="G73" s="2">
        <f>RANK(H73,$H$4:$H$124,0)</f>
        <v>91</v>
      </c>
      <c r="H73" s="6">
        <f>I73+개인기록Sheet!C73</f>
        <v>0</v>
      </c>
      <c r="I73" s="6">
        <f>(COUNTIF(J73:CD73,"출전")*1)</f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</row>
    <row r="74" spans="1:82" x14ac:dyDescent="0.25">
      <c r="A74" s="2">
        <v>71</v>
      </c>
      <c r="B74" s="2" t="s">
        <v>166</v>
      </c>
      <c r="C74" s="59">
        <v>2023</v>
      </c>
      <c r="D74" s="55"/>
      <c r="E74" s="55"/>
      <c r="F74" s="2" t="s">
        <v>37</v>
      </c>
      <c r="G74" s="2">
        <f>RANK(H74,$H$4:$H$124,0)</f>
        <v>68</v>
      </c>
      <c r="H74" s="6">
        <f>I74+개인기록Sheet!C74</f>
        <v>6</v>
      </c>
      <c r="I74" s="6">
        <f>(COUNTIF(J74:CD74,"출전")*1)</f>
        <v>5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s">
        <v>308</v>
      </c>
      <c r="AE74" s="2"/>
      <c r="AF74" s="2"/>
      <c r="AG74" s="2"/>
      <c r="AH74" s="2" t="s">
        <v>308</v>
      </c>
      <c r="AI74" s="2" t="s">
        <v>308</v>
      </c>
      <c r="AJ74" s="2"/>
      <c r="AK74" s="2"/>
      <c r="AL74" s="2"/>
      <c r="AM74" s="2" t="s">
        <v>308</v>
      </c>
      <c r="AN74" s="2"/>
      <c r="AO74" s="2"/>
      <c r="AP74" s="2"/>
      <c r="AQ74" s="2"/>
      <c r="AR74" s="2"/>
      <c r="AS74" s="2"/>
      <c r="AT74" s="2"/>
      <c r="AU74" s="2"/>
      <c r="AV74" s="2"/>
      <c r="AW74" s="2" t="s">
        <v>308</v>
      </c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</row>
    <row r="75" spans="1:82" x14ac:dyDescent="0.25">
      <c r="A75" s="2">
        <v>72</v>
      </c>
      <c r="B75" s="2" t="s">
        <v>183</v>
      </c>
      <c r="C75" s="59">
        <v>2023</v>
      </c>
      <c r="D75" s="55" t="s">
        <v>233</v>
      </c>
      <c r="E75" s="55"/>
      <c r="F75" s="2" t="s">
        <v>37</v>
      </c>
      <c r="G75" s="2">
        <f>RANK(H75,$H$4:$H$124,0)</f>
        <v>58</v>
      </c>
      <c r="H75" s="6">
        <f>I75+개인기록Sheet!C75</f>
        <v>8.6</v>
      </c>
      <c r="I75" s="6">
        <f>(COUNTIF(J75:CD75,"출전")*1)</f>
        <v>7</v>
      </c>
      <c r="J75" s="2"/>
      <c r="K75" s="2" t="s">
        <v>308</v>
      </c>
      <c r="L75" s="2" t="s">
        <v>308</v>
      </c>
      <c r="M75" s="2"/>
      <c r="N75" s="2" t="s">
        <v>308</v>
      </c>
      <c r="O75" s="2" t="s">
        <v>308</v>
      </c>
      <c r="P75" s="2"/>
      <c r="Q75" s="2"/>
      <c r="R75" s="2"/>
      <c r="S75" s="2" t="s">
        <v>308</v>
      </c>
      <c r="T75" s="2"/>
      <c r="U75" s="2" t="s">
        <v>308</v>
      </c>
      <c r="V75" s="2"/>
      <c r="W75" s="2" t="s">
        <v>308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</row>
    <row r="76" spans="1:82" x14ac:dyDescent="0.25">
      <c r="A76" s="2">
        <v>73</v>
      </c>
      <c r="B76" s="2" t="s">
        <v>7</v>
      </c>
      <c r="C76" s="59" t="s">
        <v>375</v>
      </c>
      <c r="D76" s="55" t="s">
        <v>384</v>
      </c>
      <c r="E76" s="55"/>
      <c r="F76" s="2" t="s">
        <v>37</v>
      </c>
      <c r="G76" s="2">
        <f>RANK(H76,$H$4:$H$124,0)</f>
        <v>6</v>
      </c>
      <c r="H76" s="6">
        <f>I76+개인기록Sheet!C76</f>
        <v>34.6</v>
      </c>
      <c r="I76" s="6">
        <f>(COUNTIF(J76:CD76,"출전")*1)</f>
        <v>27</v>
      </c>
      <c r="J76" s="2" t="s">
        <v>308</v>
      </c>
      <c r="K76" s="2"/>
      <c r="L76" s="2" t="s">
        <v>308</v>
      </c>
      <c r="M76" s="2" t="s">
        <v>308</v>
      </c>
      <c r="N76" s="2" t="s">
        <v>308</v>
      </c>
      <c r="O76" s="2" t="s">
        <v>308</v>
      </c>
      <c r="P76" s="2" t="s">
        <v>308</v>
      </c>
      <c r="Q76" s="2" t="s">
        <v>308</v>
      </c>
      <c r="R76" s="2" t="s">
        <v>308</v>
      </c>
      <c r="S76" s="2" t="s">
        <v>308</v>
      </c>
      <c r="T76" s="2" t="s">
        <v>308</v>
      </c>
      <c r="U76" s="2" t="s">
        <v>308</v>
      </c>
      <c r="V76" s="2"/>
      <c r="W76" s="2"/>
      <c r="X76" s="2"/>
      <c r="Y76" s="2"/>
      <c r="Z76" s="2"/>
      <c r="AA76" s="2" t="s">
        <v>308</v>
      </c>
      <c r="AB76" s="2"/>
      <c r="AC76" s="2" t="s">
        <v>308</v>
      </c>
      <c r="AD76" s="2" t="s">
        <v>308</v>
      </c>
      <c r="AE76" s="2"/>
      <c r="AF76" s="2"/>
      <c r="AG76" s="2"/>
      <c r="AH76" s="2"/>
      <c r="AI76" s="2" t="s">
        <v>308</v>
      </c>
      <c r="AJ76" s="2"/>
      <c r="AK76" s="2" t="s">
        <v>308</v>
      </c>
      <c r="AL76" s="2" t="s">
        <v>308</v>
      </c>
      <c r="AM76" s="2" t="s">
        <v>308</v>
      </c>
      <c r="AN76" s="2" t="s">
        <v>308</v>
      </c>
      <c r="AO76" s="2" t="s">
        <v>308</v>
      </c>
      <c r="AP76" s="2" t="s">
        <v>308</v>
      </c>
      <c r="AQ76" s="2"/>
      <c r="AR76" s="2" t="s">
        <v>308</v>
      </c>
      <c r="AS76" s="2" t="s">
        <v>308</v>
      </c>
      <c r="AT76" s="2"/>
      <c r="AU76" s="2"/>
      <c r="AV76" s="2"/>
      <c r="AW76" s="2"/>
      <c r="AX76" s="2" t="s">
        <v>308</v>
      </c>
      <c r="AY76" s="2" t="s">
        <v>308</v>
      </c>
      <c r="AZ76" s="2" t="s">
        <v>209</v>
      </c>
      <c r="BA76" s="2" t="s">
        <v>209</v>
      </c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</row>
    <row r="77" spans="1:82" x14ac:dyDescent="0.25">
      <c r="A77" s="2">
        <v>74</v>
      </c>
      <c r="B77" s="2" t="s">
        <v>94</v>
      </c>
      <c r="C77" s="59">
        <v>2022</v>
      </c>
      <c r="D77" s="55" t="s">
        <v>385</v>
      </c>
      <c r="E77" s="55"/>
      <c r="F77" s="2" t="s">
        <v>37</v>
      </c>
      <c r="G77" s="2">
        <f>RANK(H77,$H$4:$H$124,0)</f>
        <v>61</v>
      </c>
      <c r="H77" s="6">
        <f>I77+개인기록Sheet!C77</f>
        <v>8.1999999999999993</v>
      </c>
      <c r="I77" s="6">
        <f>(COUNTIF(J77:CD77,"출전")*1)</f>
        <v>7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 t="s">
        <v>308</v>
      </c>
      <c r="W77" s="2"/>
      <c r="X77" s="2" t="s">
        <v>308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 t="s">
        <v>308</v>
      </c>
      <c r="AJ77" s="2" t="s">
        <v>308</v>
      </c>
      <c r="AK77" s="2" t="s">
        <v>308</v>
      </c>
      <c r="AL77" s="2" t="s">
        <v>308</v>
      </c>
      <c r="AM77" s="2"/>
      <c r="AN77" s="2"/>
      <c r="AO77" s="2"/>
      <c r="AP77" s="2" t="s">
        <v>308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</row>
    <row r="78" spans="1:82" x14ac:dyDescent="0.25">
      <c r="A78" s="2">
        <v>75</v>
      </c>
      <c r="B78" s="2" t="s">
        <v>34</v>
      </c>
      <c r="C78" s="59" t="s">
        <v>375</v>
      </c>
      <c r="D78" s="55" t="s">
        <v>384</v>
      </c>
      <c r="E78" s="55"/>
      <c r="F78" s="2" t="s">
        <v>37</v>
      </c>
      <c r="G78" s="2">
        <f>RANK(H78,$H$4:$H$124,0)</f>
        <v>48</v>
      </c>
      <c r="H78" s="6">
        <f>I78+개인기록Sheet!C78</f>
        <v>11</v>
      </c>
      <c r="I78" s="6">
        <f>(COUNTIF(J78:CD78,"출전")*1)</f>
        <v>9</v>
      </c>
      <c r="J78" s="2"/>
      <c r="K78" s="2"/>
      <c r="L78" s="2"/>
      <c r="M78" s="2"/>
      <c r="N78" s="2"/>
      <c r="O78" s="2"/>
      <c r="P78" s="2"/>
      <c r="Q78" s="2"/>
      <c r="R78" s="2" t="s">
        <v>308</v>
      </c>
      <c r="S78" s="2"/>
      <c r="T78" s="2" t="s">
        <v>308</v>
      </c>
      <c r="U78" s="2" t="s">
        <v>308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308</v>
      </c>
      <c r="AG78" s="2"/>
      <c r="AH78" s="2" t="s">
        <v>308</v>
      </c>
      <c r="AI78" s="2" t="s">
        <v>308</v>
      </c>
      <c r="AJ78" s="2"/>
      <c r="AK78" s="2"/>
      <c r="AL78" s="2"/>
      <c r="AM78" s="2" t="s">
        <v>308</v>
      </c>
      <c r="AN78" s="2"/>
      <c r="AO78" s="2" t="s">
        <v>308</v>
      </c>
      <c r="AP78" s="2"/>
      <c r="AQ78" s="2"/>
      <c r="AR78" s="2"/>
      <c r="AS78" s="2"/>
      <c r="AT78" s="2"/>
      <c r="AU78" s="2"/>
      <c r="AV78" s="2"/>
      <c r="AW78" s="2"/>
      <c r="AX78" s="2" t="s">
        <v>308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</row>
    <row r="79" spans="1:82" x14ac:dyDescent="0.25">
      <c r="A79" s="2">
        <v>76</v>
      </c>
      <c r="B79" s="2" t="s">
        <v>240</v>
      </c>
      <c r="C79" s="60">
        <v>2024</v>
      </c>
      <c r="D79" s="55" t="s">
        <v>384</v>
      </c>
      <c r="E79" s="55"/>
      <c r="F79" s="2" t="s">
        <v>37</v>
      </c>
      <c r="G79" s="2">
        <f>RANK(H79,$H$4:$H$124,0)</f>
        <v>34</v>
      </c>
      <c r="H79" s="6">
        <f>I79+개인기록Sheet!C79</f>
        <v>19.2</v>
      </c>
      <c r="I79" s="6">
        <f>(COUNTIF(J79:CD79,"출전")*1)</f>
        <v>16</v>
      </c>
      <c r="J79" s="2" t="s">
        <v>308</v>
      </c>
      <c r="K79" s="2"/>
      <c r="L79" s="2"/>
      <c r="M79" s="2" t="s">
        <v>308</v>
      </c>
      <c r="N79" s="2"/>
      <c r="O79" s="2" t="s">
        <v>308</v>
      </c>
      <c r="P79" s="2" t="s">
        <v>308</v>
      </c>
      <c r="Q79" s="2"/>
      <c r="R79" s="2"/>
      <c r="S79" s="2"/>
      <c r="T79" s="2" t="s">
        <v>308</v>
      </c>
      <c r="U79" s="2"/>
      <c r="V79" s="2" t="s">
        <v>308</v>
      </c>
      <c r="W79" s="2" t="s">
        <v>308</v>
      </c>
      <c r="X79" s="2" t="s">
        <v>308</v>
      </c>
      <c r="Y79" s="2"/>
      <c r="Z79" s="2"/>
      <c r="AA79" s="2"/>
      <c r="AB79" s="2"/>
      <c r="AC79" s="2"/>
      <c r="AD79" s="2"/>
      <c r="AE79" s="2" t="s">
        <v>308</v>
      </c>
      <c r="AF79" s="2" t="s">
        <v>308</v>
      </c>
      <c r="AG79" s="2"/>
      <c r="AH79" s="2"/>
      <c r="AI79" s="2"/>
      <c r="AJ79" s="2" t="s">
        <v>308</v>
      </c>
      <c r="AK79" s="2"/>
      <c r="AL79" s="2"/>
      <c r="AM79" s="2"/>
      <c r="AN79" s="2"/>
      <c r="AO79" s="2"/>
      <c r="AP79" s="2" t="s">
        <v>308</v>
      </c>
      <c r="AQ79" s="2" t="s">
        <v>308</v>
      </c>
      <c r="AR79" s="2"/>
      <c r="AS79" s="2"/>
      <c r="AT79" s="2"/>
      <c r="AU79" s="2"/>
      <c r="AV79" s="2" t="s">
        <v>308</v>
      </c>
      <c r="AW79" s="2"/>
      <c r="AX79" s="2"/>
      <c r="AY79" s="2"/>
      <c r="AZ79" s="2" t="s">
        <v>209</v>
      </c>
      <c r="BA79" s="2" t="s">
        <v>209</v>
      </c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</row>
    <row r="80" spans="1:82" x14ac:dyDescent="0.25">
      <c r="A80" s="2">
        <v>77</v>
      </c>
      <c r="B80" s="2" t="s">
        <v>5</v>
      </c>
      <c r="C80" s="59" t="s">
        <v>375</v>
      </c>
      <c r="D80" s="55" t="s">
        <v>233</v>
      </c>
      <c r="E80" s="55"/>
      <c r="F80" s="2" t="s">
        <v>37</v>
      </c>
      <c r="G80" s="2">
        <f>RANK(H80,$H$4:$H$124,0)</f>
        <v>37</v>
      </c>
      <c r="H80" s="6">
        <f>I80+개인기록Sheet!C80</f>
        <v>17.600000000000001</v>
      </c>
      <c r="I80" s="6">
        <f>(COUNTIF(J80:CD80,"출전")*1)</f>
        <v>15</v>
      </c>
      <c r="J80" s="2"/>
      <c r="K80" s="2" t="s">
        <v>308</v>
      </c>
      <c r="L80" s="2" t="s">
        <v>308</v>
      </c>
      <c r="M80" s="2"/>
      <c r="N80" s="2"/>
      <c r="O80" s="2" t="s">
        <v>308</v>
      </c>
      <c r="P80" s="2"/>
      <c r="Q80" s="2"/>
      <c r="R80" s="2" t="s">
        <v>308</v>
      </c>
      <c r="S80" s="2"/>
      <c r="T80" s="2"/>
      <c r="U80" s="2"/>
      <c r="V80" s="2"/>
      <c r="W80" s="2"/>
      <c r="X80" s="2"/>
      <c r="Y80" s="2"/>
      <c r="Z80" s="2" t="s">
        <v>308</v>
      </c>
      <c r="AA80" s="2" t="s">
        <v>308</v>
      </c>
      <c r="AB80" s="2"/>
      <c r="AC80" s="2" t="s">
        <v>308</v>
      </c>
      <c r="AD80" s="2"/>
      <c r="AE80" s="2"/>
      <c r="AF80" s="2"/>
      <c r="AG80" s="2"/>
      <c r="AH80" s="2"/>
      <c r="AI80" s="2" t="s">
        <v>308</v>
      </c>
      <c r="AJ80" s="2" t="s">
        <v>308</v>
      </c>
      <c r="AK80" s="2"/>
      <c r="AL80" s="2" t="s">
        <v>308</v>
      </c>
      <c r="AM80" s="2"/>
      <c r="AN80" s="2"/>
      <c r="AO80" s="2"/>
      <c r="AP80" s="2"/>
      <c r="AQ80" s="2"/>
      <c r="AR80" s="2" t="s">
        <v>308</v>
      </c>
      <c r="AS80" s="2" t="s">
        <v>308</v>
      </c>
      <c r="AT80" s="2"/>
      <c r="AU80" s="2"/>
      <c r="AV80" s="2"/>
      <c r="AW80" s="2"/>
      <c r="AX80" s="2" t="s">
        <v>308</v>
      </c>
      <c r="AY80" s="2" t="s">
        <v>308</v>
      </c>
      <c r="AZ80" s="2" t="s">
        <v>209</v>
      </c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</row>
    <row r="81" spans="1:82" x14ac:dyDescent="0.25">
      <c r="A81" s="2">
        <v>78</v>
      </c>
      <c r="B81" s="2" t="s">
        <v>357</v>
      </c>
      <c r="C81" s="60">
        <v>2025</v>
      </c>
      <c r="D81" s="55"/>
      <c r="E81" s="55"/>
      <c r="F81" s="2" t="s">
        <v>37</v>
      </c>
      <c r="G81" s="2">
        <f>RANK(H81,$H$4:$H$124,0)</f>
        <v>52</v>
      </c>
      <c r="H81" s="6">
        <f>I81+개인기록Sheet!C81</f>
        <v>10.199999999999999</v>
      </c>
      <c r="I81" s="6">
        <f>(COUNTIF(J81:CD81,"출전")*1)</f>
        <v>8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 t="s">
        <v>308</v>
      </c>
      <c r="AM81" s="2" t="s">
        <v>308</v>
      </c>
      <c r="AN81" s="2" t="s">
        <v>308</v>
      </c>
      <c r="AO81" s="2" t="s">
        <v>308</v>
      </c>
      <c r="AP81" s="2" t="s">
        <v>308</v>
      </c>
      <c r="AQ81" s="2" t="s">
        <v>308</v>
      </c>
      <c r="AR81" s="2"/>
      <c r="AS81" s="2" t="s">
        <v>308</v>
      </c>
      <c r="AT81" s="2"/>
      <c r="AU81" s="2"/>
      <c r="AV81" s="2"/>
      <c r="AW81" s="2"/>
      <c r="AX81" s="2"/>
      <c r="AY81" s="2"/>
      <c r="AZ81" s="2"/>
      <c r="BA81" s="2" t="s">
        <v>209</v>
      </c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</row>
    <row r="82" spans="1:82" x14ac:dyDescent="0.25">
      <c r="A82" s="2">
        <v>79</v>
      </c>
      <c r="B82" s="2" t="s">
        <v>20</v>
      </c>
      <c r="C82" s="59" t="s">
        <v>375</v>
      </c>
      <c r="D82" s="55"/>
      <c r="E82" s="55"/>
      <c r="F82" s="2" t="s">
        <v>37</v>
      </c>
      <c r="G82" s="2">
        <f>RANK(H82,$H$4:$H$124,0)</f>
        <v>91</v>
      </c>
      <c r="H82" s="6">
        <f>I82+개인기록Sheet!C82</f>
        <v>0</v>
      </c>
      <c r="I82" s="6">
        <f>(COUNTIF(J82:CD82,"출전")*1)</f>
        <v>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</row>
    <row r="83" spans="1:82" x14ac:dyDescent="0.25">
      <c r="A83" s="2">
        <v>80</v>
      </c>
      <c r="B83" s="2" t="s">
        <v>387</v>
      </c>
      <c r="C83" s="60">
        <v>2025</v>
      </c>
      <c r="D83" s="55"/>
      <c r="E83" s="55"/>
      <c r="F83" s="2" t="s">
        <v>37</v>
      </c>
      <c r="G83" s="2">
        <f>RANK(H83,$H$4:$H$124,0)</f>
        <v>80</v>
      </c>
      <c r="H83" s="6">
        <f>I83+개인기록Sheet!C83</f>
        <v>2.8</v>
      </c>
      <c r="I83" s="6">
        <f>(COUNTIF(J83:CD83,"출전")*1)</f>
        <v>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 t="s">
        <v>308</v>
      </c>
      <c r="AZ83" s="2"/>
      <c r="BA83" s="2" t="s">
        <v>209</v>
      </c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</row>
    <row r="84" spans="1:82" x14ac:dyDescent="0.25">
      <c r="A84" s="2">
        <v>81</v>
      </c>
      <c r="B84" s="2" t="s">
        <v>338</v>
      </c>
      <c r="C84" s="60">
        <v>2025</v>
      </c>
      <c r="D84" s="55"/>
      <c r="E84" s="55"/>
      <c r="F84" s="2" t="s">
        <v>37</v>
      </c>
      <c r="G84" s="2">
        <f>RANK(H84,$H$4:$H$124,0)</f>
        <v>46</v>
      </c>
      <c r="H84" s="6">
        <f>I84+개인기록Sheet!C84</f>
        <v>11.6</v>
      </c>
      <c r="I84" s="6">
        <f>(COUNTIF(J84:CD84,"출전")*1)</f>
        <v>10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 t="s">
        <v>308</v>
      </c>
      <c r="AD84" s="2" t="s">
        <v>308</v>
      </c>
      <c r="AE84" s="2" t="s">
        <v>308</v>
      </c>
      <c r="AF84" s="2"/>
      <c r="AG84" s="2"/>
      <c r="AH84" s="2"/>
      <c r="AI84" s="2"/>
      <c r="AJ84" s="2" t="s">
        <v>308</v>
      </c>
      <c r="AK84" s="2" t="s">
        <v>308</v>
      </c>
      <c r="AL84" s="2"/>
      <c r="AM84" s="2" t="s">
        <v>308</v>
      </c>
      <c r="AN84" s="2"/>
      <c r="AO84" s="2" t="s">
        <v>308</v>
      </c>
      <c r="AP84" s="2"/>
      <c r="AQ84" s="2" t="s">
        <v>308</v>
      </c>
      <c r="AR84" s="2"/>
      <c r="AS84" s="2"/>
      <c r="AT84" s="2"/>
      <c r="AU84" s="2"/>
      <c r="AV84" s="2"/>
      <c r="AW84" s="2"/>
      <c r="AX84" s="2"/>
      <c r="AY84" s="2"/>
      <c r="AZ84" s="2" t="s">
        <v>209</v>
      </c>
      <c r="BA84" s="2" t="s">
        <v>209</v>
      </c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</row>
    <row r="85" spans="1:82" x14ac:dyDescent="0.25">
      <c r="A85" s="2">
        <v>82</v>
      </c>
      <c r="B85" s="2" t="s">
        <v>232</v>
      </c>
      <c r="C85" s="60">
        <v>2024</v>
      </c>
      <c r="D85" s="55" t="s">
        <v>233</v>
      </c>
      <c r="E85" s="55"/>
      <c r="F85" s="2" t="s">
        <v>37</v>
      </c>
      <c r="G85" s="2">
        <f>RANK(H85,$H$4:$H$124,0)</f>
        <v>63</v>
      </c>
      <c r="H85" s="6">
        <f>I85+개인기록Sheet!C85</f>
        <v>7.4</v>
      </c>
      <c r="I85" s="6">
        <f>(COUNTIF(J85:CD85,"출전")*1)</f>
        <v>6</v>
      </c>
      <c r="J85" s="2"/>
      <c r="K85" s="2"/>
      <c r="L85" s="2"/>
      <c r="M85" s="2"/>
      <c r="N85" s="2"/>
      <c r="O85" s="2"/>
      <c r="P85" s="2"/>
      <c r="Q85" s="2"/>
      <c r="R85" s="2" t="s">
        <v>308</v>
      </c>
      <c r="S85" s="2"/>
      <c r="T85" s="2"/>
      <c r="U85" s="2"/>
      <c r="V85" s="2"/>
      <c r="W85" s="2" t="s">
        <v>308</v>
      </c>
      <c r="X85" s="2"/>
      <c r="Y85" s="2"/>
      <c r="Z85" s="2"/>
      <c r="AA85" s="2"/>
      <c r="AB85" s="2"/>
      <c r="AC85" s="2"/>
      <c r="AD85" s="2"/>
      <c r="AE85" s="2" t="s">
        <v>308</v>
      </c>
      <c r="AF85" s="2"/>
      <c r="AG85" s="2"/>
      <c r="AH85" s="2"/>
      <c r="AI85" s="2" t="s">
        <v>308</v>
      </c>
      <c r="AJ85" s="2"/>
      <c r="AK85" s="2"/>
      <c r="AL85" s="2"/>
      <c r="AM85" s="2" t="s">
        <v>308</v>
      </c>
      <c r="AN85" s="2"/>
      <c r="AO85" s="2" t="s">
        <v>308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</row>
    <row r="86" spans="1:82" x14ac:dyDescent="0.25">
      <c r="A86" s="2">
        <v>83</v>
      </c>
      <c r="B86" s="2" t="s">
        <v>244</v>
      </c>
      <c r="C86" s="60">
        <v>2024</v>
      </c>
      <c r="D86" s="55"/>
      <c r="E86" s="55"/>
      <c r="F86" s="2" t="s">
        <v>37</v>
      </c>
      <c r="G86" s="2">
        <f>RANK(H86,$H$4:$H$124,0)</f>
        <v>65</v>
      </c>
      <c r="H86" s="6">
        <f>I86+개인기록Sheet!C86</f>
        <v>7.3</v>
      </c>
      <c r="I86" s="6">
        <f>(COUNTIF(J86:CD86,"출전")*1)</f>
        <v>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 t="s">
        <v>308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 t="s">
        <v>308</v>
      </c>
      <c r="AP86" s="2"/>
      <c r="AQ86" s="2"/>
      <c r="AR86" s="2"/>
      <c r="AS86" s="2"/>
      <c r="AT86" s="2" t="s">
        <v>308</v>
      </c>
      <c r="AU86" s="2" t="s">
        <v>308</v>
      </c>
      <c r="AV86" s="2"/>
      <c r="AW86" s="2"/>
      <c r="AX86" s="2"/>
      <c r="AY86" s="2"/>
      <c r="AZ86" s="2"/>
      <c r="BA86" s="2" t="s">
        <v>209</v>
      </c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</row>
    <row r="87" spans="1:82" x14ac:dyDescent="0.25">
      <c r="A87" s="2">
        <v>84</v>
      </c>
      <c r="B87" s="2" t="s">
        <v>72</v>
      </c>
      <c r="C87" s="59" t="s">
        <v>375</v>
      </c>
      <c r="D87" s="55" t="s">
        <v>385</v>
      </c>
      <c r="E87" s="55"/>
      <c r="F87" s="2" t="s">
        <v>37</v>
      </c>
      <c r="G87" s="2">
        <f>RANK(H87,$H$4:$H$124,0)</f>
        <v>28</v>
      </c>
      <c r="H87" s="6">
        <f>I87+개인기록Sheet!C87</f>
        <v>21.6</v>
      </c>
      <c r="I87" s="6">
        <f>(COUNTIF(J87:CD87,"출전")*1)</f>
        <v>17</v>
      </c>
      <c r="J87" s="2"/>
      <c r="K87" s="2"/>
      <c r="L87" s="2"/>
      <c r="M87" s="2"/>
      <c r="N87" s="2"/>
      <c r="O87" s="2" t="s">
        <v>308</v>
      </c>
      <c r="P87" s="2"/>
      <c r="Q87" s="2"/>
      <c r="R87" s="2" t="s">
        <v>308</v>
      </c>
      <c r="S87" s="2"/>
      <c r="T87" s="2" t="s">
        <v>308</v>
      </c>
      <c r="U87" s="2"/>
      <c r="V87" s="2" t="s">
        <v>308</v>
      </c>
      <c r="W87" s="2" t="s">
        <v>308</v>
      </c>
      <c r="X87" s="2"/>
      <c r="Y87" s="2" t="s">
        <v>308</v>
      </c>
      <c r="Z87" s="2" t="s">
        <v>308</v>
      </c>
      <c r="AA87" s="2" t="s">
        <v>308</v>
      </c>
      <c r="AB87" s="2"/>
      <c r="AC87" s="2" t="s">
        <v>308</v>
      </c>
      <c r="AD87" s="2"/>
      <c r="AE87" s="2" t="s">
        <v>308</v>
      </c>
      <c r="AF87" s="2" t="s">
        <v>308</v>
      </c>
      <c r="AG87" s="2"/>
      <c r="AH87" s="2"/>
      <c r="AI87" s="2" t="s">
        <v>308</v>
      </c>
      <c r="AJ87" s="2" t="s">
        <v>308</v>
      </c>
      <c r="AK87" s="2"/>
      <c r="AL87" s="2"/>
      <c r="AM87" s="2"/>
      <c r="AN87" s="2"/>
      <c r="AO87" s="2" t="s">
        <v>308</v>
      </c>
      <c r="AP87" s="2" t="s">
        <v>308</v>
      </c>
      <c r="AQ87" s="2"/>
      <c r="AR87" s="2"/>
      <c r="AS87" s="2"/>
      <c r="AT87" s="2" t="s">
        <v>308</v>
      </c>
      <c r="AU87" s="2"/>
      <c r="AV87" s="2"/>
      <c r="AW87" s="2"/>
      <c r="AX87" s="2"/>
      <c r="AY87" s="2"/>
      <c r="AZ87" s="2" t="s">
        <v>209</v>
      </c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</row>
    <row r="88" spans="1:82" x14ac:dyDescent="0.25">
      <c r="A88" s="2">
        <v>85</v>
      </c>
      <c r="B88" s="2" t="s">
        <v>143</v>
      </c>
      <c r="C88" s="59">
        <v>2023</v>
      </c>
      <c r="D88" s="55" t="s">
        <v>384</v>
      </c>
      <c r="E88" s="55"/>
      <c r="F88" s="2" t="s">
        <v>37</v>
      </c>
      <c r="G88" s="2">
        <f>RANK(H88,$H$4:$H$124,0)</f>
        <v>27</v>
      </c>
      <c r="H88" s="6">
        <f>I88+개인기록Sheet!C88</f>
        <v>22.4</v>
      </c>
      <c r="I88" s="6">
        <f>(COUNTIF(J88:CD88,"출전")*1)</f>
        <v>20</v>
      </c>
      <c r="J88" s="2" t="s">
        <v>308</v>
      </c>
      <c r="K88" s="2" t="s">
        <v>308</v>
      </c>
      <c r="L88" s="2" t="s">
        <v>308</v>
      </c>
      <c r="M88" s="2" t="s">
        <v>308</v>
      </c>
      <c r="N88" s="2" t="s">
        <v>308</v>
      </c>
      <c r="O88" s="2"/>
      <c r="P88" s="2"/>
      <c r="Q88" s="2" t="s">
        <v>308</v>
      </c>
      <c r="R88" s="2" t="s">
        <v>308</v>
      </c>
      <c r="S88" s="2" t="s">
        <v>308</v>
      </c>
      <c r="T88" s="2" t="s">
        <v>308</v>
      </c>
      <c r="U88" s="2"/>
      <c r="V88" s="2"/>
      <c r="W88" s="2"/>
      <c r="X88" s="2"/>
      <c r="Y88" s="2"/>
      <c r="Z88" s="2" t="s">
        <v>308</v>
      </c>
      <c r="AA88" s="2"/>
      <c r="AB88" s="2"/>
      <c r="AC88" s="2"/>
      <c r="AD88" s="2"/>
      <c r="AE88" s="2" t="s">
        <v>308</v>
      </c>
      <c r="AF88" s="2"/>
      <c r="AG88" s="2"/>
      <c r="AH88" s="2" t="s">
        <v>308</v>
      </c>
      <c r="AI88" s="2"/>
      <c r="AJ88" s="2"/>
      <c r="AK88" s="2"/>
      <c r="AL88" s="2" t="s">
        <v>308</v>
      </c>
      <c r="AM88" s="2"/>
      <c r="AN88" s="2" t="s">
        <v>308</v>
      </c>
      <c r="AO88" s="2"/>
      <c r="AP88" s="2" t="s">
        <v>308</v>
      </c>
      <c r="AQ88" s="2" t="s">
        <v>308</v>
      </c>
      <c r="AR88" s="2"/>
      <c r="AS88" s="2" t="s">
        <v>308</v>
      </c>
      <c r="AT88" s="2"/>
      <c r="AU88" s="2"/>
      <c r="AV88" s="2" t="s">
        <v>308</v>
      </c>
      <c r="AW88" s="2" t="s">
        <v>308</v>
      </c>
      <c r="AX88" s="2"/>
      <c r="AY88" s="2" t="s">
        <v>308</v>
      </c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</row>
    <row r="89" spans="1:82" x14ac:dyDescent="0.25">
      <c r="A89" s="2">
        <v>86</v>
      </c>
      <c r="B89" s="2" t="s">
        <v>95</v>
      </c>
      <c r="C89" s="59">
        <v>2022</v>
      </c>
      <c r="D89" s="55" t="s">
        <v>385</v>
      </c>
      <c r="E89" s="55"/>
      <c r="F89" s="2" t="s">
        <v>37</v>
      </c>
      <c r="G89" s="2">
        <f>RANK(H89,$H$4:$H$124,0)</f>
        <v>57</v>
      </c>
      <c r="H89" s="6">
        <f>I89+개인기록Sheet!C89</f>
        <v>8.8000000000000007</v>
      </c>
      <c r="I89" s="6">
        <f>(COUNTIF(J89:CD89,"출전")*1)</f>
        <v>8</v>
      </c>
      <c r="J89" s="2" t="s">
        <v>308</v>
      </c>
      <c r="K89" s="2"/>
      <c r="L89" s="2"/>
      <c r="M89" s="2"/>
      <c r="N89" s="2"/>
      <c r="O89" s="2" t="s">
        <v>308</v>
      </c>
      <c r="P89" s="2"/>
      <c r="Q89" s="2"/>
      <c r="R89" s="2"/>
      <c r="S89" s="2" t="s">
        <v>308</v>
      </c>
      <c r="T89" s="2" t="s">
        <v>308</v>
      </c>
      <c r="U89" s="2"/>
      <c r="V89" s="2" t="s">
        <v>308</v>
      </c>
      <c r="W89" s="2" t="s">
        <v>308</v>
      </c>
      <c r="X89" s="2" t="s">
        <v>308</v>
      </c>
      <c r="Y89" s="2" t="s">
        <v>308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</row>
    <row r="90" spans="1:82" x14ac:dyDescent="0.25">
      <c r="A90" s="2">
        <v>87</v>
      </c>
      <c r="B90" s="2" t="s">
        <v>96</v>
      </c>
      <c r="C90" s="59">
        <v>2022</v>
      </c>
      <c r="D90" s="55"/>
      <c r="E90" s="55"/>
      <c r="F90" s="2" t="s">
        <v>37</v>
      </c>
      <c r="G90" s="2">
        <f>RANK(H90,$H$4:$H$124,0)</f>
        <v>62</v>
      </c>
      <c r="H90" s="6">
        <f>I90+개인기록Sheet!C90</f>
        <v>7.8</v>
      </c>
      <c r="I90" s="6">
        <f>(COUNTIF(J90:CD90,"출전")*1)</f>
        <v>7</v>
      </c>
      <c r="J90" s="2" t="s">
        <v>308</v>
      </c>
      <c r="K90" s="2"/>
      <c r="L90" s="2"/>
      <c r="M90" s="2"/>
      <c r="N90" s="2"/>
      <c r="O90" s="2" t="s">
        <v>308</v>
      </c>
      <c r="P90" s="2"/>
      <c r="Q90" s="2"/>
      <c r="R90" s="2"/>
      <c r="S90" s="2" t="s">
        <v>308</v>
      </c>
      <c r="T90" s="2" t="s">
        <v>308</v>
      </c>
      <c r="U90" s="2"/>
      <c r="V90" s="2" t="s">
        <v>308</v>
      </c>
      <c r="W90" s="2" t="s">
        <v>308</v>
      </c>
      <c r="X90" s="2" t="s">
        <v>308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</row>
    <row r="91" spans="1:82" x14ac:dyDescent="0.25">
      <c r="A91" s="2">
        <v>88</v>
      </c>
      <c r="B91" s="2" t="s">
        <v>97</v>
      </c>
      <c r="C91" s="59">
        <v>2022</v>
      </c>
      <c r="D91" s="55" t="s">
        <v>385</v>
      </c>
      <c r="E91" s="55"/>
      <c r="F91" s="2" t="s">
        <v>37</v>
      </c>
      <c r="G91" s="2">
        <f>RANK(H91,$H$4:$H$124,0)</f>
        <v>29</v>
      </c>
      <c r="H91" s="6">
        <f>I91+개인기록Sheet!C91</f>
        <v>20.7</v>
      </c>
      <c r="I91" s="6">
        <f>(COUNTIF(J91:CD91,"출전")*1)</f>
        <v>16</v>
      </c>
      <c r="J91" s="2" t="s">
        <v>308</v>
      </c>
      <c r="K91" s="2"/>
      <c r="L91" s="2"/>
      <c r="M91" s="2"/>
      <c r="N91" s="2"/>
      <c r="O91" s="2"/>
      <c r="P91" s="2" t="s">
        <v>308</v>
      </c>
      <c r="Q91" s="2"/>
      <c r="R91" s="2"/>
      <c r="S91" s="2"/>
      <c r="T91" s="2" t="s">
        <v>308</v>
      </c>
      <c r="U91" s="2"/>
      <c r="V91" s="2"/>
      <c r="W91" s="2" t="s">
        <v>308</v>
      </c>
      <c r="X91" s="2" t="s">
        <v>308</v>
      </c>
      <c r="Y91" s="2"/>
      <c r="Z91" s="2"/>
      <c r="AA91" s="2" t="s">
        <v>308</v>
      </c>
      <c r="AB91" s="2"/>
      <c r="AC91" s="2"/>
      <c r="AD91" s="2"/>
      <c r="AE91" s="2" t="s">
        <v>308</v>
      </c>
      <c r="AF91" s="2" t="s">
        <v>308</v>
      </c>
      <c r="AG91" s="2"/>
      <c r="AH91" s="2"/>
      <c r="AI91" s="2"/>
      <c r="AJ91" s="2" t="s">
        <v>308</v>
      </c>
      <c r="AK91" s="2" t="s">
        <v>308</v>
      </c>
      <c r="AL91" s="2"/>
      <c r="AM91" s="2"/>
      <c r="AN91" s="2" t="s">
        <v>308</v>
      </c>
      <c r="AO91" s="2"/>
      <c r="AP91" s="2" t="s">
        <v>308</v>
      </c>
      <c r="AQ91" s="2" t="s">
        <v>308</v>
      </c>
      <c r="AR91" s="2"/>
      <c r="AS91" s="2" t="s">
        <v>308</v>
      </c>
      <c r="AT91" s="2"/>
      <c r="AU91" s="2"/>
      <c r="AV91" s="2"/>
      <c r="AW91" s="2"/>
      <c r="AX91" s="2"/>
      <c r="AY91" s="2"/>
      <c r="AZ91" s="2" t="s">
        <v>209</v>
      </c>
      <c r="BA91" s="2" t="s">
        <v>209</v>
      </c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</row>
    <row r="92" spans="1:82" x14ac:dyDescent="0.25">
      <c r="A92" s="2">
        <v>89</v>
      </c>
      <c r="B92" s="2" t="s">
        <v>123</v>
      </c>
      <c r="C92" s="59">
        <v>2022</v>
      </c>
      <c r="D92" s="55"/>
      <c r="E92" s="55"/>
      <c r="F92" s="2" t="s">
        <v>37</v>
      </c>
      <c r="G92" s="2">
        <f>RANK(H92,$H$4:$H$124,0)</f>
        <v>83</v>
      </c>
      <c r="H92" s="6">
        <f>I92+개인기록Sheet!C92</f>
        <v>2.2000000000000002</v>
      </c>
      <c r="I92" s="6">
        <f>(COUNTIF(J92:CD92,"출전")*1)</f>
        <v>2</v>
      </c>
      <c r="J92" s="2"/>
      <c r="K92" s="2"/>
      <c r="L92" s="2"/>
      <c r="M92" s="2"/>
      <c r="N92" s="2"/>
      <c r="O92" s="2"/>
      <c r="P92" s="2"/>
      <c r="Q92" s="2"/>
      <c r="R92" s="2" t="s">
        <v>308</v>
      </c>
      <c r="S92" s="2"/>
      <c r="T92" s="2"/>
      <c r="U92" s="2"/>
      <c r="V92" s="2"/>
      <c r="W92" s="2"/>
      <c r="X92" s="2" t="s">
        <v>308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</row>
    <row r="93" spans="1:82" x14ac:dyDescent="0.25">
      <c r="A93" s="2">
        <v>90</v>
      </c>
      <c r="B93" s="2" t="s">
        <v>9</v>
      </c>
      <c r="C93" s="59" t="s">
        <v>375</v>
      </c>
      <c r="D93" s="55" t="s">
        <v>384</v>
      </c>
      <c r="E93" s="55"/>
      <c r="F93" s="2" t="s">
        <v>37</v>
      </c>
      <c r="G93" s="2">
        <f>RANK(H93,$H$4:$H$124,0)</f>
        <v>54</v>
      </c>
      <c r="H93" s="6">
        <f>I93+개인기록Sheet!C93</f>
        <v>9.6999999999999993</v>
      </c>
      <c r="I93" s="6">
        <f>(COUNTIF(J93:CD93,"출전")*1)</f>
        <v>8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308</v>
      </c>
      <c r="V93" s="2" t="s">
        <v>308</v>
      </c>
      <c r="W93" s="2"/>
      <c r="X93" s="2"/>
      <c r="Y93" s="2"/>
      <c r="Z93" s="2"/>
      <c r="AA93" s="2"/>
      <c r="AB93" s="2"/>
      <c r="AC93" s="2"/>
      <c r="AD93" s="2"/>
      <c r="AE93" s="2" t="s">
        <v>308</v>
      </c>
      <c r="AF93" s="2" t="s">
        <v>308</v>
      </c>
      <c r="AG93" s="2"/>
      <c r="AH93" s="2"/>
      <c r="AI93" s="2"/>
      <c r="AJ93" s="2" t="s">
        <v>308</v>
      </c>
      <c r="AK93" s="2"/>
      <c r="AL93" s="2"/>
      <c r="AM93" s="2"/>
      <c r="AN93" s="2"/>
      <c r="AO93" s="2"/>
      <c r="AP93" s="2" t="s">
        <v>308</v>
      </c>
      <c r="AQ93" s="2"/>
      <c r="AR93" s="2"/>
      <c r="AS93" s="2"/>
      <c r="AT93" s="2"/>
      <c r="AU93" s="2"/>
      <c r="AV93" s="2"/>
      <c r="AW93" s="2"/>
      <c r="AX93" s="2" t="s">
        <v>308</v>
      </c>
      <c r="AY93" s="2" t="s">
        <v>308</v>
      </c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</row>
    <row r="94" spans="1:82" x14ac:dyDescent="0.25">
      <c r="A94" s="2">
        <v>91</v>
      </c>
      <c r="B94" s="2" t="s">
        <v>207</v>
      </c>
      <c r="C94" s="60">
        <v>2024</v>
      </c>
      <c r="D94" s="55" t="s">
        <v>384</v>
      </c>
      <c r="E94" s="55"/>
      <c r="F94" s="2" t="s">
        <v>37</v>
      </c>
      <c r="G94" s="2">
        <f>RANK(H94,$H$4:$H$124,0)</f>
        <v>14</v>
      </c>
      <c r="H94" s="6">
        <f>I94+개인기록Sheet!C94</f>
        <v>31.8</v>
      </c>
      <c r="I94" s="6">
        <f>(COUNTIF(J94:CD94,"출전")*1)</f>
        <v>26</v>
      </c>
      <c r="J94" s="2" t="s">
        <v>308</v>
      </c>
      <c r="K94" s="2" t="s">
        <v>308</v>
      </c>
      <c r="L94" s="2" t="s">
        <v>308</v>
      </c>
      <c r="M94" s="2" t="s">
        <v>308</v>
      </c>
      <c r="N94" s="2" t="s">
        <v>308</v>
      </c>
      <c r="O94" s="2" t="s">
        <v>308</v>
      </c>
      <c r="P94" s="2" t="s">
        <v>308</v>
      </c>
      <c r="Q94" s="2"/>
      <c r="R94" s="2" t="s">
        <v>308</v>
      </c>
      <c r="S94" s="2"/>
      <c r="T94" s="2"/>
      <c r="U94" s="2" t="s">
        <v>308</v>
      </c>
      <c r="V94" s="2" t="s">
        <v>308</v>
      </c>
      <c r="W94" s="2" t="s">
        <v>308</v>
      </c>
      <c r="X94" s="2" t="s">
        <v>308</v>
      </c>
      <c r="Y94" s="2" t="s">
        <v>308</v>
      </c>
      <c r="Z94" s="2"/>
      <c r="AA94" s="2" t="s">
        <v>308</v>
      </c>
      <c r="AB94" s="2"/>
      <c r="AC94" s="2" t="s">
        <v>308</v>
      </c>
      <c r="AD94" s="2"/>
      <c r="AE94" s="2"/>
      <c r="AF94" s="2"/>
      <c r="AG94" s="2"/>
      <c r="AH94" s="2" t="s">
        <v>308</v>
      </c>
      <c r="AI94" s="2"/>
      <c r="AJ94" s="2"/>
      <c r="AK94" s="2"/>
      <c r="AL94" s="2" t="s">
        <v>308</v>
      </c>
      <c r="AM94" s="2" t="s">
        <v>308</v>
      </c>
      <c r="AN94" s="2" t="s">
        <v>308</v>
      </c>
      <c r="AO94" s="2" t="s">
        <v>308</v>
      </c>
      <c r="AP94" s="2"/>
      <c r="AQ94" s="2"/>
      <c r="AR94" s="2" t="s">
        <v>308</v>
      </c>
      <c r="AS94" s="2" t="s">
        <v>308</v>
      </c>
      <c r="AT94" s="2" t="s">
        <v>308</v>
      </c>
      <c r="AU94" s="2" t="s">
        <v>308</v>
      </c>
      <c r="AV94" s="2" t="s">
        <v>308</v>
      </c>
      <c r="AW94" s="2"/>
      <c r="AX94" s="2"/>
      <c r="AY94" s="2"/>
      <c r="AZ94" s="2"/>
      <c r="BA94" s="2" t="s">
        <v>209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</row>
    <row r="95" spans="1:82" x14ac:dyDescent="0.25">
      <c r="A95" s="2">
        <v>92</v>
      </c>
      <c r="B95" s="2" t="s">
        <v>100</v>
      </c>
      <c r="C95" s="59">
        <v>2022</v>
      </c>
      <c r="D95" s="55" t="s">
        <v>233</v>
      </c>
      <c r="E95" s="55"/>
      <c r="F95" s="2" t="s">
        <v>37</v>
      </c>
      <c r="G95" s="2">
        <f>RANK(H95,$H$4:$H$124,0)</f>
        <v>31</v>
      </c>
      <c r="H95" s="6">
        <f>I95+개인기록Sheet!C95</f>
        <v>19.8</v>
      </c>
      <c r="I95" s="6">
        <f>(COUNTIF(J95:CD95,"출전")*1)</f>
        <v>17</v>
      </c>
      <c r="J95" s="2"/>
      <c r="K95" s="2"/>
      <c r="L95" s="2"/>
      <c r="M95" s="2"/>
      <c r="N95" s="2"/>
      <c r="O95" s="2" t="s">
        <v>308</v>
      </c>
      <c r="P95" s="2" t="s">
        <v>308</v>
      </c>
      <c r="Q95" s="2"/>
      <c r="R95" s="2" t="s">
        <v>308</v>
      </c>
      <c r="S95" s="2"/>
      <c r="T95" s="2"/>
      <c r="U95" s="2" t="s">
        <v>308</v>
      </c>
      <c r="V95" s="2"/>
      <c r="W95" s="2" t="s">
        <v>308</v>
      </c>
      <c r="X95" s="2" t="s">
        <v>308</v>
      </c>
      <c r="Y95" s="2"/>
      <c r="Z95" s="2"/>
      <c r="AA95" s="2" t="s">
        <v>308</v>
      </c>
      <c r="AB95" s="2"/>
      <c r="AC95" s="2"/>
      <c r="AD95" s="2"/>
      <c r="AE95" s="2"/>
      <c r="AF95" s="2" t="s">
        <v>308</v>
      </c>
      <c r="AG95" s="2"/>
      <c r="AH95" s="2"/>
      <c r="AI95" s="2" t="s">
        <v>308</v>
      </c>
      <c r="AJ95" s="2" t="s">
        <v>308</v>
      </c>
      <c r="AK95" s="2" t="s">
        <v>308</v>
      </c>
      <c r="AL95" s="2" t="s">
        <v>308</v>
      </c>
      <c r="AM95" s="2"/>
      <c r="AN95" s="2"/>
      <c r="AO95" s="2" t="s">
        <v>308</v>
      </c>
      <c r="AP95" s="2"/>
      <c r="AQ95" s="2" t="s">
        <v>308</v>
      </c>
      <c r="AR95" s="2" t="s">
        <v>308</v>
      </c>
      <c r="AS95" s="2"/>
      <c r="AT95" s="2"/>
      <c r="AU95" s="2"/>
      <c r="AV95" s="2"/>
      <c r="AW95" s="2"/>
      <c r="AX95" s="2" t="s">
        <v>308</v>
      </c>
      <c r="AY95" s="2"/>
      <c r="AZ95" s="2"/>
      <c r="BA95" s="2" t="s">
        <v>209</v>
      </c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</row>
    <row r="96" spans="1:82" x14ac:dyDescent="0.25">
      <c r="A96" s="2">
        <v>93</v>
      </c>
      <c r="B96" s="2" t="s">
        <v>208</v>
      </c>
      <c r="C96" s="60">
        <v>2024</v>
      </c>
      <c r="D96" s="55" t="s">
        <v>384</v>
      </c>
      <c r="E96" s="55"/>
      <c r="F96" s="2" t="s">
        <v>37</v>
      </c>
      <c r="G96" s="2">
        <f>RANK(H96,$H$4:$H$124,0)</f>
        <v>5</v>
      </c>
      <c r="H96" s="6">
        <f>I96+개인기록Sheet!C96</f>
        <v>36</v>
      </c>
      <c r="I96" s="6">
        <f>(COUNTIF(J96:CD96,"출전")*1)</f>
        <v>30</v>
      </c>
      <c r="J96" s="2" t="s">
        <v>308</v>
      </c>
      <c r="K96" s="2" t="s">
        <v>308</v>
      </c>
      <c r="L96" s="2" t="s">
        <v>308</v>
      </c>
      <c r="M96" s="2" t="s">
        <v>308</v>
      </c>
      <c r="N96" s="2" t="s">
        <v>308</v>
      </c>
      <c r="O96" s="2" t="s">
        <v>308</v>
      </c>
      <c r="P96" s="2"/>
      <c r="Q96" s="2"/>
      <c r="R96" s="2" t="s">
        <v>308</v>
      </c>
      <c r="S96" s="2" t="s">
        <v>308</v>
      </c>
      <c r="T96" s="2" t="s">
        <v>308</v>
      </c>
      <c r="U96" s="2"/>
      <c r="V96" s="2" t="s">
        <v>308</v>
      </c>
      <c r="W96" s="2" t="s">
        <v>308</v>
      </c>
      <c r="X96" s="2"/>
      <c r="Y96" s="2" t="s">
        <v>308</v>
      </c>
      <c r="Z96" s="2" t="s">
        <v>308</v>
      </c>
      <c r="AA96" s="2" t="s">
        <v>308</v>
      </c>
      <c r="AB96" s="2"/>
      <c r="AC96" s="2" t="s">
        <v>308</v>
      </c>
      <c r="AD96" s="2" t="s">
        <v>308</v>
      </c>
      <c r="AE96" s="2" t="s">
        <v>308</v>
      </c>
      <c r="AF96" s="2" t="s">
        <v>308</v>
      </c>
      <c r="AG96" s="2"/>
      <c r="AH96" s="2"/>
      <c r="AI96" s="2" t="s">
        <v>308</v>
      </c>
      <c r="AJ96" s="2"/>
      <c r="AK96" s="2" t="s">
        <v>308</v>
      </c>
      <c r="AL96" s="2" t="s">
        <v>308</v>
      </c>
      <c r="AM96" s="2" t="s">
        <v>308</v>
      </c>
      <c r="AN96" s="2" t="s">
        <v>308</v>
      </c>
      <c r="AO96" s="2" t="s">
        <v>308</v>
      </c>
      <c r="AP96" s="2" t="s">
        <v>308</v>
      </c>
      <c r="AQ96" s="2" t="s">
        <v>308</v>
      </c>
      <c r="AR96" s="2"/>
      <c r="AS96" s="2"/>
      <c r="AT96" s="2"/>
      <c r="AU96" s="2"/>
      <c r="AV96" s="2"/>
      <c r="AW96" s="2"/>
      <c r="AX96" s="2" t="s">
        <v>308</v>
      </c>
      <c r="AY96" s="2" t="s">
        <v>308</v>
      </c>
      <c r="AZ96" s="2" t="s">
        <v>209</v>
      </c>
      <c r="BA96" s="2" t="s">
        <v>209</v>
      </c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</row>
    <row r="97" spans="1:82" x14ac:dyDescent="0.25">
      <c r="A97" s="2">
        <v>94</v>
      </c>
      <c r="B97" s="2" t="s">
        <v>64</v>
      </c>
      <c r="C97" s="59" t="s">
        <v>375</v>
      </c>
      <c r="D97" s="55" t="s">
        <v>384</v>
      </c>
      <c r="E97" s="55"/>
      <c r="F97" s="2" t="s">
        <v>37</v>
      </c>
      <c r="G97" s="2">
        <f>RANK(H97,$H$4:$H$124,0)</f>
        <v>35</v>
      </c>
      <c r="H97" s="6">
        <f>I97+개인기록Sheet!C97</f>
        <v>18.600000000000001</v>
      </c>
      <c r="I97" s="6">
        <f>(COUNTIF(J97:CD97,"출전")*1)</f>
        <v>16</v>
      </c>
      <c r="J97" s="2" t="s">
        <v>308</v>
      </c>
      <c r="K97" s="2" t="s">
        <v>308</v>
      </c>
      <c r="L97" s="2"/>
      <c r="M97" s="2"/>
      <c r="N97" s="2"/>
      <c r="O97" s="2"/>
      <c r="P97" s="2" t="s">
        <v>308</v>
      </c>
      <c r="Q97" s="2" t="s">
        <v>308</v>
      </c>
      <c r="R97" s="2" t="s">
        <v>308</v>
      </c>
      <c r="S97" s="2" t="s">
        <v>308</v>
      </c>
      <c r="T97" s="2"/>
      <c r="U97" s="2" t="s">
        <v>308</v>
      </c>
      <c r="V97" s="2"/>
      <c r="W97" s="2" t="s">
        <v>308</v>
      </c>
      <c r="X97" s="2"/>
      <c r="Y97" s="2"/>
      <c r="Z97" s="2" t="s">
        <v>308</v>
      </c>
      <c r="AA97" s="2"/>
      <c r="AB97" s="2"/>
      <c r="AC97" s="2"/>
      <c r="AD97" s="2"/>
      <c r="AE97" s="2"/>
      <c r="AF97" s="2" t="s">
        <v>308</v>
      </c>
      <c r="AG97" s="2"/>
      <c r="AH97" s="2"/>
      <c r="AI97" s="2"/>
      <c r="AJ97" s="2"/>
      <c r="AK97" s="2"/>
      <c r="AL97" s="2"/>
      <c r="AM97" s="2" t="s">
        <v>308</v>
      </c>
      <c r="AN97" s="2"/>
      <c r="AO97" s="2"/>
      <c r="AP97" s="2" t="s">
        <v>308</v>
      </c>
      <c r="AQ97" s="2" t="s">
        <v>308</v>
      </c>
      <c r="AR97" s="2"/>
      <c r="AS97" s="2"/>
      <c r="AT97" s="2"/>
      <c r="AU97" s="2"/>
      <c r="AV97" s="2" t="s">
        <v>308</v>
      </c>
      <c r="AW97" s="2"/>
      <c r="AX97" s="2"/>
      <c r="AY97" s="2"/>
      <c r="AZ97" s="2" t="s">
        <v>209</v>
      </c>
      <c r="BA97" s="2" t="s">
        <v>209</v>
      </c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</row>
    <row r="98" spans="1:82" x14ac:dyDescent="0.25">
      <c r="A98" s="2">
        <v>95</v>
      </c>
      <c r="B98" s="2" t="s">
        <v>40</v>
      </c>
      <c r="C98" s="59">
        <v>2021</v>
      </c>
      <c r="D98" s="55"/>
      <c r="E98" s="55"/>
      <c r="F98" s="2" t="s">
        <v>37</v>
      </c>
      <c r="G98" s="2">
        <f>RANK(H98,$H$4:$H$124,0)</f>
        <v>91</v>
      </c>
      <c r="H98" s="6">
        <f>I98+개인기록Sheet!C98</f>
        <v>0</v>
      </c>
      <c r="I98" s="6">
        <f>(COUNTIF(J98:CD98,"출전")*1)</f>
        <v>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</row>
    <row r="99" spans="1:82" x14ac:dyDescent="0.25">
      <c r="A99" s="2">
        <v>96</v>
      </c>
      <c r="B99" s="2" t="s">
        <v>140</v>
      </c>
      <c r="C99" s="59">
        <v>2023</v>
      </c>
      <c r="D99" s="55" t="s">
        <v>233</v>
      </c>
      <c r="E99" s="55"/>
      <c r="F99" s="2" t="s">
        <v>37</v>
      </c>
      <c r="G99" s="2">
        <f>RANK(H99,$H$4:$H$124,0)</f>
        <v>26</v>
      </c>
      <c r="H99" s="6">
        <f>I99+개인기록Sheet!C99</f>
        <v>22.5</v>
      </c>
      <c r="I99" s="6">
        <f>(COUNTIF(J99:CD99,"출전")*1)</f>
        <v>16</v>
      </c>
      <c r="J99" s="2"/>
      <c r="K99" s="2"/>
      <c r="L99" s="2"/>
      <c r="M99" s="2"/>
      <c r="N99" s="2" t="s">
        <v>308</v>
      </c>
      <c r="O99" s="2"/>
      <c r="P99" s="2"/>
      <c r="Q99" s="2"/>
      <c r="R99" s="2"/>
      <c r="S99" s="2"/>
      <c r="T99" s="2"/>
      <c r="U99" s="2"/>
      <c r="V99" s="2"/>
      <c r="W99" s="2" t="s">
        <v>308</v>
      </c>
      <c r="X99" s="2"/>
      <c r="Y99" s="2" t="s">
        <v>308</v>
      </c>
      <c r="Z99" s="2" t="s">
        <v>308</v>
      </c>
      <c r="AA99" s="2"/>
      <c r="AB99" s="2"/>
      <c r="AC99" s="2" t="s">
        <v>308</v>
      </c>
      <c r="AD99" s="2"/>
      <c r="AE99" s="2" t="s">
        <v>308</v>
      </c>
      <c r="AF99" s="2"/>
      <c r="AG99" s="2"/>
      <c r="AH99" s="2"/>
      <c r="AI99" s="2"/>
      <c r="AJ99" s="2"/>
      <c r="AK99" s="2"/>
      <c r="AL99" s="2"/>
      <c r="AM99" s="2" t="s">
        <v>308</v>
      </c>
      <c r="AN99" s="2" t="s">
        <v>308</v>
      </c>
      <c r="AO99" s="2"/>
      <c r="AP99" s="2"/>
      <c r="AQ99" s="2"/>
      <c r="AR99" s="2" t="s">
        <v>308</v>
      </c>
      <c r="AS99" s="2" t="s">
        <v>308</v>
      </c>
      <c r="AT99" s="2" t="s">
        <v>308</v>
      </c>
      <c r="AU99" s="2" t="s">
        <v>308</v>
      </c>
      <c r="AV99" s="2" t="s">
        <v>308</v>
      </c>
      <c r="AW99" s="2" t="s">
        <v>308</v>
      </c>
      <c r="AX99" s="2" t="s">
        <v>308</v>
      </c>
      <c r="AY99" s="2" t="s">
        <v>308</v>
      </c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</row>
    <row r="100" spans="1:82" x14ac:dyDescent="0.25">
      <c r="A100" s="2">
        <v>97</v>
      </c>
      <c r="B100" s="2" t="s">
        <v>124</v>
      </c>
      <c r="C100" s="59">
        <v>2022</v>
      </c>
      <c r="D100" s="55" t="s">
        <v>385</v>
      </c>
      <c r="E100" s="55"/>
      <c r="F100" s="2" t="s">
        <v>37</v>
      </c>
      <c r="G100" s="2">
        <f>RANK(H100,$H$4:$H$124,0)</f>
        <v>23</v>
      </c>
      <c r="H100" s="6">
        <f>I100+개인기록Sheet!C100</f>
        <v>26</v>
      </c>
      <c r="I100" s="6">
        <f>(COUNTIF(J100:CD100,"출전")*1)</f>
        <v>21</v>
      </c>
      <c r="J100" s="2" t="s">
        <v>308</v>
      </c>
      <c r="K100" s="2" t="s">
        <v>308</v>
      </c>
      <c r="L100" s="2"/>
      <c r="M100" s="2"/>
      <c r="N100" s="2"/>
      <c r="O100" s="2"/>
      <c r="P100" s="2" t="s">
        <v>308</v>
      </c>
      <c r="Q100" s="2" t="s">
        <v>308</v>
      </c>
      <c r="R100" s="2"/>
      <c r="S100" s="2" t="s">
        <v>308</v>
      </c>
      <c r="T100" s="2"/>
      <c r="U100" s="2" t="s">
        <v>308</v>
      </c>
      <c r="V100" s="2"/>
      <c r="W100" s="2"/>
      <c r="X100" s="2"/>
      <c r="Y100" s="2"/>
      <c r="Z100" s="2" t="s">
        <v>308</v>
      </c>
      <c r="AA100" s="2" t="s">
        <v>308</v>
      </c>
      <c r="AB100" s="2"/>
      <c r="AC100" s="2" t="s">
        <v>308</v>
      </c>
      <c r="AD100" s="2"/>
      <c r="AE100" s="2" t="s">
        <v>308</v>
      </c>
      <c r="AF100" s="2" t="s">
        <v>308</v>
      </c>
      <c r="AG100" s="2" t="s">
        <v>308</v>
      </c>
      <c r="AH100" s="2"/>
      <c r="AI100" s="2"/>
      <c r="AJ100" s="2"/>
      <c r="AK100" s="2" t="s">
        <v>308</v>
      </c>
      <c r="AL100" s="2" t="s">
        <v>308</v>
      </c>
      <c r="AM100" s="2"/>
      <c r="AN100" s="2" t="s">
        <v>308</v>
      </c>
      <c r="AO100" s="2" t="s">
        <v>308</v>
      </c>
      <c r="AP100" s="2"/>
      <c r="AQ100" s="2"/>
      <c r="AR100" s="2" t="s">
        <v>308</v>
      </c>
      <c r="AS100" s="2" t="s">
        <v>308</v>
      </c>
      <c r="AT100" s="2" t="s">
        <v>308</v>
      </c>
      <c r="AU100" s="2"/>
      <c r="AV100" s="2"/>
      <c r="AW100" s="2"/>
      <c r="AX100" s="2"/>
      <c r="AY100" s="2" t="s">
        <v>308</v>
      </c>
      <c r="AZ100" s="2"/>
      <c r="BA100" s="2" t="s">
        <v>209</v>
      </c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</row>
    <row r="101" spans="1:82" x14ac:dyDescent="0.25">
      <c r="A101" s="2">
        <v>98</v>
      </c>
      <c r="B101" s="2" t="s">
        <v>98</v>
      </c>
      <c r="C101" s="59">
        <v>2021</v>
      </c>
      <c r="D101" s="55"/>
      <c r="E101" s="55"/>
      <c r="F101" s="2" t="s">
        <v>37</v>
      </c>
      <c r="G101" s="2">
        <f>RANK(H101,$H$4:$H$124,0)</f>
        <v>71</v>
      </c>
      <c r="H101" s="6">
        <f>I101+개인기록Sheet!C101</f>
        <v>4.3</v>
      </c>
      <c r="I101" s="6">
        <f>(COUNTIF(J101:CD101,"출전")*1)</f>
        <v>4</v>
      </c>
      <c r="J101" s="2"/>
      <c r="K101" s="2" t="s">
        <v>308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 t="s">
        <v>308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 t="s">
        <v>308</v>
      </c>
      <c r="AL101" s="2"/>
      <c r="AM101" s="2" t="s">
        <v>308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</row>
    <row r="102" spans="1:82" x14ac:dyDescent="0.25">
      <c r="A102" s="2">
        <v>99</v>
      </c>
      <c r="B102" s="2" t="s">
        <v>388</v>
      </c>
      <c r="C102" s="60">
        <v>2025</v>
      </c>
      <c r="D102" s="55"/>
      <c r="E102" s="55"/>
      <c r="F102" s="2" t="s">
        <v>37</v>
      </c>
      <c r="G102" s="2">
        <f>RANK(H102,$H$4:$H$124,0)</f>
        <v>80</v>
      </c>
      <c r="H102" s="6">
        <f>I102+개인기록Sheet!C102</f>
        <v>2.8</v>
      </c>
      <c r="I102" s="6">
        <f>(COUNTIF(J102:CD102,"출전")*1)</f>
        <v>2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 t="s">
        <v>308</v>
      </c>
      <c r="AZ102" s="2"/>
      <c r="BA102" s="2" t="s">
        <v>209</v>
      </c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</row>
    <row r="103" spans="1:82" x14ac:dyDescent="0.25">
      <c r="A103" s="2">
        <v>100</v>
      </c>
      <c r="B103" s="2" t="s">
        <v>200</v>
      </c>
      <c r="C103" s="59">
        <v>2023</v>
      </c>
      <c r="D103" s="55" t="s">
        <v>384</v>
      </c>
      <c r="E103" s="55"/>
      <c r="F103" s="2" t="s">
        <v>37</v>
      </c>
      <c r="G103" s="2">
        <f>RANK(H103,$H$4:$H$124,0)</f>
        <v>15</v>
      </c>
      <c r="H103" s="6">
        <f>I103+개인기록Sheet!C103</f>
        <v>31</v>
      </c>
      <c r="I103" s="6">
        <f>(COUNTIF(J103:CD103,"출전")*1)</f>
        <v>24</v>
      </c>
      <c r="J103" s="2" t="s">
        <v>308</v>
      </c>
      <c r="K103" s="2" t="s">
        <v>308</v>
      </c>
      <c r="L103" s="2"/>
      <c r="M103" s="2"/>
      <c r="N103" s="2" t="s">
        <v>308</v>
      </c>
      <c r="O103" s="2" t="s">
        <v>308</v>
      </c>
      <c r="P103" s="2" t="s">
        <v>308</v>
      </c>
      <c r="Q103" s="2"/>
      <c r="R103" s="2" t="s">
        <v>308</v>
      </c>
      <c r="S103" s="2" t="s">
        <v>308</v>
      </c>
      <c r="T103" s="2"/>
      <c r="U103" s="2" t="s">
        <v>308</v>
      </c>
      <c r="V103" s="2" t="s">
        <v>308</v>
      </c>
      <c r="W103" s="2"/>
      <c r="X103" s="2" t="s">
        <v>308</v>
      </c>
      <c r="Y103" s="2" t="s">
        <v>308</v>
      </c>
      <c r="Z103" s="2" t="s">
        <v>308</v>
      </c>
      <c r="AA103" s="2" t="s">
        <v>308</v>
      </c>
      <c r="AB103" s="2" t="s">
        <v>308</v>
      </c>
      <c r="AC103" s="2"/>
      <c r="AD103" s="2" t="s">
        <v>308</v>
      </c>
      <c r="AE103" s="2"/>
      <c r="AF103" s="2"/>
      <c r="AG103" s="2" t="s">
        <v>308</v>
      </c>
      <c r="AH103" s="2" t="s">
        <v>308</v>
      </c>
      <c r="AI103" s="2"/>
      <c r="AJ103" s="2"/>
      <c r="AK103" s="2"/>
      <c r="AL103" s="2" t="s">
        <v>308</v>
      </c>
      <c r="AM103" s="2"/>
      <c r="AN103" s="2" t="s">
        <v>308</v>
      </c>
      <c r="AO103" s="2" t="s">
        <v>308</v>
      </c>
      <c r="AP103" s="2"/>
      <c r="AQ103" s="2" t="s">
        <v>308</v>
      </c>
      <c r="AR103" s="2"/>
      <c r="AS103" s="2"/>
      <c r="AT103" s="2"/>
      <c r="AU103" s="2"/>
      <c r="AV103" s="2"/>
      <c r="AW103" s="2" t="s">
        <v>308</v>
      </c>
      <c r="AX103" s="2"/>
      <c r="AY103" s="2" t="s">
        <v>308</v>
      </c>
      <c r="AZ103" s="2"/>
      <c r="BA103" s="2" t="s">
        <v>209</v>
      </c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</row>
    <row r="104" spans="1:82" x14ac:dyDescent="0.25">
      <c r="A104" s="2">
        <v>101</v>
      </c>
      <c r="B104" s="2" t="s">
        <v>69</v>
      </c>
      <c r="C104" s="59" t="s">
        <v>375</v>
      </c>
      <c r="D104" s="55" t="s">
        <v>233</v>
      </c>
      <c r="E104" s="55"/>
      <c r="F104" s="2" t="s">
        <v>37</v>
      </c>
      <c r="G104" s="2">
        <f>RANK(H104,$H$4:$H$124,0)</f>
        <v>67</v>
      </c>
      <c r="H104" s="6">
        <f>I104+개인기록Sheet!C104</f>
        <v>6.9</v>
      </c>
      <c r="I104" s="6">
        <f>(COUNTIF(J104:CD104,"출전")*1)</f>
        <v>6</v>
      </c>
      <c r="J104" s="2"/>
      <c r="K104" s="2"/>
      <c r="L104" s="2"/>
      <c r="M104" s="2" t="s">
        <v>308</v>
      </c>
      <c r="N104" s="2"/>
      <c r="O104" s="2"/>
      <c r="P104" s="2"/>
      <c r="Q104" s="2" t="s">
        <v>308</v>
      </c>
      <c r="R104" s="2"/>
      <c r="S104" s="2"/>
      <c r="T104" s="2"/>
      <c r="U104" s="2"/>
      <c r="V104" s="2" t="s">
        <v>308</v>
      </c>
      <c r="W104" s="2"/>
      <c r="X104" s="2" t="s">
        <v>308</v>
      </c>
      <c r="Y104" s="2"/>
      <c r="Z104" s="2"/>
      <c r="AA104" s="2"/>
      <c r="AB104" s="2"/>
      <c r="AC104" s="2" t="s">
        <v>308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 t="s">
        <v>308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</row>
    <row r="105" spans="1:82" x14ac:dyDescent="0.25">
      <c r="A105" s="2">
        <v>102</v>
      </c>
      <c r="B105" s="2" t="s">
        <v>344</v>
      </c>
      <c r="C105" s="60">
        <v>2025</v>
      </c>
      <c r="D105" s="55"/>
      <c r="E105" s="55"/>
      <c r="F105" s="2" t="s">
        <v>37</v>
      </c>
      <c r="G105" s="2">
        <f>RANK(H105,$H$4:$H$124,0)</f>
        <v>39</v>
      </c>
      <c r="H105" s="6">
        <f>I105+개인기록Sheet!C105</f>
        <v>16.899999999999999</v>
      </c>
      <c r="I105" s="6">
        <f>(COUNTIF(J105:CD105,"출전")*1)</f>
        <v>14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s">
        <v>308</v>
      </c>
      <c r="AE105" s="2"/>
      <c r="AF105" s="2" t="s">
        <v>308</v>
      </c>
      <c r="AG105" s="2"/>
      <c r="AH105" s="2" t="s">
        <v>308</v>
      </c>
      <c r="AI105" s="2" t="s">
        <v>308</v>
      </c>
      <c r="AJ105" s="2" t="s">
        <v>308</v>
      </c>
      <c r="AK105" s="2" t="s">
        <v>308</v>
      </c>
      <c r="AL105" s="2"/>
      <c r="AM105" s="2" t="s">
        <v>308</v>
      </c>
      <c r="AN105" s="2"/>
      <c r="AO105" s="2"/>
      <c r="AP105" s="2" t="s">
        <v>308</v>
      </c>
      <c r="AQ105" s="2" t="s">
        <v>308</v>
      </c>
      <c r="AR105" s="2"/>
      <c r="AS105" s="2" t="s">
        <v>308</v>
      </c>
      <c r="AT105" s="2"/>
      <c r="AU105" s="2" t="s">
        <v>308</v>
      </c>
      <c r="AV105" s="2" t="s">
        <v>308</v>
      </c>
      <c r="AW105" s="2" t="s">
        <v>308</v>
      </c>
      <c r="AX105" s="2"/>
      <c r="AY105" s="2" t="s">
        <v>308</v>
      </c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</row>
    <row r="106" spans="1:82" x14ac:dyDescent="0.25">
      <c r="A106" s="2">
        <v>103</v>
      </c>
      <c r="B106" s="2" t="s">
        <v>115</v>
      </c>
      <c r="C106" s="59">
        <v>2022</v>
      </c>
      <c r="D106" s="55" t="s">
        <v>385</v>
      </c>
      <c r="E106" s="55"/>
      <c r="F106" s="2" t="s">
        <v>37</v>
      </c>
      <c r="G106" s="2">
        <f>RANK(H106,$H$4:$H$124,0)</f>
        <v>33</v>
      </c>
      <c r="H106" s="6">
        <f>I106+개인기록Sheet!C106</f>
        <v>19.3</v>
      </c>
      <c r="I106" s="6">
        <f>(COUNTIF(J106:CD106,"출전")*1)</f>
        <v>15</v>
      </c>
      <c r="J106" s="2" t="s">
        <v>308</v>
      </c>
      <c r="K106" s="2"/>
      <c r="L106" s="2" t="s">
        <v>308</v>
      </c>
      <c r="M106" s="2"/>
      <c r="N106" s="2"/>
      <c r="O106" s="2"/>
      <c r="P106" s="2" t="s">
        <v>308</v>
      </c>
      <c r="Q106" s="2"/>
      <c r="R106" s="2"/>
      <c r="S106" s="2" t="s">
        <v>308</v>
      </c>
      <c r="T106" s="2" t="s">
        <v>308</v>
      </c>
      <c r="U106" s="2" t="s">
        <v>308</v>
      </c>
      <c r="V106" s="2" t="s">
        <v>308</v>
      </c>
      <c r="W106" s="2"/>
      <c r="X106" s="2" t="s">
        <v>308</v>
      </c>
      <c r="Y106" s="2"/>
      <c r="Z106" s="2" t="s">
        <v>308</v>
      </c>
      <c r="AA106" s="2" t="s">
        <v>308</v>
      </c>
      <c r="AB106" s="2"/>
      <c r="AC106" s="2" t="s">
        <v>308</v>
      </c>
      <c r="AD106" s="2"/>
      <c r="AE106" s="2"/>
      <c r="AF106" s="2"/>
      <c r="AG106" s="2"/>
      <c r="AH106" s="2" t="s">
        <v>308</v>
      </c>
      <c r="AI106" s="2"/>
      <c r="AJ106" s="2"/>
      <c r="AK106" s="2"/>
      <c r="AL106" s="2"/>
      <c r="AM106" s="2"/>
      <c r="AN106" s="2" t="s">
        <v>308</v>
      </c>
      <c r="AO106" s="2"/>
      <c r="AP106" s="2"/>
      <c r="AQ106" s="2"/>
      <c r="AR106" s="2"/>
      <c r="AS106" s="2" t="s">
        <v>308</v>
      </c>
      <c r="AT106" s="2"/>
      <c r="AU106" s="2"/>
      <c r="AV106" s="2"/>
      <c r="AW106" s="2"/>
      <c r="AX106" s="2"/>
      <c r="AY106" s="2" t="s">
        <v>308</v>
      </c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</row>
    <row r="107" spans="1:82" x14ac:dyDescent="0.25">
      <c r="A107" s="2">
        <v>104</v>
      </c>
      <c r="B107" s="2" t="s">
        <v>307</v>
      </c>
      <c r="C107" s="60">
        <v>2024</v>
      </c>
      <c r="D107" s="55"/>
      <c r="E107" s="55"/>
      <c r="F107" s="2" t="s">
        <v>37</v>
      </c>
      <c r="G107" s="2">
        <f>RANK(H107,$H$4:$H$124,0)</f>
        <v>76</v>
      </c>
      <c r="H107" s="6">
        <f>I107+개인기록Sheet!C107</f>
        <v>3.2</v>
      </c>
      <c r="I107" s="6">
        <f>(COUNTIF(J107:CD107,"출전")*1)</f>
        <v>3</v>
      </c>
      <c r="J107" s="2"/>
      <c r="K107" s="2"/>
      <c r="L107" s="2" t="s">
        <v>308</v>
      </c>
      <c r="M107" s="2" t="s">
        <v>308</v>
      </c>
      <c r="N107" s="2"/>
      <c r="O107" s="2"/>
      <c r="P107" s="2"/>
      <c r="Q107" s="2"/>
      <c r="R107" s="2" t="s">
        <v>308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</row>
    <row r="108" spans="1:82" x14ac:dyDescent="0.25">
      <c r="A108" s="2">
        <v>105</v>
      </c>
      <c r="B108" s="2" t="s">
        <v>126</v>
      </c>
      <c r="C108" s="59">
        <v>2023</v>
      </c>
      <c r="D108" s="55" t="s">
        <v>384</v>
      </c>
      <c r="E108" s="55"/>
      <c r="F108" s="2" t="s">
        <v>37</v>
      </c>
      <c r="G108" s="2">
        <f>RANK(H108,$H$4:$H$124,0)</f>
        <v>19</v>
      </c>
      <c r="H108" s="6">
        <f>I108+개인기록Sheet!C108</f>
        <v>27.6</v>
      </c>
      <c r="I108" s="6">
        <f>(COUNTIF(J108:CD108,"출전")*1)</f>
        <v>22</v>
      </c>
      <c r="J108" s="2" t="s">
        <v>308</v>
      </c>
      <c r="K108" s="2"/>
      <c r="L108" s="2"/>
      <c r="M108" s="2" t="s">
        <v>308</v>
      </c>
      <c r="N108" s="2"/>
      <c r="O108" s="2" t="s">
        <v>308</v>
      </c>
      <c r="P108" s="2"/>
      <c r="Q108" s="2" t="s">
        <v>308</v>
      </c>
      <c r="R108" s="2"/>
      <c r="S108" s="2" t="s">
        <v>308</v>
      </c>
      <c r="T108" s="2"/>
      <c r="U108" s="2"/>
      <c r="V108" s="2"/>
      <c r="W108" s="2" t="s">
        <v>308</v>
      </c>
      <c r="X108" s="2" t="s">
        <v>308</v>
      </c>
      <c r="Y108" s="2" t="s">
        <v>308</v>
      </c>
      <c r="Z108" s="2"/>
      <c r="AA108" s="2" t="s">
        <v>308</v>
      </c>
      <c r="AB108" s="2" t="s">
        <v>308</v>
      </c>
      <c r="AC108" s="2" t="s">
        <v>308</v>
      </c>
      <c r="AD108" s="2"/>
      <c r="AE108" s="2" t="s">
        <v>308</v>
      </c>
      <c r="AF108" s="2" t="s">
        <v>308</v>
      </c>
      <c r="AG108" s="2"/>
      <c r="AH108" s="2"/>
      <c r="AI108" s="2"/>
      <c r="AJ108" s="2" t="s">
        <v>308</v>
      </c>
      <c r="AK108" s="2" t="s">
        <v>308</v>
      </c>
      <c r="AL108" s="2"/>
      <c r="AM108" s="2" t="s">
        <v>308</v>
      </c>
      <c r="AN108" s="2" t="s">
        <v>308</v>
      </c>
      <c r="AO108" s="2"/>
      <c r="AP108" s="2"/>
      <c r="AQ108" s="2"/>
      <c r="AR108" s="2"/>
      <c r="AS108" s="2"/>
      <c r="AT108" s="2"/>
      <c r="AU108" s="2"/>
      <c r="AV108" s="2" t="s">
        <v>308</v>
      </c>
      <c r="AW108" s="2" t="s">
        <v>308</v>
      </c>
      <c r="AX108" s="2" t="s">
        <v>308</v>
      </c>
      <c r="AY108" s="2" t="s">
        <v>308</v>
      </c>
      <c r="AZ108" s="2" t="s">
        <v>209</v>
      </c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</row>
    <row r="109" spans="1:82" x14ac:dyDescent="0.25">
      <c r="A109" s="2">
        <v>106</v>
      </c>
      <c r="B109" s="2" t="s">
        <v>135</v>
      </c>
      <c r="C109" s="59">
        <v>2023</v>
      </c>
      <c r="D109" s="55" t="s">
        <v>385</v>
      </c>
      <c r="E109" s="55"/>
      <c r="F109" s="2" t="s">
        <v>37</v>
      </c>
      <c r="G109" s="2">
        <f>RANK(H109,$H$4:$H$124,0)</f>
        <v>56</v>
      </c>
      <c r="H109" s="6">
        <f>I109+개인기록Sheet!C109</f>
        <v>9</v>
      </c>
      <c r="I109" s="6">
        <f>(COUNTIF(J109:CD109,"출전")*1)</f>
        <v>7</v>
      </c>
      <c r="J109" s="2" t="s">
        <v>308</v>
      </c>
      <c r="K109" s="2"/>
      <c r="L109" s="2"/>
      <c r="M109" s="2"/>
      <c r="N109" s="2"/>
      <c r="O109" s="2"/>
      <c r="P109" s="2"/>
      <c r="Q109" s="2" t="s">
        <v>308</v>
      </c>
      <c r="R109" s="2"/>
      <c r="S109" s="2"/>
      <c r="T109" s="2" t="s">
        <v>308</v>
      </c>
      <c r="U109" s="2" t="s">
        <v>308</v>
      </c>
      <c r="V109" s="2"/>
      <c r="W109" s="2"/>
      <c r="X109" s="2"/>
      <c r="Y109" s="2"/>
      <c r="Z109" s="2"/>
      <c r="AA109" s="2"/>
      <c r="AB109" s="2" t="s">
        <v>308</v>
      </c>
      <c r="AC109" s="2"/>
      <c r="AD109" s="2"/>
      <c r="AE109" s="2"/>
      <c r="AF109" s="2"/>
      <c r="AG109" s="2"/>
      <c r="AH109" s="2" t="s">
        <v>308</v>
      </c>
      <c r="AI109" s="2"/>
      <c r="AJ109" s="2"/>
      <c r="AK109" s="2"/>
      <c r="AL109" s="2"/>
      <c r="AM109" s="2"/>
      <c r="AN109" s="2"/>
      <c r="AO109" s="2" t="s">
        <v>308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</row>
    <row r="110" spans="1:82" x14ac:dyDescent="0.25">
      <c r="A110" s="2">
        <v>107</v>
      </c>
      <c r="B110" s="2" t="s">
        <v>366</v>
      </c>
      <c r="C110" s="60">
        <v>2025</v>
      </c>
      <c r="D110" s="55"/>
      <c r="E110" s="55"/>
      <c r="F110" s="2" t="s">
        <v>37</v>
      </c>
      <c r="G110" s="2">
        <f>RANK(H110,$H$4:$H$124,0)</f>
        <v>58</v>
      </c>
      <c r="H110" s="6">
        <f>I110+개인기록Sheet!C110</f>
        <v>8.6</v>
      </c>
      <c r="I110" s="6">
        <f>(COUNTIF(J110:CD110,"출전")*1)</f>
        <v>7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 t="s">
        <v>308</v>
      </c>
      <c r="AP110" s="2"/>
      <c r="AQ110" s="2" t="s">
        <v>308</v>
      </c>
      <c r="AR110" s="2" t="s">
        <v>308</v>
      </c>
      <c r="AS110" s="2" t="s">
        <v>308</v>
      </c>
      <c r="AT110" s="2"/>
      <c r="AU110" s="2"/>
      <c r="AV110" s="2" t="s">
        <v>308</v>
      </c>
      <c r="AW110" s="2" t="s">
        <v>308</v>
      </c>
      <c r="AX110" s="2"/>
      <c r="AY110" s="2" t="s">
        <v>308</v>
      </c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</row>
    <row r="111" spans="1:82" x14ac:dyDescent="0.25">
      <c r="A111" s="2">
        <v>108</v>
      </c>
      <c r="B111" s="2" t="s">
        <v>32</v>
      </c>
      <c r="C111" s="59" t="s">
        <v>375</v>
      </c>
      <c r="D111" s="55" t="s">
        <v>233</v>
      </c>
      <c r="E111" s="55"/>
      <c r="F111" s="2" t="s">
        <v>37</v>
      </c>
      <c r="G111" s="2">
        <f>RANK(H111,$H$4:$H$124,0)</f>
        <v>78</v>
      </c>
      <c r="H111" s="6">
        <f>I111+개인기록Sheet!C111</f>
        <v>3.1</v>
      </c>
      <c r="I111" s="6">
        <f>(COUNTIF(J111:CD111,"출전")*1)</f>
        <v>2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 t="s">
        <v>308</v>
      </c>
      <c r="AO111" s="2"/>
      <c r="AP111" s="2"/>
      <c r="AQ111" s="2"/>
      <c r="AR111" s="2"/>
      <c r="AS111" s="2"/>
      <c r="AT111" s="2"/>
      <c r="AU111" s="2"/>
      <c r="AV111" s="2"/>
      <c r="AW111" s="2" t="s">
        <v>308</v>
      </c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</row>
    <row r="112" spans="1:82" x14ac:dyDescent="0.25">
      <c r="A112" s="2">
        <v>109</v>
      </c>
      <c r="B112" s="2" t="s">
        <v>251</v>
      </c>
      <c r="C112" s="60">
        <v>2024</v>
      </c>
      <c r="D112" s="55"/>
      <c r="E112" s="55"/>
      <c r="F112" s="2" t="s">
        <v>37</v>
      </c>
      <c r="G112" s="2">
        <f>RANK(H112,$H$4:$H$124,0)</f>
        <v>32</v>
      </c>
      <c r="H112" s="6">
        <f>I112+개인기록Sheet!C112</f>
        <v>19.399999999999999</v>
      </c>
      <c r="I112" s="6">
        <f>(COUNTIF(J112:CD112,"출전")*1)</f>
        <v>15</v>
      </c>
      <c r="J112" s="2"/>
      <c r="K112" s="2"/>
      <c r="L112" s="2"/>
      <c r="M112" s="2"/>
      <c r="N112" s="2"/>
      <c r="O112" s="2"/>
      <c r="P112" s="2"/>
      <c r="Q112" s="2"/>
      <c r="R112" s="2" t="s">
        <v>308</v>
      </c>
      <c r="S112" s="2"/>
      <c r="T112" s="2"/>
      <c r="U112" s="2" t="s">
        <v>308</v>
      </c>
      <c r="V112" s="2" t="s">
        <v>308</v>
      </c>
      <c r="W112" s="2"/>
      <c r="X112" s="2"/>
      <c r="Y112" s="2"/>
      <c r="Z112" s="2" t="s">
        <v>308</v>
      </c>
      <c r="AA112" s="2"/>
      <c r="AB112" s="2"/>
      <c r="AC112" s="2" t="s">
        <v>308</v>
      </c>
      <c r="AD112" s="2"/>
      <c r="AE112" s="2"/>
      <c r="AF112" s="2" t="s">
        <v>308</v>
      </c>
      <c r="AG112" s="2" t="s">
        <v>308</v>
      </c>
      <c r="AH112" s="2" t="s">
        <v>308</v>
      </c>
      <c r="AI112" s="2"/>
      <c r="AJ112" s="2" t="s">
        <v>308</v>
      </c>
      <c r="AK112" s="2"/>
      <c r="AL112" s="2" t="s">
        <v>308</v>
      </c>
      <c r="AM112" s="2" t="s">
        <v>308</v>
      </c>
      <c r="AN112" s="2"/>
      <c r="AO112" s="2" t="s">
        <v>308</v>
      </c>
      <c r="AP112" s="2"/>
      <c r="AQ112" s="2"/>
      <c r="AR112" s="2"/>
      <c r="AS112" s="2"/>
      <c r="AT112" s="2" t="s">
        <v>308</v>
      </c>
      <c r="AU112" s="2" t="s">
        <v>308</v>
      </c>
      <c r="AV112" s="2" t="s">
        <v>308</v>
      </c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</row>
    <row r="113" spans="1:82" x14ac:dyDescent="0.25">
      <c r="A113" s="2">
        <v>110</v>
      </c>
      <c r="B113" s="2" t="s">
        <v>44</v>
      </c>
      <c r="C113" s="59" t="s">
        <v>375</v>
      </c>
      <c r="D113" s="55" t="s">
        <v>384</v>
      </c>
      <c r="E113" s="55"/>
      <c r="F113" s="2" t="s">
        <v>37</v>
      </c>
      <c r="G113" s="2">
        <f>RANK(H113,$H$4:$H$124,0)</f>
        <v>21</v>
      </c>
      <c r="H113" s="6">
        <f>I113+개인기록Sheet!C113</f>
        <v>26.2</v>
      </c>
      <c r="I113" s="6">
        <f>(COUNTIF(J113:CD113,"출전")*1)</f>
        <v>19</v>
      </c>
      <c r="J113" s="2" t="s">
        <v>308</v>
      </c>
      <c r="K113" s="2"/>
      <c r="L113" s="2" t="s">
        <v>308</v>
      </c>
      <c r="M113" s="2" t="s">
        <v>308</v>
      </c>
      <c r="N113" s="2"/>
      <c r="O113" s="2"/>
      <c r="P113" s="2" t="s">
        <v>308</v>
      </c>
      <c r="Q113" s="2" t="s">
        <v>308</v>
      </c>
      <c r="R113" s="2"/>
      <c r="S113" s="2" t="s">
        <v>308</v>
      </c>
      <c r="T113" s="2" t="s">
        <v>308</v>
      </c>
      <c r="U113" s="2"/>
      <c r="V113" s="2"/>
      <c r="W113" s="2" t="s">
        <v>308</v>
      </c>
      <c r="X113" s="2" t="s">
        <v>308</v>
      </c>
      <c r="Y113" s="2"/>
      <c r="Z113" s="2"/>
      <c r="AA113" s="2"/>
      <c r="AB113" s="2" t="s">
        <v>308</v>
      </c>
      <c r="AC113" s="2" t="s">
        <v>308</v>
      </c>
      <c r="AD113" s="2"/>
      <c r="AE113" s="2" t="s">
        <v>308</v>
      </c>
      <c r="AF113" s="2" t="s">
        <v>308</v>
      </c>
      <c r="AG113" s="2"/>
      <c r="AH113" s="2"/>
      <c r="AI113" s="2" t="s">
        <v>308</v>
      </c>
      <c r="AJ113" s="2"/>
      <c r="AK113" s="2"/>
      <c r="AL113" s="2"/>
      <c r="AM113" s="2"/>
      <c r="AN113" s="2" t="s">
        <v>308</v>
      </c>
      <c r="AO113" s="2"/>
      <c r="AP113" s="2" t="s">
        <v>308</v>
      </c>
      <c r="AQ113" s="2" t="s">
        <v>308</v>
      </c>
      <c r="AR113" s="2"/>
      <c r="AS113" s="2"/>
      <c r="AT113" s="2"/>
      <c r="AU113" s="2"/>
      <c r="AV113" s="2" t="s">
        <v>308</v>
      </c>
      <c r="AW113" s="2"/>
      <c r="AX113" s="2" t="s">
        <v>308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</row>
    <row r="114" spans="1:82" x14ac:dyDescent="0.25">
      <c r="A114" s="2">
        <v>111</v>
      </c>
      <c r="B114" s="2" t="s">
        <v>250</v>
      </c>
      <c r="C114" s="60">
        <v>2024</v>
      </c>
      <c r="D114" s="55"/>
      <c r="E114" s="55"/>
      <c r="F114" s="2" t="s">
        <v>37</v>
      </c>
      <c r="G114" s="2">
        <f>RANK(H114,$H$4:$H$124,0)</f>
        <v>79</v>
      </c>
      <c r="H114" s="6">
        <f>I114+개인기록Sheet!C114</f>
        <v>3</v>
      </c>
      <c r="I114" s="6">
        <f>(COUNTIF(J114:CD114,"출전")*1)</f>
        <v>3</v>
      </c>
      <c r="J114" s="2"/>
      <c r="K114" s="2"/>
      <c r="L114" s="2"/>
      <c r="M114" s="2" t="s">
        <v>308</v>
      </c>
      <c r="N114" s="2" t="s">
        <v>308</v>
      </c>
      <c r="O114" s="2"/>
      <c r="P114" s="2"/>
      <c r="Q114" s="2" t="s">
        <v>308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</row>
    <row r="115" spans="1:82" x14ac:dyDescent="0.25">
      <c r="A115" s="2">
        <v>112</v>
      </c>
      <c r="B115" s="2" t="s">
        <v>225</v>
      </c>
      <c r="C115" s="60">
        <v>2024</v>
      </c>
      <c r="D115" s="55"/>
      <c r="E115" s="55"/>
      <c r="F115" s="2" t="s">
        <v>37</v>
      </c>
      <c r="G115" s="2">
        <f>RANK(H115,$H$4:$H$124,0)</f>
        <v>91</v>
      </c>
      <c r="H115" s="6">
        <f>I115+개인기록Sheet!C115</f>
        <v>0</v>
      </c>
      <c r="I115" s="6">
        <f>(COUNTIF(J115:CD115,"출전")*1)</f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</row>
    <row r="116" spans="1:82" x14ac:dyDescent="0.25">
      <c r="A116" s="2">
        <v>113</v>
      </c>
      <c r="B116" s="2" t="s">
        <v>226</v>
      </c>
      <c r="C116" s="60">
        <v>2024</v>
      </c>
      <c r="D116" s="55"/>
      <c r="E116" s="55"/>
      <c r="F116" s="2" t="s">
        <v>37</v>
      </c>
      <c r="G116" s="2">
        <f>RANK(H116,$H$4:$H$124,0)</f>
        <v>91</v>
      </c>
      <c r="H116" s="6">
        <f>I116+개인기록Sheet!C116</f>
        <v>0</v>
      </c>
      <c r="I116" s="6">
        <f>(COUNTIF(J116:CD116,"출전")*1)</f>
        <v>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</row>
  </sheetData>
  <autoFilter ref="A3:CT116" xr:uid="{00000000-0001-0000-0000-000000000000}">
    <sortState xmlns:xlrd2="http://schemas.microsoft.com/office/spreadsheetml/2017/richdata2" ref="A10:CT116">
      <sortCondition ref="A3:A116"/>
    </sortState>
  </autoFilter>
  <phoneticPr fontId="2" type="noConversion"/>
  <conditionalFormatting sqref="D4:E116">
    <cfRule type="containsText" dxfId="13" priority="1" operator="containsText" text="지급">
      <formula>NOT(ISERROR(SEARCH("지급",D4)))</formula>
    </cfRule>
  </conditionalFormatting>
  <conditionalFormatting sqref="G4:G116">
    <cfRule type="top10" dxfId="12" priority="766" bottom="1" rank="10"/>
  </conditionalFormatting>
  <conditionalFormatting sqref="H4:H116">
    <cfRule type="top10" dxfId="11" priority="768" rank="10"/>
  </conditionalFormatting>
  <conditionalFormatting sqref="I4:I116">
    <cfRule type="top10" dxfId="10" priority="770" rank="10"/>
  </conditionalFormatting>
  <pageMargins left="0.39347222447395325" right="0.39347222447395325" top="0.19666667282581329" bottom="0.19666667282581329" header="0.19666667282581329" footer="0.19666667282581329"/>
  <pageSetup paperSize="9" scale="9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V478"/>
  <sheetViews>
    <sheetView topLeftCell="A416" zoomScaleNormal="125" workbookViewId="0">
      <selection activeCell="Q476" sqref="Q476"/>
    </sheetView>
  </sheetViews>
  <sheetFormatPr defaultColWidth="8.8984375" defaultRowHeight="15.6" x14ac:dyDescent="0.25"/>
  <cols>
    <col min="1" max="1" width="4.8984375" style="1" bestFit="1" customWidth="1"/>
    <col min="2" max="2" width="5.69921875" style="1" bestFit="1" customWidth="1"/>
    <col min="3" max="4" width="8.8984375" style="1" customWidth="1"/>
    <col min="5" max="22" width="6.5" style="1" customWidth="1"/>
  </cols>
  <sheetData>
    <row r="2" spans="1:22" x14ac:dyDescent="0.25">
      <c r="B2" s="11">
        <v>45722</v>
      </c>
      <c r="C2" s="10" t="s">
        <v>130</v>
      </c>
      <c r="D2" s="10" t="s">
        <v>131</v>
      </c>
      <c r="E2" s="80" t="s">
        <v>84</v>
      </c>
      <c r="F2" s="80"/>
      <c r="G2" s="80"/>
      <c r="H2" s="80"/>
      <c r="I2" s="81" t="s">
        <v>87</v>
      </c>
      <c r="J2" s="81"/>
      <c r="K2" s="81"/>
      <c r="L2" s="81"/>
      <c r="M2" s="82" t="s">
        <v>86</v>
      </c>
      <c r="N2" s="82"/>
      <c r="O2" s="82"/>
      <c r="P2" s="82"/>
      <c r="Q2" s="79" t="s">
        <v>80</v>
      </c>
      <c r="R2" s="79"/>
      <c r="S2" s="79"/>
      <c r="T2" s="79"/>
      <c r="U2" s="79"/>
      <c r="V2" s="79"/>
    </row>
    <row r="3" spans="1:22" x14ac:dyDescent="0.25">
      <c r="B3" s="84" t="s">
        <v>67</v>
      </c>
      <c r="C3" s="77">
        <v>1</v>
      </c>
      <c r="D3" s="77">
        <v>0</v>
      </c>
      <c r="E3" s="7" t="s">
        <v>139</v>
      </c>
      <c r="F3" s="7"/>
      <c r="G3" s="7"/>
      <c r="H3" s="7"/>
      <c r="I3" s="8" t="s">
        <v>218</v>
      </c>
      <c r="J3" s="8"/>
      <c r="K3" s="8"/>
      <c r="L3" s="8"/>
      <c r="M3" s="20" t="s">
        <v>128</v>
      </c>
      <c r="N3" s="20" t="s">
        <v>243</v>
      </c>
      <c r="O3" s="20" t="s">
        <v>97</v>
      </c>
      <c r="P3" s="20"/>
      <c r="Q3" s="9" t="s">
        <v>200</v>
      </c>
      <c r="R3" s="9" t="s">
        <v>219</v>
      </c>
      <c r="S3" s="9" t="s">
        <v>309</v>
      </c>
      <c r="T3" s="9" t="s">
        <v>240</v>
      </c>
      <c r="U3" s="9"/>
      <c r="V3" s="13" t="s">
        <v>110</v>
      </c>
    </row>
    <row r="4" spans="1:22" x14ac:dyDescent="0.25">
      <c r="B4" s="83"/>
      <c r="C4" s="78"/>
      <c r="D4" s="78"/>
      <c r="E4" s="7"/>
      <c r="F4" s="7"/>
      <c r="G4" s="7"/>
      <c r="H4" s="7"/>
      <c r="I4" s="8"/>
      <c r="J4" s="8"/>
      <c r="K4" s="8"/>
      <c r="L4" s="8"/>
      <c r="M4" s="20"/>
      <c r="N4" s="20"/>
      <c r="O4" s="20"/>
      <c r="P4" s="20"/>
      <c r="Q4" s="9"/>
      <c r="R4" s="9"/>
      <c r="S4" s="9"/>
      <c r="T4" s="9"/>
      <c r="U4" s="9"/>
      <c r="V4" s="13"/>
    </row>
    <row r="5" spans="1:22" x14ac:dyDescent="0.25">
      <c r="B5" s="84" t="s">
        <v>73</v>
      </c>
      <c r="C5" s="77">
        <v>0</v>
      </c>
      <c r="D5" s="77">
        <v>2</v>
      </c>
      <c r="E5" s="7" t="s">
        <v>115</v>
      </c>
      <c r="F5" s="7"/>
      <c r="G5" s="7"/>
      <c r="H5" s="7"/>
      <c r="I5" s="8" t="s">
        <v>100</v>
      </c>
      <c r="J5" s="8"/>
      <c r="K5" s="8"/>
      <c r="L5" s="8"/>
      <c r="M5" s="20" t="s">
        <v>113</v>
      </c>
      <c r="N5" s="20" t="s">
        <v>102</v>
      </c>
      <c r="O5" s="20"/>
      <c r="P5" s="20"/>
      <c r="Q5" s="9" t="s">
        <v>124</v>
      </c>
      <c r="R5" s="9" t="s">
        <v>207</v>
      </c>
      <c r="S5" s="9" t="s">
        <v>137</v>
      </c>
      <c r="T5" s="9" t="s">
        <v>108</v>
      </c>
      <c r="U5" s="9"/>
      <c r="V5" s="13" t="s">
        <v>99</v>
      </c>
    </row>
    <row r="6" spans="1:22" x14ac:dyDescent="0.25">
      <c r="B6" s="83"/>
      <c r="C6" s="78"/>
      <c r="D6" s="78"/>
      <c r="E6" s="7"/>
      <c r="F6" s="7"/>
      <c r="G6" s="7"/>
      <c r="H6" s="7"/>
      <c r="I6" s="8"/>
      <c r="J6" s="8"/>
      <c r="K6" s="8"/>
      <c r="L6" s="8"/>
      <c r="M6" s="20"/>
      <c r="N6" s="20"/>
      <c r="O6" s="20"/>
      <c r="P6" s="20"/>
      <c r="Q6" s="9"/>
      <c r="R6" s="9"/>
      <c r="S6" s="9"/>
      <c r="T6" s="9"/>
      <c r="U6" s="9"/>
      <c r="V6" s="13"/>
    </row>
    <row r="7" spans="1:22" x14ac:dyDescent="0.25">
      <c r="B7" s="84" t="s">
        <v>75</v>
      </c>
      <c r="C7" s="77">
        <v>2</v>
      </c>
      <c r="D7" s="77">
        <v>0</v>
      </c>
      <c r="E7" s="7" t="s">
        <v>139</v>
      </c>
      <c r="F7" s="7" t="s">
        <v>243</v>
      </c>
      <c r="G7" s="7"/>
      <c r="H7" s="7"/>
      <c r="I7" s="8"/>
      <c r="J7" s="8"/>
      <c r="K7" s="8"/>
      <c r="L7" s="8"/>
      <c r="M7" s="20" t="s">
        <v>97</v>
      </c>
      <c r="N7" s="20" t="s">
        <v>243</v>
      </c>
      <c r="O7" s="20" t="s">
        <v>128</v>
      </c>
      <c r="P7" s="20"/>
      <c r="Q7" s="9" t="s">
        <v>139</v>
      </c>
      <c r="R7" s="9" t="s">
        <v>200</v>
      </c>
      <c r="S7" s="9" t="s">
        <v>219</v>
      </c>
      <c r="T7" s="9" t="s">
        <v>309</v>
      </c>
      <c r="U7" s="9"/>
      <c r="V7" s="13" t="s">
        <v>110</v>
      </c>
    </row>
    <row r="8" spans="1:22" x14ac:dyDescent="0.25">
      <c r="B8" s="83"/>
      <c r="C8" s="78"/>
      <c r="D8" s="78"/>
      <c r="E8" s="7"/>
      <c r="F8" s="7"/>
      <c r="G8" s="7"/>
      <c r="H8" s="7"/>
      <c r="I8" s="8"/>
      <c r="J8" s="8"/>
      <c r="K8" s="8"/>
      <c r="L8" s="8"/>
      <c r="M8" s="20"/>
      <c r="N8" s="20"/>
      <c r="O8" s="20"/>
      <c r="P8" s="20"/>
      <c r="Q8" s="9"/>
      <c r="R8" s="9"/>
      <c r="S8" s="9"/>
      <c r="T8" s="9"/>
      <c r="U8" s="9"/>
      <c r="V8" s="13"/>
    </row>
    <row r="9" spans="1:22" x14ac:dyDescent="0.25">
      <c r="B9" s="84" t="s">
        <v>43</v>
      </c>
      <c r="C9" s="77">
        <v>1</v>
      </c>
      <c r="D9" s="77">
        <v>1</v>
      </c>
      <c r="E9" s="7" t="s">
        <v>115</v>
      </c>
      <c r="F9" s="7"/>
      <c r="G9" s="7"/>
      <c r="H9" s="7"/>
      <c r="I9" s="8" t="s">
        <v>99</v>
      </c>
      <c r="J9" s="8"/>
      <c r="K9" s="8"/>
      <c r="L9" s="8"/>
      <c r="M9" s="20"/>
      <c r="N9" s="20"/>
      <c r="O9" s="20"/>
      <c r="P9" s="20"/>
      <c r="Q9" s="9"/>
      <c r="R9" s="9"/>
      <c r="S9" s="9"/>
      <c r="T9" s="9"/>
      <c r="U9" s="9"/>
      <c r="V9" s="13"/>
    </row>
    <row r="10" spans="1:22" x14ac:dyDescent="0.25">
      <c r="B10" s="83"/>
      <c r="C10" s="78"/>
      <c r="D10" s="78"/>
      <c r="E10" s="7" t="s">
        <v>128</v>
      </c>
      <c r="F10" s="7"/>
      <c r="G10" s="7"/>
      <c r="H10" s="7"/>
      <c r="I10" s="8"/>
      <c r="J10" s="8"/>
      <c r="K10" s="8"/>
      <c r="L10" s="8"/>
      <c r="M10" s="20"/>
      <c r="N10" s="20"/>
      <c r="O10" s="20"/>
      <c r="P10" s="20"/>
      <c r="Q10" s="9"/>
      <c r="R10" s="9"/>
      <c r="S10" s="9"/>
      <c r="T10" s="9"/>
      <c r="U10" s="9"/>
      <c r="V10" s="13"/>
    </row>
    <row r="11" spans="1:22" x14ac:dyDescent="0.25">
      <c r="B11" s="84" t="s">
        <v>167</v>
      </c>
      <c r="C11" s="77"/>
      <c r="D11" s="77"/>
      <c r="E11" s="7"/>
      <c r="F11" s="7"/>
      <c r="G11" s="7"/>
      <c r="H11" s="7"/>
      <c r="I11" s="8"/>
      <c r="J11" s="8"/>
      <c r="K11" s="8"/>
      <c r="L11" s="8"/>
      <c r="M11" s="20"/>
      <c r="N11" s="20"/>
      <c r="O11" s="20"/>
      <c r="P11" s="20"/>
      <c r="Q11" s="9"/>
      <c r="R11" s="9"/>
      <c r="S11" s="9"/>
      <c r="T11" s="9"/>
      <c r="U11" s="9"/>
      <c r="V11" s="13"/>
    </row>
    <row r="12" spans="1:22" x14ac:dyDescent="0.25">
      <c r="B12" s="83"/>
      <c r="C12" s="78"/>
      <c r="D12" s="78"/>
      <c r="E12" s="7"/>
      <c r="F12" s="7"/>
      <c r="G12" s="7"/>
      <c r="H12" s="7"/>
      <c r="I12" s="8"/>
      <c r="J12" s="8"/>
      <c r="K12" s="8"/>
      <c r="L12" s="8"/>
      <c r="M12" s="20"/>
      <c r="N12" s="20"/>
      <c r="O12" s="20"/>
      <c r="P12" s="20"/>
      <c r="Q12" s="9"/>
      <c r="R12" s="9"/>
      <c r="S12" s="9"/>
      <c r="T12" s="9"/>
      <c r="U12" s="9"/>
      <c r="V12" s="13"/>
    </row>
    <row r="13" spans="1:22" x14ac:dyDescent="0.25">
      <c r="B13" s="2" t="s">
        <v>91</v>
      </c>
      <c r="C13" s="2">
        <f>SUM(C3:C12)</f>
        <v>4</v>
      </c>
      <c r="D13" s="2">
        <f>SUM(D3:D12)</f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6" spans="1:22" ht="13.35" customHeight="1" x14ac:dyDescent="0.25">
      <c r="A16" s="28"/>
      <c r="B16" s="11">
        <v>45729</v>
      </c>
      <c r="C16" s="10" t="s">
        <v>76</v>
      </c>
      <c r="D16" s="10" t="s">
        <v>311</v>
      </c>
      <c r="E16" s="80" t="s">
        <v>84</v>
      </c>
      <c r="F16" s="80"/>
      <c r="G16" s="80"/>
      <c r="H16" s="80"/>
      <c r="I16" s="81" t="s">
        <v>87</v>
      </c>
      <c r="J16" s="81"/>
      <c r="K16" s="81"/>
      <c r="L16" s="81"/>
      <c r="M16" s="82" t="s">
        <v>86</v>
      </c>
      <c r="N16" s="82"/>
      <c r="O16" s="82"/>
      <c r="P16" s="82"/>
      <c r="Q16" s="79" t="s">
        <v>80</v>
      </c>
      <c r="R16" s="79"/>
      <c r="S16" s="79"/>
      <c r="T16" s="79"/>
      <c r="U16" s="79"/>
      <c r="V16" s="79"/>
    </row>
    <row r="17" spans="1:22" x14ac:dyDescent="0.25">
      <c r="A17" s="27"/>
      <c r="B17" s="12" t="s">
        <v>67</v>
      </c>
      <c r="C17" s="10">
        <v>0</v>
      </c>
      <c r="D17" s="10">
        <v>0</v>
      </c>
      <c r="E17" s="7"/>
      <c r="F17" s="7"/>
      <c r="G17" s="7"/>
      <c r="H17" s="7"/>
      <c r="I17" s="8"/>
      <c r="J17" s="8"/>
      <c r="K17" s="8"/>
      <c r="L17" s="8"/>
      <c r="M17" s="20"/>
      <c r="N17" s="20"/>
      <c r="O17" s="20"/>
      <c r="P17" s="20"/>
      <c r="Q17" s="9" t="s">
        <v>219</v>
      </c>
      <c r="R17" s="9" t="s">
        <v>216</v>
      </c>
      <c r="S17" s="9" t="s">
        <v>313</v>
      </c>
      <c r="T17" s="9" t="s">
        <v>314</v>
      </c>
      <c r="U17" s="9"/>
      <c r="V17" s="13" t="s">
        <v>135</v>
      </c>
    </row>
    <row r="18" spans="1:22" x14ac:dyDescent="0.25">
      <c r="A18" s="27"/>
      <c r="B18" s="12" t="s">
        <v>73</v>
      </c>
      <c r="C18" s="10">
        <v>2</v>
      </c>
      <c r="D18" s="10">
        <v>3</v>
      </c>
      <c r="E18" s="7" t="s">
        <v>218</v>
      </c>
      <c r="F18" s="7" t="s">
        <v>218</v>
      </c>
      <c r="G18" s="7"/>
      <c r="H18" s="7"/>
      <c r="I18" s="8" t="s">
        <v>206</v>
      </c>
      <c r="J18" s="8"/>
      <c r="K18" s="8"/>
      <c r="L18" s="8"/>
      <c r="M18" s="20"/>
      <c r="N18" s="20"/>
      <c r="O18" s="20"/>
      <c r="P18" s="20"/>
      <c r="Q18" s="9" t="s">
        <v>124</v>
      </c>
      <c r="R18" s="9" t="s">
        <v>126</v>
      </c>
      <c r="S18" s="9" t="s">
        <v>140</v>
      </c>
      <c r="T18" s="9" t="s">
        <v>120</v>
      </c>
      <c r="U18" s="9"/>
      <c r="V18" s="13" t="s">
        <v>110</v>
      </c>
    </row>
    <row r="19" spans="1:22" x14ac:dyDescent="0.25">
      <c r="A19" s="27"/>
      <c r="B19" s="12" t="s">
        <v>75</v>
      </c>
      <c r="C19" s="10">
        <v>0</v>
      </c>
      <c r="D19" s="10">
        <v>0</v>
      </c>
      <c r="E19" s="7"/>
      <c r="F19" s="7"/>
      <c r="G19" s="7"/>
      <c r="H19" s="7"/>
      <c r="I19" s="8"/>
      <c r="J19" s="8"/>
      <c r="K19" s="8"/>
      <c r="L19" s="8"/>
      <c r="M19" s="20"/>
      <c r="N19" s="20"/>
      <c r="O19" s="20"/>
      <c r="P19" s="20"/>
      <c r="Q19" s="9" t="s">
        <v>120</v>
      </c>
      <c r="R19" s="9" t="s">
        <v>126</v>
      </c>
      <c r="S19" s="9" t="s">
        <v>216</v>
      </c>
      <c r="T19" s="9" t="s">
        <v>135</v>
      </c>
      <c r="U19" s="9"/>
      <c r="V19" s="13" t="s">
        <v>110</v>
      </c>
    </row>
    <row r="20" spans="1:22" x14ac:dyDescent="0.25">
      <c r="A20" s="28"/>
      <c r="B20" s="12" t="s">
        <v>43</v>
      </c>
      <c r="C20" s="10">
        <v>0</v>
      </c>
      <c r="D20" s="10">
        <v>2</v>
      </c>
      <c r="E20" s="7"/>
      <c r="F20" s="7"/>
      <c r="G20" s="7"/>
      <c r="H20" s="7"/>
      <c r="I20" s="8"/>
      <c r="J20" s="8"/>
      <c r="K20" s="8"/>
      <c r="L20" s="8"/>
      <c r="M20" s="20"/>
      <c r="N20" s="20"/>
      <c r="O20" s="20"/>
      <c r="P20" s="20"/>
      <c r="Q20" s="9"/>
      <c r="R20" s="9"/>
      <c r="S20" s="9"/>
      <c r="T20" s="9"/>
      <c r="U20" s="9"/>
      <c r="V20" s="13"/>
    </row>
    <row r="21" spans="1:22" x14ac:dyDescent="0.25">
      <c r="A21" s="27"/>
      <c r="B21" s="12" t="s">
        <v>42</v>
      </c>
      <c r="C21" s="10">
        <v>2</v>
      </c>
      <c r="D21" s="10">
        <v>0</v>
      </c>
      <c r="E21" s="7" t="s">
        <v>112</v>
      </c>
      <c r="F21" s="7" t="s">
        <v>243</v>
      </c>
      <c r="G21" s="7"/>
      <c r="H21" s="7"/>
      <c r="I21" s="8"/>
      <c r="J21" s="8"/>
      <c r="K21" s="8"/>
      <c r="L21" s="8"/>
      <c r="M21" s="20" t="s">
        <v>111</v>
      </c>
      <c r="N21" s="20" t="s">
        <v>99</v>
      </c>
      <c r="O21" s="20" t="s">
        <v>103</v>
      </c>
      <c r="P21" s="20"/>
      <c r="Q21" s="9" t="s">
        <v>120</v>
      </c>
      <c r="R21" s="9" t="s">
        <v>126</v>
      </c>
      <c r="S21" s="9" t="s">
        <v>216</v>
      </c>
      <c r="T21" s="9" t="s">
        <v>135</v>
      </c>
      <c r="U21" s="9"/>
      <c r="V21" s="13" t="s">
        <v>206</v>
      </c>
    </row>
    <row r="22" spans="1:22" x14ac:dyDescent="0.25">
      <c r="B22" s="2" t="s">
        <v>91</v>
      </c>
      <c r="C22" s="2">
        <f>SUM(C17:C21)</f>
        <v>4</v>
      </c>
      <c r="D22" s="2">
        <f>SUM(D17:D21)</f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5" spans="1:22" x14ac:dyDescent="0.25">
      <c r="B25" s="11">
        <v>45736</v>
      </c>
      <c r="C25" s="10" t="s">
        <v>130</v>
      </c>
      <c r="D25" s="10" t="s">
        <v>131</v>
      </c>
      <c r="E25" s="80" t="s">
        <v>84</v>
      </c>
      <c r="F25" s="80"/>
      <c r="G25" s="80"/>
      <c r="H25" s="80"/>
      <c r="I25" s="81" t="s">
        <v>87</v>
      </c>
      <c r="J25" s="81"/>
      <c r="K25" s="81"/>
      <c r="L25" s="81"/>
      <c r="M25" s="82" t="s">
        <v>86</v>
      </c>
      <c r="N25" s="82"/>
      <c r="O25" s="82"/>
      <c r="P25" s="82"/>
      <c r="Q25" s="79" t="s">
        <v>80</v>
      </c>
      <c r="R25" s="79"/>
      <c r="S25" s="79"/>
      <c r="T25" s="79"/>
      <c r="U25" s="79"/>
      <c r="V25" s="79"/>
    </row>
    <row r="26" spans="1:22" x14ac:dyDescent="0.25">
      <c r="B26" s="84" t="s">
        <v>67</v>
      </c>
      <c r="C26" s="77">
        <v>1</v>
      </c>
      <c r="D26" s="77">
        <v>2</v>
      </c>
      <c r="E26" s="7" t="s">
        <v>100</v>
      </c>
      <c r="F26" s="7"/>
      <c r="G26" s="7"/>
      <c r="H26" s="7"/>
      <c r="I26" s="8" t="s">
        <v>111</v>
      </c>
      <c r="J26" s="8"/>
      <c r="K26" s="8"/>
      <c r="L26" s="8"/>
      <c r="M26" s="20"/>
      <c r="N26" s="20"/>
      <c r="O26" s="20"/>
      <c r="P26" s="20"/>
      <c r="Q26" s="9"/>
      <c r="R26" s="9"/>
      <c r="S26" s="9"/>
      <c r="T26" s="9"/>
      <c r="U26" s="9"/>
      <c r="V26" s="13"/>
    </row>
    <row r="27" spans="1:22" x14ac:dyDescent="0.25">
      <c r="B27" s="83"/>
      <c r="C27" s="78"/>
      <c r="D27" s="78"/>
      <c r="E27" s="7" t="s">
        <v>223</v>
      </c>
      <c r="F27" s="7" t="s">
        <v>232</v>
      </c>
      <c r="G27" s="7"/>
      <c r="H27" s="7"/>
      <c r="I27" s="8"/>
      <c r="J27" s="8" t="s">
        <v>137</v>
      </c>
      <c r="K27" s="8"/>
      <c r="L27" s="8"/>
      <c r="M27" s="20"/>
      <c r="N27" s="20"/>
      <c r="O27" s="20"/>
      <c r="P27" s="20"/>
      <c r="Q27" s="9"/>
      <c r="R27" s="9"/>
      <c r="S27" s="9"/>
      <c r="T27" s="9"/>
      <c r="U27" s="9"/>
      <c r="V27" s="13"/>
    </row>
    <row r="28" spans="1:22" x14ac:dyDescent="0.25">
      <c r="B28" s="84" t="s">
        <v>73</v>
      </c>
      <c r="C28" s="77">
        <v>2</v>
      </c>
      <c r="D28" s="77">
        <v>2</v>
      </c>
      <c r="E28" s="7" t="s">
        <v>221</v>
      </c>
      <c r="F28" s="7" t="s">
        <v>111</v>
      </c>
      <c r="G28" s="7"/>
      <c r="H28" s="7"/>
      <c r="I28" s="8" t="s">
        <v>111</v>
      </c>
      <c r="J28" s="8" t="s">
        <v>220</v>
      </c>
      <c r="K28" s="8"/>
      <c r="L28" s="8"/>
      <c r="M28" s="20"/>
      <c r="N28" s="20"/>
      <c r="O28" s="20"/>
      <c r="P28" s="20"/>
      <c r="Q28" s="9"/>
      <c r="R28" s="9"/>
      <c r="S28" s="9"/>
      <c r="T28" s="9"/>
      <c r="U28" s="9"/>
      <c r="V28" s="13"/>
    </row>
    <row r="29" spans="1:22" x14ac:dyDescent="0.25">
      <c r="B29" s="83"/>
      <c r="C29" s="78"/>
      <c r="D29" s="78"/>
      <c r="E29" s="7" t="s">
        <v>223</v>
      </c>
      <c r="F29" s="7" t="s">
        <v>123</v>
      </c>
      <c r="G29" s="7"/>
      <c r="H29" s="7"/>
      <c r="I29" s="8" t="s">
        <v>218</v>
      </c>
      <c r="J29" s="8" t="s">
        <v>208</v>
      </c>
      <c r="K29" s="8"/>
      <c r="L29" s="8"/>
      <c r="M29" s="20"/>
      <c r="N29" s="20"/>
      <c r="O29" s="20"/>
      <c r="P29" s="20"/>
      <c r="Q29" s="9"/>
      <c r="R29" s="9"/>
      <c r="S29" s="9"/>
      <c r="T29" s="9"/>
      <c r="U29" s="9"/>
      <c r="V29" s="13"/>
    </row>
    <row r="30" spans="1:22" x14ac:dyDescent="0.25">
      <c r="B30" s="84" t="s">
        <v>75</v>
      </c>
      <c r="C30" s="77">
        <v>1</v>
      </c>
      <c r="D30" s="77">
        <v>0</v>
      </c>
      <c r="E30" s="7" t="s">
        <v>111</v>
      </c>
      <c r="F30" s="7"/>
      <c r="G30" s="7"/>
      <c r="H30" s="7"/>
      <c r="I30" s="8" t="s">
        <v>113</v>
      </c>
      <c r="J30" s="8"/>
      <c r="K30" s="8"/>
      <c r="L30" s="8"/>
      <c r="M30" s="20" t="s">
        <v>113</v>
      </c>
      <c r="N30" s="20"/>
      <c r="O30" s="20"/>
      <c r="P30" s="20"/>
      <c r="Q30" s="9" t="s">
        <v>117</v>
      </c>
      <c r="R30" s="9" t="s">
        <v>307</v>
      </c>
      <c r="S30" s="9" t="s">
        <v>200</v>
      </c>
      <c r="T30" s="9" t="s">
        <v>207</v>
      </c>
      <c r="U30" s="9"/>
      <c r="V30" s="13" t="s">
        <v>221</v>
      </c>
    </row>
    <row r="31" spans="1:22" x14ac:dyDescent="0.25">
      <c r="B31" s="83"/>
      <c r="C31" s="78"/>
      <c r="D31" s="78"/>
      <c r="E31" s="7"/>
      <c r="F31" s="7"/>
      <c r="G31" s="7"/>
      <c r="H31" s="7"/>
      <c r="I31" s="8"/>
      <c r="J31" s="8"/>
      <c r="K31" s="8"/>
      <c r="L31" s="8"/>
      <c r="M31" s="20"/>
      <c r="N31" s="20"/>
      <c r="O31" s="20"/>
      <c r="P31" s="20"/>
      <c r="Q31" s="9"/>
      <c r="R31" s="9"/>
      <c r="S31" s="9"/>
      <c r="T31" s="9"/>
      <c r="U31" s="9"/>
      <c r="V31" s="13"/>
    </row>
    <row r="32" spans="1:22" x14ac:dyDescent="0.25">
      <c r="B32" s="84" t="s">
        <v>43</v>
      </c>
      <c r="C32" s="77"/>
      <c r="D32" s="77"/>
      <c r="E32" s="7"/>
      <c r="F32" s="7"/>
      <c r="G32" s="7"/>
      <c r="H32" s="7"/>
      <c r="I32" s="8"/>
      <c r="J32" s="8"/>
      <c r="K32" s="8"/>
      <c r="L32" s="8"/>
      <c r="M32" s="20"/>
      <c r="N32" s="20"/>
      <c r="O32" s="20"/>
      <c r="P32" s="20"/>
      <c r="Q32" s="9"/>
      <c r="R32" s="9"/>
      <c r="S32" s="9"/>
      <c r="T32" s="9"/>
      <c r="U32" s="9"/>
      <c r="V32" s="13"/>
    </row>
    <row r="33" spans="2:22" x14ac:dyDescent="0.25">
      <c r="B33" s="83"/>
      <c r="C33" s="78"/>
      <c r="D33" s="78"/>
      <c r="E33" s="7"/>
      <c r="F33" s="7"/>
      <c r="G33" s="7"/>
      <c r="H33" s="7"/>
      <c r="I33" s="8"/>
      <c r="J33" s="8"/>
      <c r="K33" s="8"/>
      <c r="L33" s="8"/>
      <c r="M33" s="20"/>
      <c r="N33" s="20"/>
      <c r="O33" s="20"/>
      <c r="P33" s="20"/>
      <c r="Q33" s="9"/>
      <c r="R33" s="9"/>
      <c r="S33" s="9"/>
      <c r="T33" s="9"/>
      <c r="U33" s="9"/>
      <c r="V33" s="13"/>
    </row>
    <row r="34" spans="2:22" x14ac:dyDescent="0.25">
      <c r="B34" s="84" t="s">
        <v>167</v>
      </c>
      <c r="C34" s="77"/>
      <c r="D34" s="77"/>
      <c r="E34" s="7"/>
      <c r="F34" s="7"/>
      <c r="G34" s="7"/>
      <c r="H34" s="7"/>
      <c r="I34" s="8"/>
      <c r="J34" s="8"/>
      <c r="K34" s="8"/>
      <c r="L34" s="8"/>
      <c r="M34" s="20"/>
      <c r="N34" s="20"/>
      <c r="O34" s="20"/>
      <c r="P34" s="20"/>
      <c r="Q34" s="9"/>
      <c r="R34" s="9"/>
      <c r="S34" s="9"/>
      <c r="T34" s="9"/>
      <c r="U34" s="9"/>
      <c r="V34" s="13"/>
    </row>
    <row r="35" spans="2:22" x14ac:dyDescent="0.25">
      <c r="B35" s="83"/>
      <c r="C35" s="78"/>
      <c r="D35" s="78"/>
      <c r="E35" s="7"/>
      <c r="F35" s="7"/>
      <c r="G35" s="7"/>
      <c r="H35" s="7"/>
      <c r="I35" s="8"/>
      <c r="J35" s="8"/>
      <c r="K35" s="8"/>
      <c r="L35" s="8"/>
      <c r="M35" s="20"/>
      <c r="N35" s="20"/>
      <c r="O35" s="20"/>
      <c r="P35" s="20"/>
      <c r="Q35" s="9"/>
      <c r="R35" s="9"/>
      <c r="S35" s="9"/>
      <c r="T35" s="9"/>
      <c r="U35" s="9"/>
      <c r="V35" s="13"/>
    </row>
    <row r="36" spans="2:22" x14ac:dyDescent="0.25">
      <c r="B36" s="2" t="s">
        <v>91</v>
      </c>
      <c r="C36" s="2">
        <f>SUM(C26:C35)</f>
        <v>4</v>
      </c>
      <c r="D36" s="2">
        <f>SUM(D26:D35)</f>
        <v>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9" spans="2:22" x14ac:dyDescent="0.25">
      <c r="B39" s="11">
        <v>45743</v>
      </c>
      <c r="C39" s="10" t="s">
        <v>130</v>
      </c>
      <c r="D39" s="10" t="s">
        <v>131</v>
      </c>
      <c r="E39" s="80" t="s">
        <v>84</v>
      </c>
      <c r="F39" s="80"/>
      <c r="G39" s="80"/>
      <c r="H39" s="80"/>
      <c r="I39" s="81" t="s">
        <v>87</v>
      </c>
      <c r="J39" s="81"/>
      <c r="K39" s="81"/>
      <c r="L39" s="81"/>
      <c r="M39" s="82" t="s">
        <v>86</v>
      </c>
      <c r="N39" s="82"/>
      <c r="O39" s="82"/>
      <c r="P39" s="82"/>
      <c r="Q39" s="79" t="s">
        <v>80</v>
      </c>
      <c r="R39" s="79"/>
      <c r="S39" s="79"/>
      <c r="T39" s="79"/>
      <c r="U39" s="79"/>
      <c r="V39" s="79"/>
    </row>
    <row r="40" spans="2:22" x14ac:dyDescent="0.25">
      <c r="B40" s="84" t="s">
        <v>317</v>
      </c>
      <c r="C40" s="77">
        <v>1</v>
      </c>
      <c r="D40" s="77">
        <v>0</v>
      </c>
      <c r="E40" s="7" t="s">
        <v>248</v>
      </c>
      <c r="F40" s="7"/>
      <c r="G40" s="7"/>
      <c r="H40" s="7"/>
      <c r="I40" s="8" t="s">
        <v>309</v>
      </c>
      <c r="J40" s="8"/>
      <c r="K40" s="8"/>
      <c r="L40" s="8"/>
      <c r="M40" s="20" t="s">
        <v>208</v>
      </c>
      <c r="N40" s="20" t="s">
        <v>105</v>
      </c>
      <c r="O40" s="20" t="s">
        <v>243</v>
      </c>
      <c r="P40" s="20"/>
      <c r="Q40" s="9" t="s">
        <v>216</v>
      </c>
      <c r="R40" s="9" t="s">
        <v>310</v>
      </c>
      <c r="S40" s="9" t="s">
        <v>108</v>
      </c>
      <c r="T40" s="9" t="s">
        <v>124</v>
      </c>
      <c r="U40" s="9"/>
      <c r="V40" s="13" t="s">
        <v>96</v>
      </c>
    </row>
    <row r="41" spans="2:22" x14ac:dyDescent="0.25">
      <c r="B41" s="83"/>
      <c r="C41" s="78"/>
      <c r="D41" s="78"/>
      <c r="E41" s="7"/>
      <c r="F41" s="7"/>
      <c r="G41" s="7"/>
      <c r="H41" s="7"/>
      <c r="I41" s="8"/>
      <c r="J41" s="8"/>
      <c r="K41" s="8"/>
      <c r="L41" s="8"/>
      <c r="M41" s="20"/>
      <c r="N41" s="20"/>
      <c r="O41" s="20"/>
      <c r="P41" s="20"/>
      <c r="Q41" s="9"/>
      <c r="R41" s="9"/>
      <c r="S41" s="9"/>
      <c r="T41" s="9"/>
      <c r="U41" s="9"/>
      <c r="V41" s="13"/>
    </row>
    <row r="42" spans="2:22" x14ac:dyDescent="0.25">
      <c r="B42" s="84" t="s">
        <v>318</v>
      </c>
      <c r="C42" s="77">
        <v>1</v>
      </c>
      <c r="D42" s="77">
        <v>0</v>
      </c>
      <c r="E42" s="7" t="s">
        <v>206</v>
      </c>
      <c r="F42" s="7"/>
      <c r="G42" s="7"/>
      <c r="H42" s="7"/>
      <c r="I42" s="8" t="s">
        <v>103</v>
      </c>
      <c r="J42" s="8"/>
      <c r="K42" s="8"/>
      <c r="L42" s="8"/>
      <c r="M42" s="20" t="s">
        <v>103</v>
      </c>
      <c r="N42" s="20" t="s">
        <v>206</v>
      </c>
      <c r="O42" s="20" t="s">
        <v>109</v>
      </c>
      <c r="P42" s="20"/>
      <c r="Q42" s="9" t="s">
        <v>126</v>
      </c>
      <c r="R42" s="9" t="s">
        <v>306</v>
      </c>
      <c r="S42" s="9" t="s">
        <v>120</v>
      </c>
      <c r="T42" s="9" t="s">
        <v>220</v>
      </c>
      <c r="U42" s="9"/>
      <c r="V42" s="13" t="s">
        <v>221</v>
      </c>
    </row>
    <row r="43" spans="2:22" x14ac:dyDescent="0.25">
      <c r="B43" s="83"/>
      <c r="C43" s="78"/>
      <c r="D43" s="78"/>
      <c r="E43" s="7"/>
      <c r="F43" s="7"/>
      <c r="G43" s="7"/>
      <c r="H43" s="7"/>
      <c r="I43" s="8"/>
      <c r="J43" s="8"/>
      <c r="K43" s="8"/>
      <c r="L43" s="8"/>
      <c r="M43" s="20"/>
      <c r="N43" s="20"/>
      <c r="O43" s="20"/>
      <c r="P43" s="20"/>
      <c r="Q43" s="9"/>
      <c r="R43" s="9"/>
      <c r="S43" s="9"/>
      <c r="T43" s="9"/>
      <c r="U43" s="9"/>
      <c r="V43" s="13"/>
    </row>
    <row r="44" spans="2:22" x14ac:dyDescent="0.25">
      <c r="B44" s="84" t="s">
        <v>319</v>
      </c>
      <c r="C44" s="77">
        <v>1</v>
      </c>
      <c r="D44" s="77">
        <v>2</v>
      </c>
      <c r="E44" s="7" t="s">
        <v>115</v>
      </c>
      <c r="F44" s="7"/>
      <c r="G44" s="7"/>
      <c r="H44" s="7"/>
      <c r="I44" s="8" t="s">
        <v>124</v>
      </c>
      <c r="J44" s="8"/>
      <c r="K44" s="8"/>
      <c r="L44" s="8"/>
      <c r="M44" s="20"/>
      <c r="N44" s="20"/>
      <c r="O44" s="20"/>
      <c r="P44" s="20"/>
      <c r="Q44" s="9"/>
      <c r="R44" s="9"/>
      <c r="S44" s="9"/>
      <c r="T44" s="9"/>
      <c r="U44" s="9"/>
      <c r="V44" s="13"/>
    </row>
    <row r="45" spans="2:22" x14ac:dyDescent="0.25">
      <c r="B45" s="83"/>
      <c r="C45" s="78"/>
      <c r="D45" s="78"/>
      <c r="E45" s="7" t="s">
        <v>218</v>
      </c>
      <c r="F45" s="7" t="s">
        <v>183</v>
      </c>
      <c r="G45" s="7"/>
      <c r="H45" s="7"/>
      <c r="I45" s="8" t="s">
        <v>183</v>
      </c>
      <c r="J45" s="8" t="s">
        <v>218</v>
      </c>
      <c r="K45" s="8"/>
      <c r="L45" s="8"/>
      <c r="M45" s="20"/>
      <c r="N45" s="20"/>
      <c r="O45" s="20"/>
      <c r="P45" s="20"/>
      <c r="Q45" s="9"/>
      <c r="R45" s="9"/>
      <c r="S45" s="9"/>
      <c r="T45" s="9"/>
      <c r="U45" s="9"/>
      <c r="V45" s="13"/>
    </row>
    <row r="46" spans="2:22" x14ac:dyDescent="0.25">
      <c r="B46" s="84" t="s">
        <v>317</v>
      </c>
      <c r="C46" s="77">
        <v>0</v>
      </c>
      <c r="D46" s="77">
        <v>2</v>
      </c>
      <c r="E46" s="7"/>
      <c r="F46" s="7"/>
      <c r="G46" s="7"/>
      <c r="H46" s="7"/>
      <c r="I46" s="8"/>
      <c r="J46" s="8"/>
      <c r="K46" s="8"/>
      <c r="L46" s="8"/>
      <c r="M46" s="20"/>
      <c r="N46" s="20"/>
      <c r="O46" s="20"/>
      <c r="P46" s="20"/>
      <c r="Q46" s="9"/>
      <c r="R46" s="9"/>
      <c r="S46" s="9"/>
      <c r="T46" s="9"/>
      <c r="U46" s="9"/>
      <c r="V46" s="13"/>
    </row>
    <row r="47" spans="2:22" x14ac:dyDescent="0.25">
      <c r="B47" s="83"/>
      <c r="C47" s="78"/>
      <c r="D47" s="78"/>
      <c r="E47" s="7" t="s">
        <v>113</v>
      </c>
      <c r="F47" s="7" t="s">
        <v>92</v>
      </c>
      <c r="G47" s="7"/>
      <c r="H47" s="7"/>
      <c r="I47" s="8"/>
      <c r="J47" s="8" t="s">
        <v>113</v>
      </c>
      <c r="K47" s="8"/>
      <c r="L47" s="8"/>
      <c r="M47" s="20" t="s">
        <v>206</v>
      </c>
      <c r="N47" s="20" t="s">
        <v>109</v>
      </c>
      <c r="O47" s="20" t="s">
        <v>113</v>
      </c>
      <c r="P47" s="20"/>
      <c r="Q47" s="9" t="s">
        <v>220</v>
      </c>
      <c r="R47" s="9" t="s">
        <v>126</v>
      </c>
      <c r="S47" s="9" t="s">
        <v>120</v>
      </c>
      <c r="T47" s="9" t="s">
        <v>306</v>
      </c>
      <c r="U47" s="9"/>
      <c r="V47" s="13" t="s">
        <v>179</v>
      </c>
    </row>
    <row r="48" spans="2:22" x14ac:dyDescent="0.25">
      <c r="B48" s="84" t="s">
        <v>318</v>
      </c>
      <c r="C48" s="77">
        <v>0</v>
      </c>
      <c r="D48" s="77">
        <v>1</v>
      </c>
      <c r="E48" s="7"/>
      <c r="F48" s="7"/>
      <c r="G48" s="7"/>
      <c r="H48" s="7"/>
      <c r="I48" s="8"/>
      <c r="J48" s="8"/>
      <c r="K48" s="8"/>
      <c r="L48" s="8"/>
      <c r="M48" s="20"/>
      <c r="N48" s="20"/>
      <c r="O48" s="20"/>
      <c r="P48" s="20"/>
      <c r="Q48" s="9"/>
      <c r="R48" s="9"/>
      <c r="S48" s="9"/>
      <c r="T48" s="9"/>
      <c r="U48" s="9"/>
      <c r="V48" s="13"/>
    </row>
    <row r="49" spans="2:22" x14ac:dyDescent="0.25">
      <c r="B49" s="83"/>
      <c r="C49" s="78"/>
      <c r="D49" s="78"/>
      <c r="E49" s="7" t="s">
        <v>183</v>
      </c>
      <c r="F49" s="7"/>
      <c r="G49" s="7"/>
      <c r="H49" s="7"/>
      <c r="I49" s="8" t="s">
        <v>219</v>
      </c>
      <c r="J49" s="8"/>
      <c r="K49" s="8"/>
      <c r="L49" s="8"/>
      <c r="M49" s="20" t="s">
        <v>218</v>
      </c>
      <c r="N49" s="20" t="s">
        <v>243</v>
      </c>
      <c r="O49" s="20" t="s">
        <v>99</v>
      </c>
      <c r="P49" s="20"/>
      <c r="Q49" s="9" t="s">
        <v>219</v>
      </c>
      <c r="R49" s="9" t="s">
        <v>96</v>
      </c>
      <c r="S49" s="9" t="s">
        <v>101</v>
      </c>
      <c r="T49" s="9" t="s">
        <v>110</v>
      </c>
      <c r="U49" s="9"/>
      <c r="V49" s="13" t="s">
        <v>106</v>
      </c>
    </row>
    <row r="50" spans="2:22" x14ac:dyDescent="0.25">
      <c r="B50" s="84" t="s">
        <v>319</v>
      </c>
      <c r="C50" s="77">
        <v>3</v>
      </c>
      <c r="D50" s="77">
        <v>0</v>
      </c>
      <c r="E50" s="7" t="s">
        <v>95</v>
      </c>
      <c r="F50" s="7" t="s">
        <v>95</v>
      </c>
      <c r="G50" s="7" t="s">
        <v>92</v>
      </c>
      <c r="H50" s="7"/>
      <c r="I50" s="8" t="s">
        <v>92</v>
      </c>
      <c r="J50" s="8"/>
      <c r="K50" s="8" t="s">
        <v>218</v>
      </c>
      <c r="L50" s="8"/>
      <c r="M50" s="20" t="s">
        <v>219</v>
      </c>
      <c r="N50" s="20" t="s">
        <v>218</v>
      </c>
      <c r="O50" s="20" t="s">
        <v>243</v>
      </c>
      <c r="P50" s="20"/>
      <c r="Q50" s="9" t="s">
        <v>101</v>
      </c>
      <c r="R50" s="9" t="s">
        <v>96</v>
      </c>
      <c r="S50" s="9" t="s">
        <v>106</v>
      </c>
      <c r="T50" s="9" t="s">
        <v>200</v>
      </c>
      <c r="U50" s="9"/>
      <c r="V50" s="13"/>
    </row>
    <row r="51" spans="2:22" x14ac:dyDescent="0.25">
      <c r="B51" s="83"/>
      <c r="C51" s="78"/>
      <c r="D51" s="78"/>
      <c r="E51" s="7"/>
      <c r="F51" s="7"/>
      <c r="G51" s="7"/>
      <c r="H51" s="7"/>
      <c r="I51" s="8"/>
      <c r="J51" s="8"/>
      <c r="K51" s="8"/>
      <c r="L51" s="8"/>
      <c r="M51" s="20"/>
      <c r="N51" s="20"/>
      <c r="O51" s="20"/>
      <c r="P51" s="20"/>
      <c r="Q51" s="9"/>
      <c r="R51" s="9"/>
      <c r="S51" s="9"/>
      <c r="T51" s="9"/>
      <c r="U51" s="9"/>
      <c r="V51" s="13"/>
    </row>
    <row r="52" spans="2:22" x14ac:dyDescent="0.25">
      <c r="B52" s="84"/>
      <c r="C52" s="77">
        <v>1</v>
      </c>
      <c r="D52" s="77">
        <v>1</v>
      </c>
      <c r="E52" s="7" t="s">
        <v>206</v>
      </c>
      <c r="F52" s="7"/>
      <c r="G52" s="7"/>
      <c r="H52" s="7"/>
      <c r="I52" s="8" t="s">
        <v>103</v>
      </c>
      <c r="J52" s="8"/>
      <c r="K52" s="8"/>
      <c r="L52" s="8"/>
      <c r="M52" s="20"/>
      <c r="N52" s="20"/>
      <c r="O52" s="20"/>
      <c r="P52" s="20"/>
      <c r="Q52" s="9"/>
      <c r="R52" s="9"/>
      <c r="S52" s="9"/>
      <c r="T52" s="9"/>
      <c r="U52" s="9"/>
      <c r="V52" s="13"/>
    </row>
    <row r="53" spans="2:22" x14ac:dyDescent="0.25">
      <c r="B53" s="83"/>
      <c r="C53" s="78"/>
      <c r="D53" s="78"/>
      <c r="E53" s="7" t="s">
        <v>249</v>
      </c>
      <c r="F53" s="7"/>
      <c r="G53" s="7"/>
      <c r="H53" s="7"/>
      <c r="I53" s="8"/>
      <c r="J53" s="8"/>
      <c r="K53" s="8"/>
      <c r="L53" s="8"/>
      <c r="M53" s="20"/>
      <c r="N53" s="20"/>
      <c r="O53" s="20"/>
      <c r="P53" s="20"/>
      <c r="Q53" s="9"/>
      <c r="R53" s="9"/>
      <c r="S53" s="9"/>
      <c r="T53" s="9"/>
      <c r="U53" s="9"/>
      <c r="V53" s="13"/>
    </row>
    <row r="54" spans="2:22" x14ac:dyDescent="0.25">
      <c r="B54" s="2" t="s">
        <v>91</v>
      </c>
      <c r="C54" s="2">
        <f>SUM(C40:C51)</f>
        <v>6</v>
      </c>
      <c r="D54" s="2">
        <f>SUM(D40:D51)</f>
        <v>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7" spans="2:22" x14ac:dyDescent="0.25">
      <c r="B57" s="11">
        <v>45750</v>
      </c>
      <c r="C57" s="10" t="s">
        <v>323</v>
      </c>
      <c r="D57" s="10" t="s">
        <v>324</v>
      </c>
      <c r="E57" s="80" t="s">
        <v>84</v>
      </c>
      <c r="F57" s="80"/>
      <c r="G57" s="80"/>
      <c r="H57" s="80"/>
      <c r="I57" s="81" t="s">
        <v>87</v>
      </c>
      <c r="J57" s="81"/>
      <c r="K57" s="81"/>
      <c r="L57" s="81"/>
      <c r="M57" s="82" t="s">
        <v>86</v>
      </c>
      <c r="N57" s="82"/>
      <c r="O57" s="82"/>
      <c r="P57" s="82"/>
      <c r="Q57" s="79" t="s">
        <v>80</v>
      </c>
      <c r="R57" s="79"/>
      <c r="S57" s="79"/>
      <c r="T57" s="79"/>
      <c r="U57" s="79"/>
      <c r="V57" s="79"/>
    </row>
    <row r="58" spans="2:22" x14ac:dyDescent="0.25">
      <c r="B58" s="84" t="s">
        <v>322</v>
      </c>
      <c r="C58" s="77">
        <v>1</v>
      </c>
      <c r="D58" s="77">
        <v>1</v>
      </c>
      <c r="E58" s="7" t="s">
        <v>135</v>
      </c>
      <c r="F58" s="7"/>
      <c r="G58" s="7"/>
      <c r="H58" s="7"/>
      <c r="I58" s="8" t="s">
        <v>120</v>
      </c>
      <c r="J58" s="8"/>
      <c r="K58" s="8"/>
      <c r="L58" s="8"/>
      <c r="M58" s="20"/>
      <c r="N58" s="20"/>
      <c r="O58" s="20"/>
      <c r="P58" s="20"/>
      <c r="Q58" s="9"/>
      <c r="R58" s="9"/>
      <c r="S58" s="9"/>
      <c r="T58" s="9"/>
      <c r="U58" s="9"/>
      <c r="V58" s="13"/>
    </row>
    <row r="59" spans="2:22" x14ac:dyDescent="0.25">
      <c r="B59" s="83"/>
      <c r="C59" s="78"/>
      <c r="D59" s="78"/>
      <c r="E59" s="7" t="s">
        <v>97</v>
      </c>
      <c r="F59" s="7"/>
      <c r="G59" s="7"/>
      <c r="H59" s="7"/>
      <c r="I59" s="8"/>
      <c r="J59" s="8"/>
      <c r="K59" s="8"/>
      <c r="L59" s="8"/>
      <c r="M59" s="20"/>
      <c r="N59" s="20"/>
      <c r="O59" s="20"/>
      <c r="P59" s="20"/>
      <c r="Q59" s="9"/>
      <c r="R59" s="9"/>
      <c r="S59" s="9"/>
      <c r="T59" s="9"/>
      <c r="U59" s="9"/>
      <c r="V59" s="13"/>
    </row>
    <row r="60" spans="2:22" x14ac:dyDescent="0.25">
      <c r="B60" s="84" t="s">
        <v>73</v>
      </c>
      <c r="C60" s="77">
        <v>2</v>
      </c>
      <c r="D60" s="77">
        <v>1</v>
      </c>
      <c r="E60" s="7" t="s">
        <v>244</v>
      </c>
      <c r="F60" s="7"/>
      <c r="G60" s="7"/>
      <c r="H60" s="7"/>
      <c r="I60" s="8" t="s">
        <v>179</v>
      </c>
      <c r="J60" s="8"/>
      <c r="K60" s="8"/>
      <c r="L60" s="8"/>
      <c r="M60" s="20"/>
      <c r="N60" s="20"/>
      <c r="O60" s="20"/>
      <c r="P60" s="20"/>
      <c r="Q60" s="9"/>
      <c r="R60" s="9"/>
      <c r="S60" s="9"/>
      <c r="T60" s="9"/>
      <c r="U60" s="9"/>
      <c r="V60" s="13"/>
    </row>
    <row r="61" spans="2:22" x14ac:dyDescent="0.25">
      <c r="B61" s="83"/>
      <c r="C61" s="78"/>
      <c r="D61" s="78"/>
      <c r="E61" s="7" t="s">
        <v>139</v>
      </c>
      <c r="F61" s="7"/>
      <c r="G61" s="7"/>
      <c r="H61" s="7"/>
      <c r="I61" s="8" t="s">
        <v>218</v>
      </c>
      <c r="J61" s="8"/>
      <c r="K61" s="8"/>
      <c r="L61" s="8"/>
      <c r="M61" s="20"/>
      <c r="N61" s="20"/>
      <c r="O61" s="20"/>
      <c r="P61" s="20"/>
      <c r="Q61" s="9"/>
      <c r="R61" s="9"/>
      <c r="S61" s="9"/>
      <c r="T61" s="9"/>
      <c r="U61" s="9"/>
      <c r="V61" s="13"/>
    </row>
    <row r="62" spans="2:22" x14ac:dyDescent="0.25">
      <c r="B62" s="84" t="s">
        <v>75</v>
      </c>
      <c r="C62" s="77">
        <v>0</v>
      </c>
      <c r="D62" s="77">
        <v>2</v>
      </c>
      <c r="E62" s="7"/>
      <c r="F62" s="7"/>
      <c r="G62" s="7"/>
      <c r="H62" s="7"/>
      <c r="I62" s="8"/>
      <c r="J62" s="8"/>
      <c r="K62" s="8"/>
      <c r="L62" s="8"/>
      <c r="M62" s="20"/>
      <c r="N62" s="20"/>
      <c r="O62" s="20"/>
      <c r="P62" s="20"/>
      <c r="Q62" s="9"/>
      <c r="R62" s="9"/>
      <c r="S62" s="9"/>
      <c r="T62" s="9"/>
      <c r="U62" s="9"/>
      <c r="V62" s="13"/>
    </row>
    <row r="63" spans="2:22" x14ac:dyDescent="0.25">
      <c r="B63" s="83"/>
      <c r="C63" s="78"/>
      <c r="D63" s="78"/>
      <c r="E63" s="7" t="s">
        <v>243</v>
      </c>
      <c r="F63" s="7" t="s">
        <v>93</v>
      </c>
      <c r="G63" s="7"/>
      <c r="H63" s="7"/>
      <c r="I63" s="8"/>
      <c r="J63" s="8" t="s">
        <v>111</v>
      </c>
      <c r="K63" s="8"/>
      <c r="L63" s="8"/>
      <c r="M63" s="20" t="s">
        <v>243</v>
      </c>
      <c r="N63" s="20" t="s">
        <v>208</v>
      </c>
      <c r="O63" s="20" t="s">
        <v>97</v>
      </c>
      <c r="P63" s="20"/>
      <c r="Q63" s="9" t="s">
        <v>96</v>
      </c>
      <c r="R63" s="9" t="s">
        <v>216</v>
      </c>
      <c r="S63" s="9" t="s">
        <v>325</v>
      </c>
      <c r="T63" s="9" t="s">
        <v>137</v>
      </c>
      <c r="U63" s="9"/>
      <c r="V63" s="13" t="s">
        <v>310</v>
      </c>
    </row>
    <row r="64" spans="2:22" x14ac:dyDescent="0.25">
      <c r="B64" s="84" t="s">
        <v>43</v>
      </c>
      <c r="C64" s="77">
        <v>1</v>
      </c>
      <c r="D64" s="77">
        <v>0</v>
      </c>
      <c r="E64" s="7" t="s">
        <v>143</v>
      </c>
      <c r="F64" s="7"/>
      <c r="G64" s="7"/>
      <c r="H64" s="7"/>
      <c r="I64" s="8"/>
      <c r="J64" s="8"/>
      <c r="K64" s="8"/>
      <c r="L64" s="8"/>
      <c r="M64" s="20" t="s">
        <v>244</v>
      </c>
      <c r="N64" s="20" t="s">
        <v>143</v>
      </c>
      <c r="O64" s="20"/>
      <c r="P64" s="20"/>
      <c r="Q64" s="9" t="s">
        <v>325</v>
      </c>
      <c r="R64" s="9" t="s">
        <v>110</v>
      </c>
      <c r="S64" s="9" t="s">
        <v>120</v>
      </c>
      <c r="T64" s="9" t="s">
        <v>95</v>
      </c>
      <c r="U64" s="9"/>
      <c r="V64" s="13"/>
    </row>
    <row r="65" spans="2:22" x14ac:dyDescent="0.25">
      <c r="B65" s="83"/>
      <c r="C65" s="78"/>
      <c r="D65" s="78"/>
      <c r="E65" s="7"/>
      <c r="F65" s="7"/>
      <c r="G65" s="7"/>
      <c r="H65" s="7"/>
      <c r="I65" s="8"/>
      <c r="J65" s="8"/>
      <c r="K65" s="8"/>
      <c r="L65" s="8"/>
      <c r="M65" s="20"/>
      <c r="N65" s="20"/>
      <c r="O65" s="20"/>
      <c r="P65" s="20"/>
      <c r="Q65" s="9"/>
      <c r="R65" s="9"/>
      <c r="S65" s="9"/>
      <c r="T65" s="9"/>
      <c r="U65" s="9"/>
      <c r="V65" s="13"/>
    </row>
    <row r="66" spans="2:22" x14ac:dyDescent="0.25">
      <c r="B66" s="84" t="s">
        <v>42</v>
      </c>
      <c r="C66" s="77">
        <v>1</v>
      </c>
      <c r="D66" s="77">
        <v>2</v>
      </c>
      <c r="E66" s="7" t="s">
        <v>326</v>
      </c>
      <c r="F66" s="7"/>
      <c r="G66" s="7"/>
      <c r="H66" s="7"/>
      <c r="I66" s="8" t="s">
        <v>244</v>
      </c>
      <c r="J66" s="8"/>
      <c r="K66" s="8"/>
      <c r="L66" s="8"/>
      <c r="M66" s="20"/>
      <c r="N66" s="20"/>
      <c r="O66" s="20"/>
      <c r="P66" s="20"/>
      <c r="Q66" s="9"/>
      <c r="R66" s="9"/>
      <c r="S66" s="9"/>
      <c r="T66" s="9"/>
      <c r="U66" s="9"/>
      <c r="V66" s="13"/>
    </row>
    <row r="67" spans="2:22" x14ac:dyDescent="0.25">
      <c r="B67" s="83"/>
      <c r="C67" s="78"/>
      <c r="D67" s="78"/>
      <c r="E67" s="7" t="s">
        <v>93</v>
      </c>
      <c r="F67" s="7" t="s">
        <v>139</v>
      </c>
      <c r="G67" s="7"/>
      <c r="H67" s="7"/>
      <c r="I67" s="8" t="s">
        <v>139</v>
      </c>
      <c r="J67" s="8" t="s">
        <v>243</v>
      </c>
      <c r="K67" s="8"/>
      <c r="L67" s="8"/>
      <c r="M67" s="20"/>
      <c r="N67" s="20"/>
      <c r="O67" s="20"/>
      <c r="P67" s="20"/>
      <c r="Q67" s="9"/>
      <c r="R67" s="9"/>
      <c r="S67" s="9"/>
      <c r="T67" s="9"/>
      <c r="U67" s="9"/>
      <c r="V67" s="13"/>
    </row>
    <row r="68" spans="2:22" x14ac:dyDescent="0.25">
      <c r="B68" s="2" t="s">
        <v>91</v>
      </c>
      <c r="C68" s="2">
        <f>SUM(C58:C67)</f>
        <v>5</v>
      </c>
      <c r="D68" s="2">
        <f>SUM(D58:D67)</f>
        <v>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71" spans="2:22" x14ac:dyDescent="0.25">
      <c r="B71" s="11">
        <v>45757</v>
      </c>
      <c r="C71" s="10" t="s">
        <v>130</v>
      </c>
      <c r="D71" s="10" t="s">
        <v>131</v>
      </c>
      <c r="E71" s="80" t="s">
        <v>84</v>
      </c>
      <c r="F71" s="80"/>
      <c r="G71" s="80"/>
      <c r="H71" s="80"/>
      <c r="I71" s="81" t="s">
        <v>87</v>
      </c>
      <c r="J71" s="81"/>
      <c r="K71" s="81"/>
      <c r="L71" s="81"/>
      <c r="M71" s="82" t="s">
        <v>86</v>
      </c>
      <c r="N71" s="82"/>
      <c r="O71" s="82"/>
      <c r="P71" s="82"/>
      <c r="Q71" s="79" t="s">
        <v>80</v>
      </c>
      <c r="R71" s="79"/>
      <c r="S71" s="79"/>
      <c r="T71" s="79"/>
      <c r="U71" s="79"/>
      <c r="V71" s="79"/>
    </row>
    <row r="72" spans="2:22" x14ac:dyDescent="0.25">
      <c r="B72" s="84" t="s">
        <v>317</v>
      </c>
      <c r="C72" s="77">
        <v>0</v>
      </c>
      <c r="D72" s="77">
        <v>0</v>
      </c>
      <c r="E72" s="7"/>
      <c r="F72" s="7"/>
      <c r="G72" s="7"/>
      <c r="H72" s="7"/>
      <c r="I72" s="8"/>
      <c r="J72" s="8"/>
      <c r="K72" s="8"/>
      <c r="L72" s="8"/>
      <c r="M72" s="20"/>
      <c r="N72" s="20"/>
      <c r="O72" s="20"/>
      <c r="P72" s="20"/>
      <c r="Q72" s="9" t="s">
        <v>124</v>
      </c>
      <c r="R72" s="9" t="s">
        <v>120</v>
      </c>
      <c r="S72" s="9" t="s">
        <v>137</v>
      </c>
      <c r="T72" s="9" t="s">
        <v>119</v>
      </c>
      <c r="U72" s="9"/>
      <c r="V72" s="13" t="s">
        <v>111</v>
      </c>
    </row>
    <row r="73" spans="2:22" x14ac:dyDescent="0.25">
      <c r="B73" s="83"/>
      <c r="C73" s="78"/>
      <c r="D73" s="78"/>
      <c r="E73" s="7"/>
      <c r="F73" s="7"/>
      <c r="G73" s="7"/>
      <c r="H73" s="7"/>
      <c r="I73" s="8"/>
      <c r="J73" s="8"/>
      <c r="K73" s="8"/>
      <c r="L73" s="8"/>
      <c r="M73" s="20"/>
      <c r="N73" s="20"/>
      <c r="O73" s="20"/>
      <c r="P73" s="20"/>
      <c r="Q73" s="9" t="s">
        <v>106</v>
      </c>
      <c r="R73" s="9" t="s">
        <v>200</v>
      </c>
      <c r="S73" s="9" t="s">
        <v>183</v>
      </c>
      <c r="T73" s="9" t="s">
        <v>117</v>
      </c>
      <c r="U73" s="9"/>
      <c r="V73" s="13" t="s">
        <v>105</v>
      </c>
    </row>
    <row r="74" spans="2:22" x14ac:dyDescent="0.25">
      <c r="B74" s="84" t="s">
        <v>318</v>
      </c>
      <c r="C74" s="77">
        <v>1</v>
      </c>
      <c r="D74" s="77">
        <v>0</v>
      </c>
      <c r="E74" s="7" t="s">
        <v>92</v>
      </c>
      <c r="F74" s="7"/>
      <c r="G74" s="7"/>
      <c r="H74" s="7"/>
      <c r="I74" s="8" t="s">
        <v>327</v>
      </c>
      <c r="J74" s="8"/>
      <c r="K74" s="8"/>
      <c r="L74" s="8"/>
      <c r="M74" s="20" t="s">
        <v>128</v>
      </c>
      <c r="N74" s="20" t="s">
        <v>321</v>
      </c>
      <c r="O74" s="20" t="s">
        <v>105</v>
      </c>
      <c r="P74" s="20"/>
      <c r="Q74" s="9" t="s">
        <v>183</v>
      </c>
      <c r="R74" s="9" t="s">
        <v>106</v>
      </c>
      <c r="S74" s="9" t="s">
        <v>200</v>
      </c>
      <c r="T74" s="9" t="s">
        <v>117</v>
      </c>
      <c r="U74" s="9"/>
      <c r="V74" s="13" t="s">
        <v>99</v>
      </c>
    </row>
    <row r="75" spans="2:22" x14ac:dyDescent="0.25">
      <c r="B75" s="83"/>
      <c r="C75" s="78"/>
      <c r="D75" s="78"/>
      <c r="E75" s="7"/>
      <c r="F75" s="7"/>
      <c r="G75" s="7"/>
      <c r="H75" s="7"/>
      <c r="I75" s="8"/>
      <c r="J75" s="8"/>
      <c r="K75" s="8"/>
      <c r="L75" s="8"/>
      <c r="M75" s="20"/>
      <c r="N75" s="20"/>
      <c r="O75" s="20"/>
      <c r="P75" s="20"/>
      <c r="Q75" s="9"/>
      <c r="R75" s="9"/>
      <c r="S75" s="9"/>
      <c r="T75" s="9"/>
      <c r="U75" s="9"/>
      <c r="V75" s="13"/>
    </row>
    <row r="76" spans="2:22" x14ac:dyDescent="0.25">
      <c r="B76" s="84" t="s">
        <v>319</v>
      </c>
      <c r="C76" s="77">
        <v>0</v>
      </c>
      <c r="D76" s="77">
        <v>0</v>
      </c>
      <c r="E76" s="7"/>
      <c r="F76" s="7"/>
      <c r="G76" s="7"/>
      <c r="H76" s="7"/>
      <c r="I76" s="8"/>
      <c r="J76" s="8"/>
      <c r="K76" s="8"/>
      <c r="L76" s="8"/>
      <c r="M76" s="20"/>
      <c r="N76" s="20"/>
      <c r="O76" s="20"/>
      <c r="P76" s="20"/>
      <c r="Q76" s="9" t="s">
        <v>124</v>
      </c>
      <c r="R76" s="9" t="s">
        <v>119</v>
      </c>
      <c r="S76" s="9" t="s">
        <v>120</v>
      </c>
      <c r="T76" s="9" t="s">
        <v>115</v>
      </c>
      <c r="U76" s="9"/>
      <c r="V76" s="13"/>
    </row>
    <row r="77" spans="2:22" x14ac:dyDescent="0.25">
      <c r="B77" s="83"/>
      <c r="C77" s="78"/>
      <c r="D77" s="78"/>
      <c r="E77" s="7"/>
      <c r="F77" s="7"/>
      <c r="G77" s="7"/>
      <c r="H77" s="7"/>
      <c r="I77" s="8"/>
      <c r="J77" s="8"/>
      <c r="K77" s="8"/>
      <c r="L77" s="8"/>
      <c r="M77" s="20"/>
      <c r="N77" s="20"/>
      <c r="O77" s="20"/>
      <c r="P77" s="20"/>
      <c r="Q77" s="9" t="s">
        <v>207</v>
      </c>
      <c r="R77" s="9" t="s">
        <v>310</v>
      </c>
      <c r="S77" s="9" t="s">
        <v>206</v>
      </c>
      <c r="T77" s="9" t="s">
        <v>135</v>
      </c>
      <c r="U77" s="9"/>
      <c r="V77" s="13"/>
    </row>
    <row r="78" spans="2:22" x14ac:dyDescent="0.25">
      <c r="B78" s="84" t="s">
        <v>317</v>
      </c>
      <c r="C78" s="77">
        <v>1</v>
      </c>
      <c r="D78" s="77">
        <v>1</v>
      </c>
      <c r="E78" s="7" t="s">
        <v>103</v>
      </c>
      <c r="F78" s="7"/>
      <c r="G78" s="7"/>
      <c r="H78" s="7"/>
      <c r="I78" s="8" t="s">
        <v>320</v>
      </c>
      <c r="J78" s="8"/>
      <c r="K78" s="8"/>
      <c r="L78" s="8"/>
      <c r="M78" s="20"/>
      <c r="N78" s="20"/>
      <c r="O78" s="20"/>
      <c r="P78" s="20"/>
      <c r="Q78" s="9"/>
      <c r="R78" s="9"/>
      <c r="S78" s="9"/>
      <c r="T78" s="9"/>
      <c r="U78" s="9"/>
      <c r="V78" s="13"/>
    </row>
    <row r="79" spans="2:22" x14ac:dyDescent="0.25">
      <c r="B79" s="83"/>
      <c r="C79" s="78"/>
      <c r="D79" s="78"/>
      <c r="E79" s="7" t="s">
        <v>100</v>
      </c>
      <c r="F79" s="7"/>
      <c r="G79" s="7"/>
      <c r="H79" s="7"/>
      <c r="I79" s="8" t="s">
        <v>251</v>
      </c>
      <c r="J79" s="8"/>
      <c r="K79" s="8"/>
      <c r="L79" s="8"/>
      <c r="M79" s="20"/>
      <c r="N79" s="20"/>
      <c r="O79" s="20"/>
      <c r="P79" s="20"/>
      <c r="Q79" s="9"/>
      <c r="R79" s="9"/>
      <c r="S79" s="9"/>
      <c r="T79" s="9"/>
      <c r="U79" s="9"/>
      <c r="V79" s="13"/>
    </row>
    <row r="80" spans="2:22" x14ac:dyDescent="0.25">
      <c r="B80" s="84" t="s">
        <v>318</v>
      </c>
      <c r="C80" s="77">
        <v>1</v>
      </c>
      <c r="D80" s="77">
        <v>0</v>
      </c>
      <c r="E80" s="7" t="s">
        <v>243</v>
      </c>
      <c r="F80" s="7"/>
      <c r="G80" s="7"/>
      <c r="H80" s="7"/>
      <c r="I80" s="8" t="s">
        <v>183</v>
      </c>
      <c r="J80" s="8"/>
      <c r="K80" s="8"/>
      <c r="L80" s="8"/>
      <c r="M80" s="20" t="s">
        <v>128</v>
      </c>
      <c r="N80" s="20" t="s">
        <v>321</v>
      </c>
      <c r="O80" s="20" t="s">
        <v>243</v>
      </c>
      <c r="P80" s="20"/>
      <c r="Q80" s="9" t="s">
        <v>183</v>
      </c>
      <c r="R80" s="9" t="s">
        <v>99</v>
      </c>
      <c r="S80" s="9" t="s">
        <v>200</v>
      </c>
      <c r="T80" s="9" t="s">
        <v>117</v>
      </c>
      <c r="U80" s="9"/>
      <c r="V80" s="13" t="s">
        <v>112</v>
      </c>
    </row>
    <row r="81" spans="2:22" x14ac:dyDescent="0.25">
      <c r="B81" s="83"/>
      <c r="C81" s="78"/>
      <c r="D81" s="78"/>
      <c r="E81" s="7"/>
      <c r="F81" s="7"/>
      <c r="G81" s="7"/>
      <c r="H81" s="7"/>
      <c r="I81" s="8"/>
      <c r="J81" s="8"/>
      <c r="K81" s="8"/>
      <c r="L81" s="8"/>
      <c r="M81" s="20"/>
      <c r="N81" s="20"/>
      <c r="O81" s="20"/>
      <c r="P81" s="20"/>
      <c r="Q81" s="9"/>
      <c r="R81" s="9"/>
      <c r="S81" s="9"/>
      <c r="T81" s="9"/>
      <c r="U81" s="9"/>
      <c r="V81" s="13"/>
    </row>
    <row r="82" spans="2:22" x14ac:dyDescent="0.25">
      <c r="B82" s="2" t="s">
        <v>91</v>
      </c>
      <c r="C82" s="2">
        <f>SUM(C72:C81)</f>
        <v>3</v>
      </c>
      <c r="D82" s="2">
        <f>SUM(D72:D81)</f>
        <v>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5" spans="2:22" x14ac:dyDescent="0.25">
      <c r="B85" s="11">
        <v>45764</v>
      </c>
      <c r="C85" s="10" t="s">
        <v>328</v>
      </c>
      <c r="D85" s="10" t="s">
        <v>329</v>
      </c>
      <c r="E85" s="80" t="s">
        <v>84</v>
      </c>
      <c r="F85" s="80"/>
      <c r="G85" s="80"/>
      <c r="H85" s="80"/>
      <c r="I85" s="81" t="s">
        <v>87</v>
      </c>
      <c r="J85" s="81"/>
      <c r="K85" s="81"/>
      <c r="L85" s="81"/>
      <c r="M85" s="82" t="s">
        <v>86</v>
      </c>
      <c r="N85" s="82"/>
      <c r="O85" s="82"/>
      <c r="P85" s="82"/>
      <c r="Q85" s="79" t="s">
        <v>80</v>
      </c>
      <c r="R85" s="79"/>
      <c r="S85" s="79"/>
      <c r="T85" s="79"/>
      <c r="U85" s="79"/>
      <c r="V85" s="79"/>
    </row>
    <row r="86" spans="2:22" x14ac:dyDescent="0.25">
      <c r="B86" s="84" t="s">
        <v>322</v>
      </c>
      <c r="C86" s="77">
        <v>1</v>
      </c>
      <c r="D86" s="77">
        <v>0</v>
      </c>
      <c r="E86" s="7" t="s">
        <v>243</v>
      </c>
      <c r="F86" s="7"/>
      <c r="G86" s="7"/>
      <c r="H86" s="7"/>
      <c r="I86" s="8" t="s">
        <v>102</v>
      </c>
      <c r="J86" s="8"/>
      <c r="K86" s="8"/>
      <c r="L86" s="8"/>
      <c r="M86" s="20" t="s">
        <v>327</v>
      </c>
      <c r="N86" s="20" t="s">
        <v>314</v>
      </c>
      <c r="O86" s="20" t="s">
        <v>243</v>
      </c>
      <c r="P86" s="20"/>
      <c r="Q86" s="9" t="s">
        <v>94</v>
      </c>
      <c r="R86" s="9" t="s">
        <v>101</v>
      </c>
      <c r="S86" s="9" t="s">
        <v>207</v>
      </c>
      <c r="T86" s="9" t="s">
        <v>325</v>
      </c>
      <c r="U86" s="9"/>
      <c r="V86" s="13" t="s">
        <v>240</v>
      </c>
    </row>
    <row r="87" spans="2:22" x14ac:dyDescent="0.25">
      <c r="B87" s="83"/>
      <c r="C87" s="78"/>
      <c r="D87" s="78"/>
      <c r="E87" s="7"/>
      <c r="F87" s="7"/>
      <c r="G87" s="7"/>
      <c r="H87" s="7"/>
      <c r="I87" s="8"/>
      <c r="J87" s="8"/>
      <c r="K87" s="8"/>
      <c r="L87" s="8"/>
      <c r="M87" s="20"/>
      <c r="N87" s="20"/>
      <c r="O87" s="20"/>
      <c r="P87" s="20"/>
      <c r="Q87" s="9"/>
      <c r="R87" s="9"/>
      <c r="S87" s="9"/>
      <c r="T87" s="9"/>
      <c r="U87" s="9"/>
      <c r="V87" s="13"/>
    </row>
    <row r="88" spans="2:22" x14ac:dyDescent="0.25">
      <c r="B88" s="84" t="s">
        <v>73</v>
      </c>
      <c r="C88" s="77">
        <v>0</v>
      </c>
      <c r="D88" s="77">
        <v>0</v>
      </c>
      <c r="E88" s="7"/>
      <c r="F88" s="7"/>
      <c r="G88" s="7"/>
      <c r="H88" s="7"/>
      <c r="I88" s="8"/>
      <c r="J88" s="8"/>
      <c r="K88" s="8"/>
      <c r="L88" s="8"/>
      <c r="M88" s="20"/>
      <c r="N88" s="20"/>
      <c r="O88" s="20"/>
      <c r="P88" s="20"/>
      <c r="Q88" s="9" t="s">
        <v>107</v>
      </c>
      <c r="R88" s="9" t="s">
        <v>94</v>
      </c>
      <c r="S88" s="9" t="s">
        <v>101</v>
      </c>
      <c r="T88" s="9" t="s">
        <v>240</v>
      </c>
      <c r="U88" s="9"/>
      <c r="V88" s="13" t="s">
        <v>325</v>
      </c>
    </row>
    <row r="89" spans="2:22" x14ac:dyDescent="0.25">
      <c r="B89" s="83"/>
      <c r="C89" s="78"/>
      <c r="D89" s="78"/>
      <c r="E89" s="7"/>
      <c r="F89" s="7"/>
      <c r="G89" s="7"/>
      <c r="H89" s="7"/>
      <c r="I89" s="8"/>
      <c r="J89" s="8"/>
      <c r="K89" s="8"/>
      <c r="L89" s="8"/>
      <c r="M89" s="20"/>
      <c r="N89" s="20"/>
      <c r="O89" s="20"/>
      <c r="P89" s="20"/>
      <c r="Q89" s="9" t="s">
        <v>200</v>
      </c>
      <c r="R89" s="9" t="s">
        <v>321</v>
      </c>
      <c r="S89" s="9" t="s">
        <v>128</v>
      </c>
      <c r="T89" s="9" t="s">
        <v>219</v>
      </c>
      <c r="U89" s="9"/>
      <c r="V89" s="13" t="s">
        <v>113</v>
      </c>
    </row>
    <row r="90" spans="2:22" x14ac:dyDescent="0.25">
      <c r="B90" s="84" t="s">
        <v>75</v>
      </c>
      <c r="C90" s="77">
        <v>0</v>
      </c>
      <c r="D90" s="77">
        <v>2</v>
      </c>
      <c r="E90" s="7"/>
      <c r="F90" s="7"/>
      <c r="G90" s="7"/>
      <c r="H90" s="7"/>
      <c r="I90" s="8"/>
      <c r="J90" s="8"/>
      <c r="K90" s="8"/>
      <c r="L90" s="8"/>
      <c r="M90" s="20"/>
      <c r="N90" s="20"/>
      <c r="O90" s="20"/>
      <c r="P90" s="20"/>
      <c r="Q90" s="9"/>
      <c r="R90" s="9"/>
      <c r="S90" s="9"/>
      <c r="T90" s="9"/>
      <c r="U90" s="9"/>
      <c r="V90" s="13"/>
    </row>
    <row r="91" spans="2:22" x14ac:dyDescent="0.25">
      <c r="B91" s="83"/>
      <c r="C91" s="78"/>
      <c r="D91" s="78"/>
      <c r="E91" s="7" t="s">
        <v>113</v>
      </c>
      <c r="F91" s="7" t="s">
        <v>109</v>
      </c>
      <c r="G91" s="7"/>
      <c r="H91" s="7"/>
      <c r="I91" s="8" t="s">
        <v>103</v>
      </c>
      <c r="J91" s="8"/>
      <c r="K91" s="8"/>
      <c r="L91" s="8"/>
      <c r="M91" s="20" t="s">
        <v>113</v>
      </c>
      <c r="N91" s="20" t="s">
        <v>109</v>
      </c>
      <c r="O91" s="20" t="s">
        <v>103</v>
      </c>
      <c r="P91" s="20"/>
      <c r="Q91" s="9" t="s">
        <v>206</v>
      </c>
      <c r="R91" s="9" t="s">
        <v>216</v>
      </c>
      <c r="S91" s="9" t="s">
        <v>200</v>
      </c>
      <c r="T91" s="9" t="s">
        <v>139</v>
      </c>
      <c r="U91" s="9"/>
      <c r="V91" s="13" t="s">
        <v>179</v>
      </c>
    </row>
    <row r="92" spans="2:22" x14ac:dyDescent="0.25">
      <c r="B92" s="84" t="s">
        <v>43</v>
      </c>
      <c r="C92" s="77">
        <v>1</v>
      </c>
      <c r="D92" s="77">
        <v>2</v>
      </c>
      <c r="E92" s="7" t="s">
        <v>327</v>
      </c>
      <c r="F92" s="7"/>
      <c r="G92" s="7"/>
      <c r="H92" s="7"/>
      <c r="I92" s="8" t="s">
        <v>95</v>
      </c>
      <c r="J92" s="8"/>
      <c r="K92" s="8"/>
      <c r="L92" s="8"/>
      <c r="M92" s="20"/>
      <c r="N92" s="20"/>
      <c r="O92" s="20"/>
      <c r="P92" s="20"/>
      <c r="Q92" s="9"/>
      <c r="R92" s="9"/>
      <c r="S92" s="9"/>
      <c r="T92" s="9"/>
      <c r="U92" s="9"/>
      <c r="V92" s="13"/>
    </row>
    <row r="93" spans="2:22" x14ac:dyDescent="0.25">
      <c r="B93" s="83"/>
      <c r="C93" s="78"/>
      <c r="D93" s="78"/>
      <c r="E93" s="7" t="s">
        <v>206</v>
      </c>
      <c r="F93" s="7" t="s">
        <v>92</v>
      </c>
      <c r="G93" s="7"/>
      <c r="H93" s="7"/>
      <c r="I93" s="8" t="s">
        <v>105</v>
      </c>
      <c r="J93" s="8"/>
      <c r="K93" s="8"/>
      <c r="L93" s="8"/>
      <c r="M93" s="20"/>
      <c r="N93" s="20"/>
      <c r="O93" s="20"/>
      <c r="P93" s="20"/>
      <c r="Q93" s="9"/>
      <c r="R93" s="9"/>
      <c r="S93" s="9"/>
      <c r="T93" s="9"/>
      <c r="U93" s="9"/>
      <c r="V93" s="13"/>
    </row>
    <row r="94" spans="2:22" x14ac:dyDescent="0.25">
      <c r="B94" s="84" t="s">
        <v>42</v>
      </c>
      <c r="C94" s="77">
        <v>0</v>
      </c>
      <c r="D94" s="77">
        <v>4</v>
      </c>
      <c r="E94" s="7"/>
      <c r="F94" s="7"/>
      <c r="G94" s="7"/>
      <c r="H94" s="7"/>
      <c r="I94" s="8"/>
      <c r="J94" s="8"/>
      <c r="K94" s="8"/>
      <c r="L94" s="8"/>
      <c r="M94" s="20"/>
      <c r="N94" s="20"/>
      <c r="O94" s="20"/>
      <c r="P94" s="20"/>
      <c r="Q94" s="9"/>
      <c r="R94" s="9"/>
      <c r="S94" s="9"/>
      <c r="T94" s="9"/>
      <c r="U94" s="9"/>
      <c r="V94" s="13"/>
    </row>
    <row r="95" spans="2:22" x14ac:dyDescent="0.25">
      <c r="B95" s="83"/>
      <c r="C95" s="78"/>
      <c r="D95" s="78"/>
      <c r="E95" s="7" t="s">
        <v>179</v>
      </c>
      <c r="F95" s="7" t="s">
        <v>219</v>
      </c>
      <c r="G95" s="7" t="s">
        <v>330</v>
      </c>
      <c r="H95" s="7" t="s">
        <v>92</v>
      </c>
      <c r="I95" s="8" t="s">
        <v>92</v>
      </c>
      <c r="J95" s="8" t="s">
        <v>92</v>
      </c>
      <c r="K95" s="8"/>
      <c r="L95" s="8"/>
      <c r="M95" s="20" t="s">
        <v>105</v>
      </c>
      <c r="N95" s="20" t="s">
        <v>109</v>
      </c>
      <c r="O95" s="20" t="s">
        <v>103</v>
      </c>
      <c r="P95" s="20" t="s">
        <v>113</v>
      </c>
      <c r="Q95" s="9" t="s">
        <v>99</v>
      </c>
      <c r="R95" s="9" t="s">
        <v>200</v>
      </c>
      <c r="S95" s="9" t="s">
        <v>206</v>
      </c>
      <c r="T95" s="9" t="s">
        <v>321</v>
      </c>
      <c r="U95" s="9" t="s">
        <v>219</v>
      </c>
      <c r="V95" s="13"/>
    </row>
    <row r="96" spans="2:22" x14ac:dyDescent="0.25">
      <c r="B96" s="2" t="s">
        <v>91</v>
      </c>
      <c r="C96" s="2">
        <f>SUM(C86:C95)</f>
        <v>2</v>
      </c>
      <c r="D96" s="2">
        <f>SUM(D86:D95)</f>
        <v>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9" spans="2:22" x14ac:dyDescent="0.25">
      <c r="B99" s="11">
        <v>45764</v>
      </c>
      <c r="C99" s="10" t="s">
        <v>328</v>
      </c>
      <c r="D99" s="10" t="s">
        <v>329</v>
      </c>
      <c r="E99" s="80" t="s">
        <v>84</v>
      </c>
      <c r="F99" s="80"/>
      <c r="G99" s="80"/>
      <c r="H99" s="80"/>
      <c r="I99" s="81" t="s">
        <v>87</v>
      </c>
      <c r="J99" s="81"/>
      <c r="K99" s="81"/>
      <c r="L99" s="81"/>
      <c r="M99" s="82" t="s">
        <v>86</v>
      </c>
      <c r="N99" s="82"/>
      <c r="O99" s="82"/>
      <c r="P99" s="82"/>
      <c r="Q99" s="79" t="s">
        <v>80</v>
      </c>
      <c r="R99" s="79"/>
      <c r="S99" s="79"/>
      <c r="T99" s="79"/>
      <c r="U99" s="79"/>
      <c r="V99" s="79"/>
    </row>
    <row r="100" spans="2:22" x14ac:dyDescent="0.25">
      <c r="B100" s="84" t="s">
        <v>322</v>
      </c>
      <c r="C100" s="77">
        <v>1</v>
      </c>
      <c r="D100" s="77">
        <v>0</v>
      </c>
      <c r="E100" s="7" t="s">
        <v>113</v>
      </c>
      <c r="F100" s="7"/>
      <c r="G100" s="7"/>
      <c r="H100" s="7"/>
      <c r="I100" s="8" t="s">
        <v>138</v>
      </c>
      <c r="J100" s="8"/>
      <c r="K100" s="8"/>
      <c r="L100" s="8"/>
      <c r="M100" s="20" t="s">
        <v>113</v>
      </c>
      <c r="N100" s="20" t="s">
        <v>109</v>
      </c>
      <c r="O100" s="20" t="s">
        <v>105</v>
      </c>
      <c r="P100" s="20"/>
      <c r="Q100" s="9" t="s">
        <v>219</v>
      </c>
      <c r="R100" s="9" t="s">
        <v>140</v>
      </c>
      <c r="S100" s="9" t="s">
        <v>321</v>
      </c>
      <c r="T100" s="9" t="s">
        <v>108</v>
      </c>
      <c r="U100" s="9"/>
      <c r="V100" s="13" t="s">
        <v>110</v>
      </c>
    </row>
    <row r="101" spans="2:22" x14ac:dyDescent="0.25">
      <c r="B101" s="83"/>
      <c r="C101" s="78"/>
      <c r="D101" s="78"/>
      <c r="E101" s="7"/>
      <c r="F101" s="7"/>
      <c r="G101" s="7"/>
      <c r="H101" s="7"/>
      <c r="I101" s="8"/>
      <c r="J101" s="8"/>
      <c r="K101" s="8"/>
      <c r="L101" s="8"/>
      <c r="M101" s="20"/>
      <c r="N101" s="20"/>
      <c r="O101" s="20"/>
      <c r="P101" s="20"/>
      <c r="Q101" s="9"/>
      <c r="R101" s="9"/>
      <c r="S101" s="9"/>
      <c r="T101" s="9"/>
      <c r="U101" s="9"/>
      <c r="V101" s="13"/>
    </row>
    <row r="102" spans="2:22" x14ac:dyDescent="0.25">
      <c r="B102" s="84" t="s">
        <v>73</v>
      </c>
      <c r="C102" s="77">
        <v>2</v>
      </c>
      <c r="D102" s="77">
        <v>0</v>
      </c>
      <c r="E102" s="7" t="s">
        <v>249</v>
      </c>
      <c r="F102" s="7" t="s">
        <v>103</v>
      </c>
      <c r="G102" s="7" t="s">
        <v>249</v>
      </c>
      <c r="H102" s="7"/>
      <c r="I102" s="8" t="s">
        <v>104</v>
      </c>
      <c r="J102" s="8" t="s">
        <v>108</v>
      </c>
      <c r="K102" s="8" t="s">
        <v>92</v>
      </c>
      <c r="L102" s="8"/>
      <c r="M102" s="20" t="s">
        <v>104</v>
      </c>
      <c r="N102" s="20" t="s">
        <v>103</v>
      </c>
      <c r="O102" s="20" t="s">
        <v>321</v>
      </c>
      <c r="P102" s="20"/>
      <c r="Q102" s="9" t="s">
        <v>126</v>
      </c>
      <c r="R102" s="9" t="s">
        <v>120</v>
      </c>
      <c r="S102" s="9" t="s">
        <v>108</v>
      </c>
      <c r="T102" s="9" t="s">
        <v>183</v>
      </c>
      <c r="U102" s="9"/>
      <c r="V102" s="13" t="s">
        <v>110</v>
      </c>
    </row>
    <row r="103" spans="2:22" x14ac:dyDescent="0.25">
      <c r="B103" s="83"/>
      <c r="C103" s="78"/>
      <c r="D103" s="78"/>
      <c r="E103" s="7"/>
      <c r="F103" s="7"/>
      <c r="G103" s="7"/>
      <c r="H103" s="7"/>
      <c r="I103" s="8"/>
      <c r="J103" s="8"/>
      <c r="K103" s="8"/>
      <c r="L103" s="8"/>
      <c r="M103" s="20"/>
      <c r="N103" s="20"/>
      <c r="O103" s="20"/>
      <c r="P103" s="20"/>
      <c r="Q103" s="9"/>
      <c r="R103" s="9"/>
      <c r="S103" s="9"/>
      <c r="T103" s="9"/>
      <c r="U103" s="9"/>
      <c r="V103" s="13"/>
    </row>
    <row r="104" spans="2:22" x14ac:dyDescent="0.25">
      <c r="B104" s="84" t="s">
        <v>75</v>
      </c>
      <c r="C104" s="77">
        <v>1</v>
      </c>
      <c r="D104" s="77">
        <v>0</v>
      </c>
      <c r="E104" s="7" t="s">
        <v>113</v>
      </c>
      <c r="F104" s="7"/>
      <c r="G104" s="7"/>
      <c r="H104" s="7"/>
      <c r="I104" s="8"/>
      <c r="J104" s="8"/>
      <c r="K104" s="8"/>
      <c r="L104" s="8"/>
      <c r="M104" s="20" t="s">
        <v>109</v>
      </c>
      <c r="N104" s="20" t="s">
        <v>105</v>
      </c>
      <c r="O104" s="20" t="s">
        <v>113</v>
      </c>
      <c r="P104" s="20"/>
      <c r="Q104" s="9" t="s">
        <v>126</v>
      </c>
      <c r="R104" s="9" t="s">
        <v>140</v>
      </c>
      <c r="S104" s="9" t="s">
        <v>219</v>
      </c>
      <c r="T104" s="9" t="s">
        <v>120</v>
      </c>
      <c r="U104" s="9"/>
      <c r="V104" s="13" t="s">
        <v>110</v>
      </c>
    </row>
    <row r="105" spans="2:22" x14ac:dyDescent="0.25">
      <c r="B105" s="83"/>
      <c r="C105" s="78"/>
      <c r="D105" s="78"/>
      <c r="E105" s="7"/>
      <c r="F105" s="7"/>
      <c r="G105" s="7"/>
      <c r="H105" s="7"/>
      <c r="I105" s="8"/>
      <c r="J105" s="8"/>
      <c r="K105" s="8"/>
      <c r="L105" s="8"/>
      <c r="M105" s="20"/>
      <c r="N105" s="20"/>
      <c r="O105" s="20"/>
      <c r="P105" s="20"/>
      <c r="Q105" s="9"/>
      <c r="R105" s="9"/>
      <c r="S105" s="9"/>
      <c r="T105" s="9"/>
      <c r="U105" s="9"/>
      <c r="V105" s="13"/>
    </row>
    <row r="106" spans="2:22" x14ac:dyDescent="0.25">
      <c r="B106" s="84" t="s">
        <v>43</v>
      </c>
      <c r="C106" s="77">
        <v>3</v>
      </c>
      <c r="D106" s="77">
        <v>0</v>
      </c>
      <c r="E106" s="7" t="s">
        <v>113</v>
      </c>
      <c r="F106" s="7" t="s">
        <v>113</v>
      </c>
      <c r="G106" s="7" t="s">
        <v>206</v>
      </c>
      <c r="H106" s="7"/>
      <c r="I106" s="8"/>
      <c r="J106" s="8" t="s">
        <v>92</v>
      </c>
      <c r="K106" s="8" t="s">
        <v>92</v>
      </c>
      <c r="L106" s="8"/>
      <c r="M106" s="20" t="s">
        <v>109</v>
      </c>
      <c r="N106" s="20" t="s">
        <v>105</v>
      </c>
      <c r="O106" s="20" t="s">
        <v>113</v>
      </c>
      <c r="P106" s="20"/>
      <c r="Q106" s="9" t="s">
        <v>140</v>
      </c>
      <c r="R106" s="9" t="s">
        <v>206</v>
      </c>
      <c r="S106" s="9" t="s">
        <v>219</v>
      </c>
      <c r="T106" s="9" t="s">
        <v>104</v>
      </c>
      <c r="U106" s="9"/>
      <c r="V106" s="13" t="s">
        <v>110</v>
      </c>
    </row>
    <row r="107" spans="2:22" x14ac:dyDescent="0.25">
      <c r="B107" s="83"/>
      <c r="C107" s="78"/>
      <c r="D107" s="78"/>
      <c r="E107" s="7"/>
      <c r="F107" s="7"/>
      <c r="G107" s="7"/>
      <c r="H107" s="7"/>
      <c r="I107" s="8"/>
      <c r="J107" s="8"/>
      <c r="K107" s="8"/>
      <c r="L107" s="8"/>
      <c r="M107" s="20"/>
      <c r="N107" s="20"/>
      <c r="O107" s="20"/>
      <c r="P107" s="20"/>
      <c r="Q107" s="9"/>
      <c r="R107" s="9"/>
      <c r="S107" s="9"/>
      <c r="T107" s="9"/>
      <c r="U107" s="9"/>
      <c r="V107" s="13"/>
    </row>
    <row r="108" spans="2:22" x14ac:dyDescent="0.25">
      <c r="B108" s="84" t="s">
        <v>42</v>
      </c>
      <c r="C108" s="77">
        <v>1</v>
      </c>
      <c r="D108" s="77">
        <v>0</v>
      </c>
      <c r="E108" s="7" t="s">
        <v>321</v>
      </c>
      <c r="F108" s="7"/>
      <c r="G108" s="7"/>
      <c r="H108" s="7"/>
      <c r="I108" s="8" t="s">
        <v>92</v>
      </c>
      <c r="J108" s="8"/>
      <c r="K108" s="8"/>
      <c r="L108" s="8"/>
      <c r="M108" s="20" t="s">
        <v>105</v>
      </c>
      <c r="N108" s="20" t="s">
        <v>103</v>
      </c>
      <c r="O108" s="20" t="s">
        <v>109</v>
      </c>
      <c r="P108" s="20"/>
      <c r="Q108" s="9" t="s">
        <v>108</v>
      </c>
      <c r="R108" s="9" t="s">
        <v>140</v>
      </c>
      <c r="S108" s="9" t="s">
        <v>126</v>
      </c>
      <c r="T108" s="9" t="s">
        <v>120</v>
      </c>
      <c r="U108" s="9"/>
      <c r="V108" s="13" t="s">
        <v>248</v>
      </c>
    </row>
    <row r="109" spans="2:22" x14ac:dyDescent="0.25">
      <c r="B109" s="83"/>
      <c r="C109" s="78"/>
      <c r="D109" s="78"/>
      <c r="E109" s="7"/>
      <c r="F109" s="7"/>
      <c r="G109" s="7"/>
      <c r="H109" s="7"/>
      <c r="I109" s="8"/>
      <c r="J109" s="8"/>
      <c r="K109" s="8"/>
      <c r="L109" s="8"/>
      <c r="M109" s="20"/>
      <c r="N109" s="20"/>
      <c r="O109" s="20"/>
      <c r="P109" s="20"/>
      <c r="Q109" s="9"/>
      <c r="R109" s="9"/>
      <c r="S109" s="9"/>
      <c r="T109" s="9"/>
      <c r="U109" s="9"/>
      <c r="V109" s="13"/>
    </row>
    <row r="110" spans="2:22" x14ac:dyDescent="0.25">
      <c r="B110" s="2" t="s">
        <v>91</v>
      </c>
      <c r="C110" s="2">
        <f>SUM(C100:C109)</f>
        <v>8</v>
      </c>
      <c r="D110" s="2">
        <f>SUM(D100:D109)</f>
        <v>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3" spans="2:22" x14ac:dyDescent="0.25">
      <c r="B113" s="11">
        <v>45806</v>
      </c>
      <c r="C113" s="10" t="s">
        <v>328</v>
      </c>
      <c r="D113" s="10" t="s">
        <v>329</v>
      </c>
      <c r="E113" s="80" t="s">
        <v>84</v>
      </c>
      <c r="F113" s="80"/>
      <c r="G113" s="80"/>
      <c r="H113" s="80"/>
      <c r="I113" s="81" t="s">
        <v>87</v>
      </c>
      <c r="J113" s="81"/>
      <c r="K113" s="81"/>
      <c r="L113" s="81"/>
      <c r="M113" s="82" t="s">
        <v>86</v>
      </c>
      <c r="N113" s="82"/>
      <c r="O113" s="82"/>
      <c r="P113" s="82"/>
      <c r="Q113" s="79" t="s">
        <v>80</v>
      </c>
      <c r="R113" s="79"/>
      <c r="S113" s="79"/>
      <c r="T113" s="79"/>
      <c r="U113" s="79"/>
      <c r="V113" s="79"/>
    </row>
    <row r="114" spans="2:22" x14ac:dyDescent="0.25">
      <c r="B114" s="84" t="s">
        <v>322</v>
      </c>
      <c r="C114" s="77">
        <v>1</v>
      </c>
      <c r="D114" s="77">
        <v>0</v>
      </c>
      <c r="E114" s="7" t="s">
        <v>111</v>
      </c>
      <c r="F114" s="7"/>
      <c r="G114" s="7"/>
      <c r="H114" s="7"/>
      <c r="I114" s="8"/>
      <c r="J114" s="8"/>
      <c r="K114" s="8"/>
      <c r="L114" s="8"/>
      <c r="M114" s="20" t="s">
        <v>105</v>
      </c>
      <c r="N114" s="20" t="s">
        <v>310</v>
      </c>
      <c r="O114" s="20" t="s">
        <v>321</v>
      </c>
      <c r="P114" s="20"/>
      <c r="Q114" s="9" t="s">
        <v>108</v>
      </c>
      <c r="R114" s="9" t="s">
        <v>140</v>
      </c>
      <c r="S114" s="9" t="s">
        <v>120</v>
      </c>
      <c r="T114" s="9" t="s">
        <v>219</v>
      </c>
      <c r="U114" s="9"/>
      <c r="V114" s="13" t="s">
        <v>216</v>
      </c>
    </row>
    <row r="115" spans="2:22" x14ac:dyDescent="0.25">
      <c r="B115" s="83"/>
      <c r="C115" s="78"/>
      <c r="D115" s="78"/>
      <c r="E115" s="7"/>
      <c r="F115" s="7"/>
      <c r="G115" s="7"/>
      <c r="H115" s="7"/>
      <c r="I115" s="8"/>
      <c r="J115" s="8"/>
      <c r="K115" s="8"/>
      <c r="L115" s="8"/>
      <c r="M115" s="20"/>
      <c r="N115" s="20"/>
      <c r="O115" s="20"/>
      <c r="P115" s="20"/>
      <c r="Q115" s="9"/>
      <c r="R115" s="9"/>
      <c r="S115" s="9"/>
      <c r="T115" s="9"/>
      <c r="U115" s="9"/>
      <c r="V115" s="13"/>
    </row>
    <row r="116" spans="2:22" x14ac:dyDescent="0.25">
      <c r="B116" s="84" t="s">
        <v>73</v>
      </c>
      <c r="C116" s="77">
        <v>1</v>
      </c>
      <c r="D116" s="77">
        <v>0</v>
      </c>
      <c r="E116" s="7"/>
      <c r="F116" s="7"/>
      <c r="G116" s="7"/>
      <c r="H116" s="7"/>
      <c r="I116" s="8"/>
      <c r="J116" s="8"/>
      <c r="K116" s="8"/>
      <c r="L116" s="8"/>
      <c r="M116" s="20" t="s">
        <v>105</v>
      </c>
      <c r="N116" s="20" t="s">
        <v>310</v>
      </c>
      <c r="O116" s="20" t="s">
        <v>321</v>
      </c>
      <c r="P116" s="20"/>
      <c r="Q116" s="9" t="s">
        <v>137</v>
      </c>
      <c r="R116" s="9" t="s">
        <v>140</v>
      </c>
      <c r="S116" s="9" t="s">
        <v>120</v>
      </c>
      <c r="T116" s="9" t="s">
        <v>219</v>
      </c>
      <c r="U116" s="9"/>
      <c r="V116" s="13" t="s">
        <v>115</v>
      </c>
    </row>
    <row r="117" spans="2:22" x14ac:dyDescent="0.25">
      <c r="B117" s="83"/>
      <c r="C117" s="78"/>
      <c r="D117" s="78"/>
      <c r="E117" s="7"/>
      <c r="F117" s="7"/>
      <c r="G117" s="7"/>
      <c r="H117" s="7"/>
      <c r="I117" s="8"/>
      <c r="J117" s="8"/>
      <c r="K117" s="8"/>
      <c r="L117" s="8"/>
      <c r="M117" s="20"/>
      <c r="N117" s="20"/>
      <c r="O117" s="20"/>
      <c r="P117" s="20"/>
      <c r="Q117" s="9"/>
      <c r="R117" s="9"/>
      <c r="S117" s="9"/>
      <c r="T117" s="9"/>
      <c r="U117" s="9"/>
      <c r="V117" s="13"/>
    </row>
    <row r="118" spans="2:22" x14ac:dyDescent="0.25">
      <c r="B118" s="84" t="s">
        <v>75</v>
      </c>
      <c r="C118" s="77">
        <v>0</v>
      </c>
      <c r="D118" s="77">
        <v>0</v>
      </c>
      <c r="E118" s="7"/>
      <c r="F118" s="7"/>
      <c r="G118" s="7"/>
      <c r="H118" s="7"/>
      <c r="I118" s="8"/>
      <c r="J118" s="8"/>
      <c r="K118" s="8"/>
      <c r="L118" s="8"/>
      <c r="M118" s="20"/>
      <c r="N118" s="20"/>
      <c r="O118" s="20"/>
      <c r="P118" s="20"/>
      <c r="Q118" s="9" t="s">
        <v>325</v>
      </c>
      <c r="R118" s="9" t="s">
        <v>124</v>
      </c>
      <c r="S118" s="9" t="s">
        <v>139</v>
      </c>
      <c r="T118" s="9"/>
      <c r="U118" s="9"/>
      <c r="V118" s="13"/>
    </row>
    <row r="119" spans="2:22" x14ac:dyDescent="0.25">
      <c r="B119" s="83"/>
      <c r="C119" s="78"/>
      <c r="D119" s="78"/>
      <c r="E119" s="7"/>
      <c r="F119" s="7"/>
      <c r="G119" s="7"/>
      <c r="H119" s="7"/>
      <c r="I119" s="8"/>
      <c r="J119" s="8"/>
      <c r="K119" s="8"/>
      <c r="L119" s="8"/>
      <c r="M119" s="20"/>
      <c r="N119" s="20"/>
      <c r="O119" s="20"/>
      <c r="P119" s="20"/>
      <c r="Q119" s="9" t="s">
        <v>106</v>
      </c>
      <c r="R119" s="9" t="s">
        <v>107</v>
      </c>
      <c r="S119" s="9" t="s">
        <v>200</v>
      </c>
      <c r="T119" s="9" t="s">
        <v>101</v>
      </c>
      <c r="U119" s="9"/>
      <c r="V119" s="13" t="s">
        <v>179</v>
      </c>
    </row>
    <row r="120" spans="2:22" x14ac:dyDescent="0.25">
      <c r="B120" s="84" t="s">
        <v>43</v>
      </c>
      <c r="C120" s="77">
        <v>0</v>
      </c>
      <c r="D120" s="77">
        <v>0</v>
      </c>
      <c r="E120" s="7"/>
      <c r="F120" s="7"/>
      <c r="G120" s="7"/>
      <c r="H120" s="7"/>
      <c r="I120" s="8"/>
      <c r="J120" s="8"/>
      <c r="K120" s="8"/>
      <c r="L120" s="8"/>
      <c r="M120" s="20"/>
      <c r="N120" s="20"/>
      <c r="O120" s="20"/>
      <c r="P120" s="20"/>
      <c r="Q120" s="9" t="s">
        <v>108</v>
      </c>
      <c r="R120" s="9" t="s">
        <v>137</v>
      </c>
      <c r="S120" s="9" t="s">
        <v>310</v>
      </c>
      <c r="T120" s="9" t="s">
        <v>140</v>
      </c>
      <c r="U120" s="9"/>
      <c r="V120" s="13"/>
    </row>
    <row r="121" spans="2:22" x14ac:dyDescent="0.25">
      <c r="B121" s="83"/>
      <c r="C121" s="78"/>
      <c r="D121" s="78"/>
      <c r="E121" s="7"/>
      <c r="F121" s="7"/>
      <c r="G121" s="7"/>
      <c r="H121" s="7"/>
      <c r="I121" s="8"/>
      <c r="J121" s="8"/>
      <c r="K121" s="8"/>
      <c r="L121" s="8"/>
      <c r="M121" s="20"/>
      <c r="N121" s="20"/>
      <c r="O121" s="20"/>
      <c r="P121" s="20"/>
      <c r="Q121" s="9" t="s">
        <v>124</v>
      </c>
      <c r="R121" s="9" t="s">
        <v>325</v>
      </c>
      <c r="S121" s="9" t="s">
        <v>251</v>
      </c>
      <c r="T121" s="9" t="s">
        <v>186</v>
      </c>
      <c r="U121" s="9"/>
      <c r="V121" s="13" t="s">
        <v>206</v>
      </c>
    </row>
    <row r="122" spans="2:22" x14ac:dyDescent="0.25">
      <c r="B122" s="84" t="s">
        <v>42</v>
      </c>
      <c r="C122" s="77">
        <v>2</v>
      </c>
      <c r="D122" s="77">
        <v>0</v>
      </c>
      <c r="E122" s="7" t="s">
        <v>179</v>
      </c>
      <c r="F122" s="7" t="s">
        <v>120</v>
      </c>
      <c r="G122" s="7"/>
      <c r="H122" s="7"/>
      <c r="I122" s="8"/>
      <c r="J122" s="8" t="s">
        <v>105</v>
      </c>
      <c r="K122" s="8"/>
      <c r="L122" s="8"/>
      <c r="M122" s="20" t="s">
        <v>105</v>
      </c>
      <c r="N122" s="20" t="s">
        <v>321</v>
      </c>
      <c r="O122" s="20" t="s">
        <v>310</v>
      </c>
      <c r="P122" s="20"/>
      <c r="Q122" s="9" t="s">
        <v>120</v>
      </c>
      <c r="R122" s="9" t="s">
        <v>140</v>
      </c>
      <c r="S122" s="9" t="s">
        <v>137</v>
      </c>
      <c r="T122" s="9" t="s">
        <v>124</v>
      </c>
      <c r="U122" s="9"/>
      <c r="V122" s="13"/>
    </row>
    <row r="123" spans="2:22" x14ac:dyDescent="0.25">
      <c r="B123" s="83"/>
      <c r="C123" s="78"/>
      <c r="D123" s="78"/>
      <c r="E123" s="7"/>
      <c r="F123" s="7"/>
      <c r="G123" s="7"/>
      <c r="H123" s="7"/>
      <c r="I123" s="8"/>
      <c r="J123" s="8"/>
      <c r="K123" s="8"/>
      <c r="L123" s="8"/>
      <c r="M123" s="20"/>
      <c r="N123" s="20"/>
      <c r="O123" s="20"/>
      <c r="P123" s="20"/>
      <c r="Q123" s="9"/>
      <c r="R123" s="9"/>
      <c r="S123" s="9"/>
      <c r="T123" s="9"/>
      <c r="U123" s="9"/>
      <c r="V123" s="13"/>
    </row>
    <row r="124" spans="2:22" x14ac:dyDescent="0.25">
      <c r="B124" s="2" t="s">
        <v>91</v>
      </c>
      <c r="C124" s="2">
        <f>SUM(C114:C123)</f>
        <v>4</v>
      </c>
      <c r="D124" s="2">
        <f>SUM(D114:D123)</f>
        <v>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7" spans="2:22" x14ac:dyDescent="0.25">
      <c r="B127" s="11">
        <v>45812</v>
      </c>
      <c r="C127" s="10" t="s">
        <v>333</v>
      </c>
      <c r="D127" s="10" t="s">
        <v>334</v>
      </c>
      <c r="E127" s="80" t="s">
        <v>84</v>
      </c>
      <c r="F127" s="80"/>
      <c r="G127" s="80"/>
      <c r="H127" s="80"/>
      <c r="I127" s="81" t="s">
        <v>87</v>
      </c>
      <c r="J127" s="81"/>
      <c r="K127" s="81"/>
      <c r="L127" s="81"/>
      <c r="M127" s="82" t="s">
        <v>86</v>
      </c>
      <c r="N127" s="82"/>
      <c r="O127" s="82"/>
      <c r="P127" s="82"/>
      <c r="Q127" s="79" t="s">
        <v>80</v>
      </c>
      <c r="R127" s="79"/>
      <c r="S127" s="79"/>
      <c r="T127" s="79"/>
      <c r="U127" s="79"/>
      <c r="V127" s="79"/>
    </row>
    <row r="128" spans="2:22" x14ac:dyDescent="0.25">
      <c r="B128" s="84" t="s">
        <v>67</v>
      </c>
      <c r="C128" s="77">
        <v>0</v>
      </c>
      <c r="D128" s="77">
        <v>0</v>
      </c>
      <c r="E128" s="7"/>
      <c r="F128" s="7"/>
      <c r="G128" s="7"/>
      <c r="H128" s="7"/>
      <c r="I128" s="8"/>
      <c r="J128" s="8"/>
      <c r="K128" s="8"/>
      <c r="L128" s="8"/>
      <c r="M128" s="20"/>
      <c r="N128" s="20"/>
      <c r="O128" s="20"/>
      <c r="P128" s="20"/>
      <c r="Q128" s="9" t="s">
        <v>106</v>
      </c>
      <c r="R128" s="9" t="s">
        <v>325</v>
      </c>
      <c r="S128" s="9" t="s">
        <v>207</v>
      </c>
      <c r="T128" s="9" t="s">
        <v>115</v>
      </c>
      <c r="U128" s="9"/>
      <c r="V128" s="13" t="s">
        <v>179</v>
      </c>
    </row>
    <row r="129" spans="2:22" x14ac:dyDescent="0.25">
      <c r="B129" s="83"/>
      <c r="C129" s="78"/>
      <c r="D129" s="78"/>
      <c r="E129" s="7"/>
      <c r="F129" s="7"/>
      <c r="G129" s="7"/>
      <c r="H129" s="7"/>
      <c r="I129" s="8"/>
      <c r="J129" s="8"/>
      <c r="K129" s="8"/>
      <c r="L129" s="8"/>
      <c r="M129" s="20"/>
      <c r="N129" s="20"/>
      <c r="O129" s="20"/>
      <c r="P129" s="20"/>
      <c r="Q129" s="9"/>
      <c r="R129" s="9"/>
      <c r="S129" s="9"/>
      <c r="T129" s="9"/>
      <c r="U129" s="9"/>
      <c r="V129" s="13"/>
    </row>
    <row r="130" spans="2:22" x14ac:dyDescent="0.25">
      <c r="B130" s="84" t="s">
        <v>73</v>
      </c>
      <c r="C130" s="77">
        <v>0</v>
      </c>
      <c r="D130" s="77">
        <v>3</v>
      </c>
      <c r="E130" s="7"/>
      <c r="F130" s="7"/>
      <c r="G130" s="7"/>
      <c r="H130" s="7"/>
      <c r="I130" s="8"/>
      <c r="J130" s="8"/>
      <c r="K130" s="8"/>
      <c r="L130" s="8"/>
      <c r="M130" s="20"/>
      <c r="N130" s="20"/>
      <c r="O130" s="20"/>
      <c r="P130" s="20"/>
      <c r="Q130" s="9"/>
      <c r="R130" s="9"/>
      <c r="S130" s="9"/>
      <c r="T130" s="9"/>
      <c r="U130" s="9"/>
      <c r="V130" s="13"/>
    </row>
    <row r="131" spans="2:22" x14ac:dyDescent="0.25">
      <c r="B131" s="83"/>
      <c r="C131" s="78"/>
      <c r="D131" s="78"/>
      <c r="E131" s="7"/>
      <c r="F131" s="7"/>
      <c r="G131" s="7"/>
      <c r="H131" s="7"/>
      <c r="I131" s="8"/>
      <c r="J131" s="8"/>
      <c r="K131" s="8"/>
      <c r="L131" s="8"/>
      <c r="M131" s="20"/>
      <c r="N131" s="20"/>
      <c r="O131" s="20"/>
      <c r="P131" s="20"/>
      <c r="Q131" s="9"/>
      <c r="R131" s="9"/>
      <c r="S131" s="9"/>
      <c r="T131" s="9"/>
      <c r="U131" s="9"/>
      <c r="V131" s="13"/>
    </row>
    <row r="132" spans="2:22" x14ac:dyDescent="0.25">
      <c r="B132" s="84" t="s">
        <v>75</v>
      </c>
      <c r="C132" s="77">
        <v>0</v>
      </c>
      <c r="D132" s="77">
        <v>0</v>
      </c>
      <c r="E132" s="7"/>
      <c r="F132" s="7"/>
      <c r="G132" s="7"/>
      <c r="H132" s="7"/>
      <c r="I132" s="8"/>
      <c r="J132" s="8"/>
      <c r="K132" s="8"/>
      <c r="L132" s="8"/>
      <c r="M132" s="20"/>
      <c r="N132" s="20"/>
      <c r="O132" s="20"/>
      <c r="P132" s="20"/>
      <c r="Q132" s="9" t="s">
        <v>208</v>
      </c>
      <c r="R132" s="9" t="s">
        <v>325</v>
      </c>
      <c r="S132" s="9" t="s">
        <v>207</v>
      </c>
      <c r="T132" s="9" t="s">
        <v>115</v>
      </c>
      <c r="U132" s="9"/>
      <c r="V132" s="13" t="s">
        <v>106</v>
      </c>
    </row>
    <row r="133" spans="2:22" x14ac:dyDescent="0.25">
      <c r="B133" s="83"/>
      <c r="C133" s="78"/>
      <c r="D133" s="78"/>
      <c r="E133" s="7"/>
      <c r="F133" s="7"/>
      <c r="G133" s="7"/>
      <c r="H133" s="7"/>
      <c r="I133" s="8"/>
      <c r="J133" s="8"/>
      <c r="K133" s="8"/>
      <c r="L133" s="8"/>
      <c r="M133" s="20"/>
      <c r="N133" s="20"/>
      <c r="O133" s="20"/>
      <c r="P133" s="20"/>
      <c r="Q133" s="9"/>
      <c r="R133" s="9"/>
      <c r="S133" s="9"/>
      <c r="T133" s="9"/>
      <c r="U133" s="9"/>
      <c r="V133" s="13"/>
    </row>
    <row r="134" spans="2:22" x14ac:dyDescent="0.25">
      <c r="B134" s="84" t="s">
        <v>43</v>
      </c>
      <c r="C134" s="77">
        <v>0</v>
      </c>
      <c r="D134" s="77">
        <v>0</v>
      </c>
      <c r="E134" s="7"/>
      <c r="F134" s="7"/>
      <c r="G134" s="7"/>
      <c r="H134" s="7"/>
      <c r="I134" s="8"/>
      <c r="J134" s="8"/>
      <c r="K134" s="8"/>
      <c r="L134" s="8"/>
      <c r="M134" s="20"/>
      <c r="N134" s="20"/>
      <c r="O134" s="20"/>
      <c r="P134" s="20"/>
      <c r="Q134" s="9" t="s">
        <v>310</v>
      </c>
      <c r="R134" s="9" t="s">
        <v>126</v>
      </c>
      <c r="S134" s="9" t="s">
        <v>200</v>
      </c>
      <c r="T134" s="9" t="s">
        <v>331</v>
      </c>
      <c r="U134" s="9"/>
      <c r="V134" s="13" t="s">
        <v>115</v>
      </c>
    </row>
    <row r="135" spans="2:22" x14ac:dyDescent="0.25">
      <c r="B135" s="83"/>
      <c r="C135" s="78"/>
      <c r="D135" s="78"/>
      <c r="E135" s="7"/>
      <c r="F135" s="7"/>
      <c r="G135" s="7"/>
      <c r="H135" s="7"/>
      <c r="I135" s="8"/>
      <c r="J135" s="8"/>
      <c r="K135" s="8"/>
      <c r="L135" s="8"/>
      <c r="M135" s="20"/>
      <c r="N135" s="20"/>
      <c r="O135" s="20"/>
      <c r="P135" s="20"/>
      <c r="Q135" s="9"/>
      <c r="R135" s="9"/>
      <c r="S135" s="9"/>
      <c r="T135" s="9"/>
      <c r="U135" s="9"/>
      <c r="V135" s="13"/>
    </row>
    <row r="136" spans="2:22" x14ac:dyDescent="0.25">
      <c r="B136" s="2" t="s">
        <v>91</v>
      </c>
      <c r="C136" s="2">
        <f>SUM(C128:C135)</f>
        <v>0</v>
      </c>
      <c r="D136" s="2">
        <f>SUM(D128:D135)</f>
        <v>3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9" spans="2:22" x14ac:dyDescent="0.25">
      <c r="B139" s="11">
        <v>45818</v>
      </c>
      <c r="C139" s="10" t="s">
        <v>333</v>
      </c>
      <c r="D139" s="10" t="s">
        <v>335</v>
      </c>
      <c r="E139" s="80" t="s">
        <v>84</v>
      </c>
      <c r="F139" s="80"/>
      <c r="G139" s="80"/>
      <c r="H139" s="80"/>
      <c r="I139" s="81" t="s">
        <v>87</v>
      </c>
      <c r="J139" s="81"/>
      <c r="K139" s="81"/>
      <c r="L139" s="81"/>
      <c r="M139" s="82" t="s">
        <v>86</v>
      </c>
      <c r="N139" s="82"/>
      <c r="O139" s="82"/>
      <c r="P139" s="82"/>
      <c r="Q139" s="79" t="s">
        <v>80</v>
      </c>
      <c r="R139" s="79"/>
      <c r="S139" s="79"/>
      <c r="T139" s="79"/>
      <c r="U139" s="79"/>
      <c r="V139" s="79"/>
    </row>
    <row r="140" spans="2:22" x14ac:dyDescent="0.25">
      <c r="B140" s="84" t="s">
        <v>67</v>
      </c>
      <c r="C140" s="77">
        <v>0</v>
      </c>
      <c r="D140" s="77">
        <v>0</v>
      </c>
      <c r="E140" s="7"/>
      <c r="F140" s="7"/>
      <c r="G140" s="7"/>
      <c r="H140" s="7"/>
      <c r="I140" s="8"/>
      <c r="J140" s="8"/>
      <c r="K140" s="8"/>
      <c r="L140" s="8"/>
      <c r="M140" s="20"/>
      <c r="N140" s="20"/>
      <c r="O140" s="20"/>
      <c r="P140" s="20"/>
      <c r="Q140" s="9" t="s">
        <v>120</v>
      </c>
      <c r="R140" s="9" t="s">
        <v>200</v>
      </c>
      <c r="S140" s="9" t="s">
        <v>219</v>
      </c>
      <c r="T140" s="9" t="s">
        <v>126</v>
      </c>
      <c r="U140" s="9"/>
      <c r="V140" s="13" t="s">
        <v>110</v>
      </c>
    </row>
    <row r="141" spans="2:22" x14ac:dyDescent="0.25">
      <c r="B141" s="83"/>
      <c r="C141" s="78"/>
      <c r="D141" s="78"/>
      <c r="E141" s="7"/>
      <c r="F141" s="7"/>
      <c r="G141" s="7"/>
      <c r="H141" s="7"/>
      <c r="I141" s="8"/>
      <c r="J141" s="8"/>
      <c r="K141" s="8"/>
      <c r="L141" s="8"/>
      <c r="M141" s="20"/>
      <c r="N141" s="20"/>
      <c r="O141" s="20"/>
      <c r="P141" s="20"/>
      <c r="Q141" s="9"/>
      <c r="R141" s="9"/>
      <c r="S141" s="9"/>
      <c r="T141" s="9"/>
      <c r="U141" s="9"/>
      <c r="V141" s="13"/>
    </row>
    <row r="142" spans="2:22" x14ac:dyDescent="0.25">
      <c r="B142" s="84" t="s">
        <v>73</v>
      </c>
      <c r="C142" s="77">
        <v>1</v>
      </c>
      <c r="D142" s="77">
        <v>0</v>
      </c>
      <c r="E142" s="7" t="s">
        <v>111</v>
      </c>
      <c r="F142" s="7"/>
      <c r="G142" s="7"/>
      <c r="H142" s="7"/>
      <c r="I142" s="8" t="s">
        <v>138</v>
      </c>
      <c r="J142" s="8"/>
      <c r="K142" s="8"/>
      <c r="L142" s="8"/>
      <c r="M142" s="20" t="s">
        <v>104</v>
      </c>
      <c r="N142" s="20" t="s">
        <v>138</v>
      </c>
      <c r="O142" s="20" t="s">
        <v>337</v>
      </c>
      <c r="P142" s="20"/>
      <c r="Q142" s="9" t="s">
        <v>200</v>
      </c>
      <c r="R142" s="9" t="s">
        <v>135</v>
      </c>
      <c r="S142" s="9" t="s">
        <v>331</v>
      </c>
      <c r="T142" s="9" t="s">
        <v>219</v>
      </c>
      <c r="U142" s="9"/>
      <c r="V142" s="13" t="s">
        <v>110</v>
      </c>
    </row>
    <row r="143" spans="2:22" x14ac:dyDescent="0.25">
      <c r="B143" s="83"/>
      <c r="C143" s="78"/>
      <c r="D143" s="78"/>
      <c r="E143" s="7"/>
      <c r="F143" s="7"/>
      <c r="G143" s="7"/>
      <c r="H143" s="7"/>
      <c r="I143" s="8"/>
      <c r="J143" s="8"/>
      <c r="K143" s="8"/>
      <c r="L143" s="8"/>
      <c r="M143" s="20"/>
      <c r="N143" s="20"/>
      <c r="O143" s="20"/>
      <c r="P143" s="20"/>
      <c r="Q143" s="9"/>
      <c r="R143" s="9"/>
      <c r="S143" s="9"/>
      <c r="T143" s="9"/>
      <c r="U143" s="9"/>
      <c r="V143" s="13"/>
    </row>
    <row r="144" spans="2:22" x14ac:dyDescent="0.25">
      <c r="B144" s="84" t="s">
        <v>75</v>
      </c>
      <c r="C144" s="77">
        <v>0</v>
      </c>
      <c r="D144" s="77">
        <v>1</v>
      </c>
      <c r="E144" s="7"/>
      <c r="F144" s="7"/>
      <c r="G144" s="7"/>
      <c r="H144" s="7"/>
      <c r="I144" s="8"/>
      <c r="J144" s="8"/>
      <c r="K144" s="8"/>
      <c r="L144" s="8"/>
      <c r="M144" s="20"/>
      <c r="N144" s="20"/>
      <c r="O144" s="20"/>
      <c r="P144" s="20"/>
      <c r="Q144" s="9"/>
      <c r="R144" s="9"/>
      <c r="S144" s="9"/>
      <c r="T144" s="9"/>
      <c r="U144" s="9"/>
      <c r="V144" s="13"/>
    </row>
    <row r="145" spans="2:22" x14ac:dyDescent="0.25">
      <c r="B145" s="83"/>
      <c r="C145" s="78"/>
      <c r="D145" s="78"/>
      <c r="E145" s="7"/>
      <c r="F145" s="7"/>
      <c r="G145" s="7"/>
      <c r="H145" s="7"/>
      <c r="I145" s="8"/>
      <c r="J145" s="8"/>
      <c r="K145" s="8"/>
      <c r="L145" s="8"/>
      <c r="M145" s="20"/>
      <c r="N145" s="20"/>
      <c r="O145" s="20"/>
      <c r="P145" s="20"/>
      <c r="Q145" s="9"/>
      <c r="R145" s="9"/>
      <c r="S145" s="9"/>
      <c r="T145" s="9"/>
      <c r="U145" s="9"/>
      <c r="V145" s="13"/>
    </row>
    <row r="146" spans="2:22" x14ac:dyDescent="0.25">
      <c r="B146" s="84" t="s">
        <v>43</v>
      </c>
      <c r="C146" s="77">
        <v>0</v>
      </c>
      <c r="D146" s="77">
        <v>0</v>
      </c>
      <c r="E146" s="7"/>
      <c r="F146" s="7"/>
      <c r="G146" s="7"/>
      <c r="H146" s="7"/>
      <c r="I146" s="8"/>
      <c r="J146" s="8"/>
      <c r="K146" s="8"/>
      <c r="L146" s="8"/>
      <c r="M146" s="20"/>
      <c r="N146" s="20"/>
      <c r="O146" s="20"/>
      <c r="P146" s="20"/>
      <c r="Q146" s="9" t="s">
        <v>120</v>
      </c>
      <c r="R146" s="9" t="s">
        <v>200</v>
      </c>
      <c r="S146" s="9" t="s">
        <v>126</v>
      </c>
      <c r="T146" s="9" t="s">
        <v>331</v>
      </c>
      <c r="U146" s="9"/>
      <c r="V146" s="13" t="s">
        <v>179</v>
      </c>
    </row>
    <row r="147" spans="2:22" x14ac:dyDescent="0.25">
      <c r="B147" s="83"/>
      <c r="C147" s="78"/>
      <c r="D147" s="78"/>
      <c r="E147" s="7"/>
      <c r="F147" s="7"/>
      <c r="G147" s="7"/>
      <c r="H147" s="7"/>
      <c r="I147" s="8"/>
      <c r="J147" s="8"/>
      <c r="K147" s="8"/>
      <c r="L147" s="8"/>
      <c r="M147" s="20"/>
      <c r="N147" s="20"/>
      <c r="O147" s="20"/>
      <c r="P147" s="20"/>
      <c r="Q147" s="9"/>
      <c r="R147" s="9"/>
      <c r="S147" s="9"/>
      <c r="T147" s="9"/>
      <c r="U147" s="9"/>
      <c r="V147" s="13"/>
    </row>
    <row r="148" spans="2:22" x14ac:dyDescent="0.25">
      <c r="B148" s="2" t="s">
        <v>91</v>
      </c>
      <c r="C148" s="2">
        <f>SUM(C140:C147)</f>
        <v>1</v>
      </c>
      <c r="D148" s="2">
        <f>SUM(D140:D147)</f>
        <v>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51" spans="2:22" x14ac:dyDescent="0.25">
      <c r="B151" s="11">
        <v>45820</v>
      </c>
      <c r="C151" s="10" t="s">
        <v>328</v>
      </c>
      <c r="D151" s="10" t="s">
        <v>329</v>
      </c>
      <c r="E151" s="80" t="s">
        <v>84</v>
      </c>
      <c r="F151" s="80"/>
      <c r="G151" s="80"/>
      <c r="H151" s="80"/>
      <c r="I151" s="81" t="s">
        <v>87</v>
      </c>
      <c r="J151" s="81"/>
      <c r="K151" s="81"/>
      <c r="L151" s="81"/>
      <c r="M151" s="82" t="s">
        <v>86</v>
      </c>
      <c r="N151" s="82"/>
      <c r="O151" s="82"/>
      <c r="P151" s="82"/>
      <c r="Q151" s="79" t="s">
        <v>80</v>
      </c>
      <c r="R151" s="79"/>
      <c r="S151" s="79"/>
      <c r="T151" s="79"/>
      <c r="U151" s="79"/>
      <c r="V151" s="79"/>
    </row>
    <row r="152" spans="2:22" x14ac:dyDescent="0.25">
      <c r="B152" s="84" t="s">
        <v>322</v>
      </c>
      <c r="C152" s="77">
        <v>1</v>
      </c>
      <c r="D152" s="77">
        <v>1</v>
      </c>
      <c r="E152" s="7" t="s">
        <v>321</v>
      </c>
      <c r="F152" s="7"/>
      <c r="G152" s="7"/>
      <c r="H152" s="7"/>
      <c r="I152" s="8"/>
      <c r="J152" s="8"/>
      <c r="K152" s="8"/>
      <c r="L152" s="8"/>
      <c r="M152" s="20"/>
      <c r="N152" s="20"/>
      <c r="O152" s="20"/>
      <c r="P152" s="20"/>
      <c r="Q152" s="9"/>
      <c r="R152" s="9"/>
      <c r="S152" s="9"/>
      <c r="T152" s="9"/>
      <c r="U152" s="9"/>
      <c r="V152" s="13"/>
    </row>
    <row r="153" spans="2:22" x14ac:dyDescent="0.25">
      <c r="B153" s="83"/>
      <c r="C153" s="78"/>
      <c r="D153" s="78"/>
      <c r="E153" s="7" t="s">
        <v>179</v>
      </c>
      <c r="F153" s="7"/>
      <c r="G153" s="7"/>
      <c r="H153" s="7"/>
      <c r="I153" s="8"/>
      <c r="J153" s="8"/>
      <c r="K153" s="8"/>
      <c r="L153" s="8"/>
      <c r="M153" s="20"/>
      <c r="N153" s="20"/>
      <c r="O153" s="20"/>
      <c r="P153" s="20"/>
      <c r="Q153" s="9"/>
      <c r="R153" s="9"/>
      <c r="S153" s="9"/>
      <c r="T153" s="9"/>
      <c r="U153" s="9"/>
      <c r="V153" s="13"/>
    </row>
    <row r="154" spans="2:22" x14ac:dyDescent="0.25">
      <c r="B154" s="84" t="s">
        <v>73</v>
      </c>
      <c r="C154" s="77">
        <v>0</v>
      </c>
      <c r="D154" s="77">
        <v>0</v>
      </c>
      <c r="E154" s="7"/>
      <c r="F154" s="7"/>
      <c r="G154" s="7"/>
      <c r="H154" s="7"/>
      <c r="I154" s="8"/>
      <c r="J154" s="8"/>
      <c r="K154" s="8"/>
      <c r="L154" s="8"/>
      <c r="M154" s="20"/>
      <c r="N154" s="20"/>
      <c r="O154" s="20"/>
      <c r="P154" s="20"/>
      <c r="Q154" s="9" t="s">
        <v>128</v>
      </c>
      <c r="R154" s="9" t="s">
        <v>140</v>
      </c>
      <c r="S154" s="9" t="s">
        <v>310</v>
      </c>
      <c r="T154" s="9" t="s">
        <v>219</v>
      </c>
      <c r="U154" s="9"/>
      <c r="V154" s="13" t="s">
        <v>339</v>
      </c>
    </row>
    <row r="155" spans="2:22" x14ac:dyDescent="0.25">
      <c r="B155" s="83"/>
      <c r="C155" s="78"/>
      <c r="D155" s="78"/>
      <c r="E155" s="7"/>
      <c r="F155" s="7"/>
      <c r="G155" s="7"/>
      <c r="H155" s="7"/>
      <c r="I155" s="8"/>
      <c r="J155" s="8"/>
      <c r="K155" s="8"/>
      <c r="L155" s="8"/>
      <c r="M155" s="20"/>
      <c r="N155" s="20"/>
      <c r="O155" s="20"/>
      <c r="P155" s="20"/>
      <c r="Q155" s="9" t="s">
        <v>207</v>
      </c>
      <c r="R155" s="9" t="s">
        <v>101</v>
      </c>
      <c r="S155" s="9" t="s">
        <v>325</v>
      </c>
      <c r="T155" s="9" t="s">
        <v>186</v>
      </c>
      <c r="U155" s="9"/>
      <c r="V155" s="13" t="s">
        <v>112</v>
      </c>
    </row>
    <row r="156" spans="2:22" x14ac:dyDescent="0.25">
      <c r="B156" s="84" t="s">
        <v>75</v>
      </c>
      <c r="C156" s="77">
        <v>1</v>
      </c>
      <c r="D156" s="77">
        <v>0</v>
      </c>
      <c r="E156" s="7" t="s">
        <v>223</v>
      </c>
      <c r="F156" s="7"/>
      <c r="G156" s="7"/>
      <c r="H156" s="7"/>
      <c r="I156" s="8" t="s">
        <v>112</v>
      </c>
      <c r="J156" s="8"/>
      <c r="K156" s="8"/>
      <c r="L156" s="8"/>
      <c r="M156" s="20" t="s">
        <v>208</v>
      </c>
      <c r="N156" s="20" t="s">
        <v>112</v>
      </c>
      <c r="O156" s="20" t="s">
        <v>243</v>
      </c>
      <c r="P156" s="20"/>
      <c r="Q156" s="9" t="s">
        <v>207</v>
      </c>
      <c r="R156" s="9" t="s">
        <v>325</v>
      </c>
      <c r="S156" s="9" t="s">
        <v>126</v>
      </c>
      <c r="T156" s="9" t="s">
        <v>186</v>
      </c>
      <c r="U156" s="9"/>
      <c r="V156" s="13" t="s">
        <v>111</v>
      </c>
    </row>
    <row r="157" spans="2:22" x14ac:dyDescent="0.25">
      <c r="B157" s="83"/>
      <c r="C157" s="78"/>
      <c r="D157" s="78"/>
      <c r="E157" s="7"/>
      <c r="F157" s="7"/>
      <c r="G157" s="7"/>
      <c r="H157" s="7"/>
      <c r="I157" s="8"/>
      <c r="J157" s="8"/>
      <c r="K157" s="8"/>
      <c r="L157" s="8"/>
      <c r="M157" s="20"/>
      <c r="N157" s="20"/>
      <c r="O157" s="20"/>
      <c r="P157" s="20"/>
      <c r="Q157" s="9"/>
      <c r="R157" s="9"/>
      <c r="S157" s="9"/>
      <c r="T157" s="9"/>
      <c r="U157" s="9"/>
      <c r="V157" s="13"/>
    </row>
    <row r="158" spans="2:22" x14ac:dyDescent="0.25">
      <c r="B158" s="84" t="s">
        <v>43</v>
      </c>
      <c r="C158" s="77">
        <v>0</v>
      </c>
      <c r="D158" s="77">
        <v>1</v>
      </c>
      <c r="E158" s="7" t="s">
        <v>111</v>
      </c>
      <c r="F158" s="7" t="s">
        <v>138</v>
      </c>
      <c r="G158" s="7"/>
      <c r="H158" s="7"/>
      <c r="I158" s="8"/>
      <c r="J158" s="8"/>
      <c r="K158" s="8"/>
      <c r="L158" s="8"/>
      <c r="M158" s="20" t="s">
        <v>113</v>
      </c>
      <c r="N158" s="20" t="s">
        <v>138</v>
      </c>
      <c r="O158" s="20" t="s">
        <v>128</v>
      </c>
      <c r="P158" s="20"/>
      <c r="Q158" s="9" t="s">
        <v>219</v>
      </c>
      <c r="R158" s="9" t="s">
        <v>321</v>
      </c>
      <c r="S158" s="9" t="s">
        <v>310</v>
      </c>
      <c r="T158" s="9" t="s">
        <v>140</v>
      </c>
      <c r="U158" s="9"/>
      <c r="V158" s="13" t="s">
        <v>207</v>
      </c>
    </row>
    <row r="159" spans="2:22" x14ac:dyDescent="0.25">
      <c r="B159" s="83"/>
      <c r="C159" s="78"/>
      <c r="D159" s="78"/>
      <c r="E159" s="7"/>
      <c r="F159" s="7"/>
      <c r="G159" s="7"/>
      <c r="H159" s="7"/>
      <c r="I159" s="8"/>
      <c r="J159" s="8"/>
      <c r="K159" s="8"/>
      <c r="L159" s="8"/>
      <c r="M159" s="20"/>
      <c r="N159" s="20"/>
      <c r="O159" s="20"/>
      <c r="P159" s="20"/>
      <c r="Q159" s="9"/>
      <c r="R159" s="9"/>
      <c r="S159" s="9"/>
      <c r="T159" s="9"/>
      <c r="U159" s="9"/>
      <c r="V159" s="13"/>
    </row>
    <row r="160" spans="2:22" x14ac:dyDescent="0.25">
      <c r="B160" s="84" t="s">
        <v>42</v>
      </c>
      <c r="C160" s="77">
        <v>0</v>
      </c>
      <c r="D160" s="77">
        <v>0</v>
      </c>
      <c r="E160" s="7"/>
      <c r="F160" s="7"/>
      <c r="G160" s="7"/>
      <c r="H160" s="7"/>
      <c r="I160" s="8"/>
      <c r="J160" s="8"/>
      <c r="K160" s="8"/>
      <c r="L160" s="8"/>
      <c r="M160" s="20"/>
      <c r="N160" s="20"/>
      <c r="O160" s="20"/>
      <c r="P160" s="20"/>
      <c r="Q160" s="9" t="s">
        <v>219</v>
      </c>
      <c r="R160" s="9" t="s">
        <v>140</v>
      </c>
      <c r="S160" s="9" t="s">
        <v>179</v>
      </c>
      <c r="T160" s="9" t="s">
        <v>310</v>
      </c>
      <c r="U160" s="9"/>
      <c r="V160" s="13" t="s">
        <v>110</v>
      </c>
    </row>
    <row r="161" spans="2:22" x14ac:dyDescent="0.25">
      <c r="B161" s="83"/>
      <c r="C161" s="78"/>
      <c r="D161" s="78"/>
      <c r="E161" s="7"/>
      <c r="F161" s="7"/>
      <c r="G161" s="7"/>
      <c r="H161" s="7"/>
      <c r="I161" s="8"/>
      <c r="J161" s="8"/>
      <c r="K161" s="8"/>
      <c r="L161" s="8"/>
      <c r="M161" s="20"/>
      <c r="N161" s="20"/>
      <c r="O161" s="20"/>
      <c r="P161" s="20"/>
      <c r="Q161" s="9" t="s">
        <v>207</v>
      </c>
      <c r="R161" s="9" t="s">
        <v>325</v>
      </c>
      <c r="S161" s="9" t="s">
        <v>126</v>
      </c>
      <c r="T161" s="9" t="s">
        <v>186</v>
      </c>
      <c r="U161" s="9"/>
      <c r="V161" s="13"/>
    </row>
    <row r="162" spans="2:22" x14ac:dyDescent="0.25">
      <c r="B162" s="2" t="s">
        <v>91</v>
      </c>
      <c r="C162" s="2">
        <f>SUM(C152:C161)</f>
        <v>2</v>
      </c>
      <c r="D162" s="2">
        <f>SUM(D152:D161)</f>
        <v>2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5" spans="2:22" x14ac:dyDescent="0.25">
      <c r="B165" s="11">
        <v>45831</v>
      </c>
      <c r="C165" s="10" t="s">
        <v>130</v>
      </c>
      <c r="D165" s="10" t="s">
        <v>131</v>
      </c>
      <c r="E165" s="80" t="s">
        <v>84</v>
      </c>
      <c r="F165" s="80"/>
      <c r="G165" s="80"/>
      <c r="H165" s="80"/>
      <c r="I165" s="81" t="s">
        <v>87</v>
      </c>
      <c r="J165" s="81"/>
      <c r="K165" s="81"/>
      <c r="L165" s="81"/>
      <c r="M165" s="82" t="s">
        <v>86</v>
      </c>
      <c r="N165" s="82"/>
      <c r="O165" s="82"/>
      <c r="P165" s="82"/>
      <c r="Q165" s="79" t="s">
        <v>80</v>
      </c>
      <c r="R165" s="79"/>
      <c r="S165" s="79"/>
      <c r="T165" s="79"/>
      <c r="U165" s="79"/>
      <c r="V165" s="79"/>
    </row>
    <row r="166" spans="2:22" x14ac:dyDescent="0.25">
      <c r="B166" s="84" t="s">
        <v>67</v>
      </c>
      <c r="C166" s="77">
        <v>0</v>
      </c>
      <c r="D166" s="77">
        <v>0</v>
      </c>
      <c r="E166" s="7"/>
      <c r="F166" s="7"/>
      <c r="G166" s="7"/>
      <c r="H166" s="7"/>
      <c r="I166" s="8"/>
      <c r="J166" s="8"/>
      <c r="K166" s="8"/>
      <c r="L166" s="8"/>
      <c r="M166" s="20"/>
      <c r="N166" s="20"/>
      <c r="O166" s="20"/>
      <c r="P166" s="20"/>
      <c r="Q166" s="9" t="s">
        <v>200</v>
      </c>
      <c r="R166" s="9"/>
      <c r="S166" s="9"/>
      <c r="T166" s="9"/>
      <c r="U166" s="9"/>
      <c r="V166" s="13" t="s">
        <v>99</v>
      </c>
    </row>
    <row r="167" spans="2:22" x14ac:dyDescent="0.25">
      <c r="B167" s="83"/>
      <c r="C167" s="78"/>
      <c r="D167" s="78"/>
      <c r="E167" s="7"/>
      <c r="F167" s="7"/>
      <c r="G167" s="7"/>
      <c r="H167" s="7"/>
      <c r="I167" s="8"/>
      <c r="J167" s="8"/>
      <c r="K167" s="8"/>
      <c r="L167" s="8"/>
      <c r="M167" s="20"/>
      <c r="N167" s="20"/>
      <c r="O167" s="20"/>
      <c r="P167" s="20"/>
      <c r="Q167" s="9" t="s">
        <v>108</v>
      </c>
      <c r="R167" s="9" t="s">
        <v>120</v>
      </c>
      <c r="S167" s="9" t="s">
        <v>310</v>
      </c>
      <c r="T167" s="9" t="s">
        <v>139</v>
      </c>
      <c r="U167" s="9"/>
      <c r="V167" s="13" t="s">
        <v>166</v>
      </c>
    </row>
    <row r="168" spans="2:22" x14ac:dyDescent="0.25">
      <c r="B168" s="84" t="s">
        <v>73</v>
      </c>
      <c r="C168" s="77">
        <v>2</v>
      </c>
      <c r="D168" s="77">
        <v>1</v>
      </c>
      <c r="E168" s="7" t="s">
        <v>134</v>
      </c>
      <c r="F168" s="7" t="s">
        <v>134</v>
      </c>
      <c r="G168" s="7"/>
      <c r="H168" s="7"/>
      <c r="I168" s="8" t="s">
        <v>99</v>
      </c>
      <c r="J168" s="8" t="s">
        <v>218</v>
      </c>
      <c r="K168" s="8"/>
      <c r="L168" s="8"/>
      <c r="M168" s="20"/>
      <c r="N168" s="20"/>
      <c r="O168" s="20"/>
      <c r="P168" s="20"/>
      <c r="Q168" s="9"/>
      <c r="R168" s="9"/>
      <c r="S168" s="9"/>
      <c r="T168" s="9"/>
      <c r="U168" s="9"/>
      <c r="V168" s="13"/>
    </row>
    <row r="169" spans="2:22" x14ac:dyDescent="0.25">
      <c r="B169" s="83"/>
      <c r="C169" s="78"/>
      <c r="D169" s="78"/>
      <c r="E169" s="7"/>
      <c r="F169" s="7"/>
      <c r="G169" s="7"/>
      <c r="H169" s="7"/>
      <c r="I169" s="8"/>
      <c r="J169" s="8"/>
      <c r="K169" s="8"/>
      <c r="L169" s="8"/>
      <c r="M169" s="20"/>
      <c r="N169" s="20"/>
      <c r="O169" s="20"/>
      <c r="P169" s="20"/>
      <c r="Q169" s="9"/>
      <c r="R169" s="9"/>
      <c r="S169" s="9"/>
      <c r="T169" s="9"/>
      <c r="U169" s="9"/>
      <c r="V169" s="13"/>
    </row>
    <row r="170" spans="2:22" x14ac:dyDescent="0.25">
      <c r="B170" s="84" t="s">
        <v>75</v>
      </c>
      <c r="C170" s="77">
        <v>0</v>
      </c>
      <c r="D170" s="77">
        <v>0</v>
      </c>
      <c r="E170" s="7"/>
      <c r="F170" s="7"/>
      <c r="G170" s="7"/>
      <c r="H170" s="7"/>
      <c r="I170" s="8"/>
      <c r="J170" s="8"/>
      <c r="K170" s="8"/>
      <c r="L170" s="8"/>
      <c r="M170" s="20"/>
      <c r="N170" s="20"/>
      <c r="O170" s="20"/>
      <c r="P170" s="20"/>
      <c r="Q170" s="9" t="s">
        <v>108</v>
      </c>
      <c r="R170" s="9" t="s">
        <v>99</v>
      </c>
      <c r="S170" s="9" t="s">
        <v>106</v>
      </c>
      <c r="T170" s="9" t="s">
        <v>120</v>
      </c>
      <c r="U170" s="9"/>
      <c r="V170" s="13" t="s">
        <v>166</v>
      </c>
    </row>
    <row r="171" spans="2:22" x14ac:dyDescent="0.25">
      <c r="B171" s="83"/>
      <c r="C171" s="78"/>
      <c r="D171" s="78"/>
      <c r="E171" s="7"/>
      <c r="F171" s="7"/>
      <c r="G171" s="7"/>
      <c r="H171" s="7"/>
      <c r="I171" s="8"/>
      <c r="J171" s="8"/>
      <c r="K171" s="8"/>
      <c r="L171" s="8"/>
      <c r="M171" s="20"/>
      <c r="N171" s="20"/>
      <c r="O171" s="20"/>
      <c r="P171" s="20"/>
      <c r="Q171" s="9" t="s">
        <v>200</v>
      </c>
      <c r="R171" s="9" t="s">
        <v>186</v>
      </c>
      <c r="S171" s="9"/>
      <c r="T171" s="9"/>
      <c r="U171" s="9"/>
      <c r="V171" s="13" t="s">
        <v>218</v>
      </c>
    </row>
    <row r="172" spans="2:22" x14ac:dyDescent="0.25">
      <c r="B172" s="84" t="s">
        <v>43</v>
      </c>
      <c r="C172" s="77"/>
      <c r="D172" s="77"/>
      <c r="E172" s="7"/>
      <c r="F172" s="7"/>
      <c r="G172" s="7"/>
      <c r="H172" s="7"/>
      <c r="I172" s="8"/>
      <c r="J172" s="8"/>
      <c r="K172" s="8"/>
      <c r="L172" s="8"/>
      <c r="M172" s="20"/>
      <c r="N172" s="20"/>
      <c r="O172" s="20"/>
      <c r="P172" s="20"/>
      <c r="Q172" s="9"/>
      <c r="R172" s="9"/>
      <c r="S172" s="9"/>
      <c r="T172" s="9"/>
      <c r="U172" s="9"/>
      <c r="V172" s="13"/>
    </row>
    <row r="173" spans="2:22" x14ac:dyDescent="0.25">
      <c r="B173" s="83"/>
      <c r="C173" s="78"/>
      <c r="D173" s="78"/>
      <c r="E173" s="7"/>
      <c r="F173" s="7"/>
      <c r="G173" s="7"/>
      <c r="H173" s="7"/>
      <c r="I173" s="8"/>
      <c r="J173" s="8"/>
      <c r="K173" s="8"/>
      <c r="L173" s="8"/>
      <c r="M173" s="20"/>
      <c r="N173" s="20"/>
      <c r="O173" s="20"/>
      <c r="P173" s="20"/>
      <c r="Q173" s="9"/>
      <c r="R173" s="9"/>
      <c r="S173" s="9"/>
      <c r="T173" s="9"/>
      <c r="U173" s="9"/>
      <c r="V173" s="13"/>
    </row>
    <row r="174" spans="2:22" x14ac:dyDescent="0.25">
      <c r="B174" s="2" t="s">
        <v>91</v>
      </c>
      <c r="C174" s="2">
        <f>SUM(C166:C173)</f>
        <v>2</v>
      </c>
      <c r="D174" s="2">
        <f>SUM(D166:D173)</f>
        <v>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7" spans="2:22" x14ac:dyDescent="0.25">
      <c r="B177" s="11">
        <v>45841</v>
      </c>
      <c r="C177" s="10" t="s">
        <v>346</v>
      </c>
      <c r="D177" s="10" t="s">
        <v>347</v>
      </c>
      <c r="E177" s="80" t="s">
        <v>84</v>
      </c>
      <c r="F177" s="80"/>
      <c r="G177" s="80"/>
      <c r="H177" s="80"/>
      <c r="I177" s="81" t="s">
        <v>87</v>
      </c>
      <c r="J177" s="81"/>
      <c r="K177" s="81"/>
      <c r="L177" s="81"/>
      <c r="M177" s="82" t="s">
        <v>86</v>
      </c>
      <c r="N177" s="82"/>
      <c r="O177" s="82"/>
      <c r="P177" s="82"/>
      <c r="Q177" s="79" t="s">
        <v>80</v>
      </c>
      <c r="R177" s="79"/>
      <c r="S177" s="79"/>
      <c r="T177" s="79"/>
      <c r="U177" s="79"/>
      <c r="V177" s="79"/>
    </row>
    <row r="178" spans="2:22" x14ac:dyDescent="0.25">
      <c r="B178" s="84" t="s">
        <v>322</v>
      </c>
      <c r="C178" s="77">
        <v>1</v>
      </c>
      <c r="D178" s="77">
        <v>0</v>
      </c>
      <c r="E178" s="7" t="s">
        <v>111</v>
      </c>
      <c r="F178" s="7"/>
      <c r="G178" s="7"/>
      <c r="H178" s="7"/>
      <c r="I178" s="8" t="s">
        <v>137</v>
      </c>
      <c r="J178" s="8"/>
      <c r="K178" s="8"/>
      <c r="L178" s="8"/>
      <c r="M178" s="20" t="s">
        <v>109</v>
      </c>
      <c r="N178" s="20" t="s">
        <v>338</v>
      </c>
      <c r="O178" s="20" t="s">
        <v>208</v>
      </c>
      <c r="P178" s="20"/>
      <c r="Q178" s="9" t="s">
        <v>310</v>
      </c>
      <c r="R178" s="9" t="s">
        <v>124</v>
      </c>
      <c r="S178" s="9" t="s">
        <v>240</v>
      </c>
      <c r="T178" s="9" t="s">
        <v>331</v>
      </c>
      <c r="U178" s="9"/>
      <c r="V178" s="13" t="s">
        <v>107</v>
      </c>
    </row>
    <row r="179" spans="2:22" x14ac:dyDescent="0.25">
      <c r="B179" s="83"/>
      <c r="C179" s="78"/>
      <c r="D179" s="78"/>
      <c r="E179" s="7"/>
      <c r="F179" s="7"/>
      <c r="G179" s="7"/>
      <c r="H179" s="7"/>
      <c r="I179" s="8"/>
      <c r="J179" s="8"/>
      <c r="K179" s="8"/>
      <c r="L179" s="8"/>
      <c r="M179" s="20"/>
      <c r="N179" s="20"/>
      <c r="O179" s="20"/>
      <c r="P179" s="20"/>
      <c r="Q179" s="9"/>
      <c r="R179" s="9"/>
      <c r="S179" s="9"/>
      <c r="T179" s="9"/>
      <c r="U179" s="9"/>
      <c r="V179" s="13"/>
    </row>
    <row r="180" spans="2:22" x14ac:dyDescent="0.25">
      <c r="B180" s="84" t="s">
        <v>73</v>
      </c>
      <c r="C180" s="77">
        <v>1</v>
      </c>
      <c r="D180" s="77">
        <v>0</v>
      </c>
      <c r="E180" s="7" t="s">
        <v>134</v>
      </c>
      <c r="F180" s="7"/>
      <c r="G180" s="7"/>
      <c r="H180" s="7"/>
      <c r="I180" s="8" t="s">
        <v>105</v>
      </c>
      <c r="J180" s="8"/>
      <c r="K180" s="8"/>
      <c r="L180" s="8"/>
      <c r="M180" s="20" t="s">
        <v>105</v>
      </c>
      <c r="N180" s="20" t="s">
        <v>143</v>
      </c>
      <c r="O180" s="20" t="s">
        <v>99</v>
      </c>
      <c r="P180" s="20"/>
      <c r="Q180" s="9" t="s">
        <v>126</v>
      </c>
      <c r="R180" s="9" t="s">
        <v>140</v>
      </c>
      <c r="S180" s="9" t="s">
        <v>331</v>
      </c>
      <c r="T180" s="9" t="s">
        <v>110</v>
      </c>
      <c r="U180" s="9"/>
      <c r="V180" s="13" t="s">
        <v>240</v>
      </c>
    </row>
    <row r="181" spans="2:22" x14ac:dyDescent="0.25">
      <c r="B181" s="83"/>
      <c r="C181" s="78"/>
      <c r="D181" s="78"/>
      <c r="E181" s="7"/>
      <c r="F181" s="7"/>
      <c r="G181" s="7"/>
      <c r="H181" s="7"/>
      <c r="I181" s="8"/>
      <c r="J181" s="8"/>
      <c r="K181" s="8"/>
      <c r="L181" s="8"/>
      <c r="M181" s="20"/>
      <c r="N181" s="20"/>
      <c r="O181" s="20"/>
      <c r="P181" s="20"/>
      <c r="Q181" s="9"/>
      <c r="R181" s="9"/>
      <c r="S181" s="9"/>
      <c r="T181" s="9"/>
      <c r="U181" s="9"/>
      <c r="V181" s="13"/>
    </row>
    <row r="182" spans="2:22" x14ac:dyDescent="0.25">
      <c r="B182" s="84" t="s">
        <v>75</v>
      </c>
      <c r="C182" s="77">
        <v>1</v>
      </c>
      <c r="D182" s="77">
        <v>2</v>
      </c>
      <c r="E182" s="7" t="s">
        <v>327</v>
      </c>
      <c r="F182" s="7"/>
      <c r="G182" s="7"/>
      <c r="H182" s="7"/>
      <c r="I182" s="8" t="s">
        <v>97</v>
      </c>
      <c r="J182" s="8"/>
      <c r="K182" s="8"/>
      <c r="L182" s="8"/>
      <c r="M182" s="20"/>
      <c r="N182" s="20"/>
      <c r="O182" s="20"/>
      <c r="P182" s="20"/>
      <c r="Q182" s="9"/>
      <c r="R182" s="9"/>
      <c r="S182" s="9"/>
      <c r="T182" s="9"/>
      <c r="U182" s="9"/>
      <c r="V182" s="13"/>
    </row>
    <row r="183" spans="2:22" x14ac:dyDescent="0.25">
      <c r="B183" s="83"/>
      <c r="C183" s="78"/>
      <c r="D183" s="78"/>
      <c r="E183" s="7" t="s">
        <v>110</v>
      </c>
      <c r="F183" s="7" t="s">
        <v>321</v>
      </c>
      <c r="G183" s="7"/>
      <c r="H183" s="7"/>
      <c r="I183" s="8" t="s">
        <v>110</v>
      </c>
      <c r="J183" s="8" t="s">
        <v>99</v>
      </c>
      <c r="K183" s="8"/>
      <c r="L183" s="8"/>
      <c r="M183" s="20"/>
      <c r="N183" s="20"/>
      <c r="O183" s="20"/>
      <c r="P183" s="20"/>
      <c r="Q183" s="9"/>
      <c r="R183" s="9"/>
      <c r="S183" s="9"/>
      <c r="T183" s="9"/>
      <c r="U183" s="9"/>
      <c r="V183" s="13"/>
    </row>
    <row r="184" spans="2:22" x14ac:dyDescent="0.25">
      <c r="B184" s="84" t="s">
        <v>43</v>
      </c>
      <c r="C184" s="77">
        <v>0</v>
      </c>
      <c r="D184" s="77">
        <v>0</v>
      </c>
      <c r="E184" s="7"/>
      <c r="F184" s="7"/>
      <c r="G184" s="7"/>
      <c r="H184" s="7"/>
      <c r="I184" s="8"/>
      <c r="J184" s="8"/>
      <c r="K184" s="8"/>
      <c r="L184" s="8"/>
      <c r="M184" s="20"/>
      <c r="N184" s="20"/>
      <c r="O184" s="20"/>
      <c r="P184" s="20"/>
      <c r="Q184" s="9" t="s">
        <v>107</v>
      </c>
      <c r="R184" s="9" t="s">
        <v>310</v>
      </c>
      <c r="S184" s="9" t="s">
        <v>106</v>
      </c>
      <c r="T184" s="9" t="s">
        <v>111</v>
      </c>
      <c r="U184" s="9"/>
      <c r="V184" s="13" t="s">
        <v>110</v>
      </c>
    </row>
    <row r="185" spans="2:22" x14ac:dyDescent="0.25">
      <c r="B185" s="83"/>
      <c r="C185" s="78"/>
      <c r="D185" s="78"/>
      <c r="E185" s="7"/>
      <c r="F185" s="7"/>
      <c r="G185" s="7"/>
      <c r="H185" s="7"/>
      <c r="I185" s="8"/>
      <c r="J185" s="8"/>
      <c r="K185" s="8"/>
      <c r="L185" s="8"/>
      <c r="M185" s="20"/>
      <c r="N185" s="20"/>
      <c r="O185" s="20"/>
      <c r="P185" s="20"/>
      <c r="Q185" s="9" t="s">
        <v>232</v>
      </c>
      <c r="R185" s="9" t="s">
        <v>325</v>
      </c>
      <c r="S185" s="9" t="s">
        <v>126</v>
      </c>
      <c r="T185" s="9" t="s">
        <v>240</v>
      </c>
      <c r="U185" s="9"/>
      <c r="V185" s="13" t="s">
        <v>97</v>
      </c>
    </row>
    <row r="186" spans="2:22" x14ac:dyDescent="0.25">
      <c r="B186" s="84" t="s">
        <v>42</v>
      </c>
      <c r="C186" s="77">
        <v>0</v>
      </c>
      <c r="D186" s="77">
        <v>0</v>
      </c>
      <c r="E186" s="7"/>
      <c r="F186" s="7"/>
      <c r="G186" s="7"/>
      <c r="H186" s="7"/>
      <c r="I186" s="8"/>
      <c r="J186" s="8"/>
      <c r="K186" s="8"/>
      <c r="L186" s="8"/>
      <c r="M186" s="20"/>
      <c r="N186" s="20"/>
      <c r="O186" s="20"/>
      <c r="P186" s="20"/>
      <c r="Q186" s="9" t="s">
        <v>106</v>
      </c>
      <c r="R186" s="9" t="s">
        <v>140</v>
      </c>
      <c r="S186" s="9" t="s">
        <v>310</v>
      </c>
      <c r="T186" s="9" t="s">
        <v>137</v>
      </c>
      <c r="U186" s="9"/>
      <c r="V186" s="13" t="s">
        <v>186</v>
      </c>
    </row>
    <row r="187" spans="2:22" x14ac:dyDescent="0.25">
      <c r="B187" s="83"/>
      <c r="C187" s="78"/>
      <c r="D187" s="78"/>
      <c r="E187" s="7"/>
      <c r="F187" s="7"/>
      <c r="G187" s="7"/>
      <c r="H187" s="7"/>
      <c r="I187" s="8"/>
      <c r="J187" s="8"/>
      <c r="K187" s="8"/>
      <c r="L187" s="8"/>
      <c r="M187" s="20"/>
      <c r="N187" s="20"/>
      <c r="O187" s="20"/>
      <c r="P187" s="20"/>
      <c r="Q187" s="9" t="s">
        <v>126</v>
      </c>
      <c r="R187" s="9" t="s">
        <v>240</v>
      </c>
      <c r="S187" s="9" t="s">
        <v>325</v>
      </c>
      <c r="T187" s="9" t="s">
        <v>232</v>
      </c>
      <c r="U187" s="9"/>
      <c r="V187" s="13" t="s">
        <v>338</v>
      </c>
    </row>
    <row r="188" spans="2:22" x14ac:dyDescent="0.25">
      <c r="B188" s="2" t="s">
        <v>91</v>
      </c>
      <c r="C188" s="2">
        <f>SUM(C178:C187)</f>
        <v>3</v>
      </c>
      <c r="D188" s="2">
        <f>SUM(D178:D187)</f>
        <v>2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91" spans="2:22" x14ac:dyDescent="0.25">
      <c r="B191" s="11">
        <v>45848</v>
      </c>
      <c r="C191" s="10" t="s">
        <v>346</v>
      </c>
      <c r="D191" s="10" t="s">
        <v>347</v>
      </c>
      <c r="E191" s="80" t="s">
        <v>84</v>
      </c>
      <c r="F191" s="80"/>
      <c r="G191" s="80"/>
      <c r="H191" s="80"/>
      <c r="I191" s="81" t="s">
        <v>87</v>
      </c>
      <c r="J191" s="81"/>
      <c r="K191" s="81"/>
      <c r="L191" s="81"/>
      <c r="M191" s="82" t="s">
        <v>86</v>
      </c>
      <c r="N191" s="82"/>
      <c r="O191" s="82"/>
      <c r="P191" s="82"/>
      <c r="Q191" s="79" t="s">
        <v>80</v>
      </c>
      <c r="R191" s="79"/>
      <c r="S191" s="79"/>
      <c r="T191" s="79"/>
      <c r="U191" s="79"/>
      <c r="V191" s="79"/>
    </row>
    <row r="192" spans="2:22" x14ac:dyDescent="0.25">
      <c r="B192" s="84" t="s">
        <v>322</v>
      </c>
      <c r="C192" s="77">
        <v>1</v>
      </c>
      <c r="D192" s="77">
        <v>0</v>
      </c>
      <c r="E192" s="7" t="s">
        <v>99</v>
      </c>
      <c r="F192" s="7"/>
      <c r="G192" s="7"/>
      <c r="H192" s="7"/>
      <c r="I192" s="8" t="s">
        <v>112</v>
      </c>
      <c r="J192" s="8"/>
      <c r="K192" s="8"/>
      <c r="L192" s="8"/>
      <c r="M192" s="20" t="s">
        <v>99</v>
      </c>
      <c r="N192" s="20" t="s">
        <v>321</v>
      </c>
      <c r="O192" s="20" t="s">
        <v>208</v>
      </c>
      <c r="P192" s="20"/>
      <c r="Q192" s="9" t="s">
        <v>325</v>
      </c>
      <c r="R192" s="9" t="s">
        <v>216</v>
      </c>
      <c r="S192" s="9" t="s">
        <v>106</v>
      </c>
      <c r="T192" s="9" t="s">
        <v>117</v>
      </c>
      <c r="U192" s="9"/>
      <c r="V192" s="13" t="s">
        <v>341</v>
      </c>
    </row>
    <row r="193" spans="2:22" x14ac:dyDescent="0.25">
      <c r="B193" s="83"/>
      <c r="C193" s="78"/>
      <c r="D193" s="78"/>
      <c r="E193" s="7"/>
      <c r="F193" s="7"/>
      <c r="G193" s="7"/>
      <c r="H193" s="7"/>
      <c r="I193" s="8"/>
      <c r="J193" s="8"/>
      <c r="K193" s="8"/>
      <c r="L193" s="8"/>
      <c r="M193" s="20"/>
      <c r="N193" s="20"/>
      <c r="O193" s="20"/>
      <c r="P193" s="20"/>
      <c r="Q193" s="9"/>
      <c r="R193" s="9"/>
      <c r="S193" s="9"/>
      <c r="T193" s="9"/>
      <c r="U193" s="9"/>
      <c r="V193" s="13"/>
    </row>
    <row r="194" spans="2:22" x14ac:dyDescent="0.25">
      <c r="B194" s="84" t="s">
        <v>73</v>
      </c>
      <c r="C194" s="77">
        <v>1</v>
      </c>
      <c r="D194" s="77">
        <v>0</v>
      </c>
      <c r="E194" s="7" t="s">
        <v>100</v>
      </c>
      <c r="F194" s="7"/>
      <c r="G194" s="7"/>
      <c r="H194" s="7"/>
      <c r="I194" s="8"/>
      <c r="J194" s="8"/>
      <c r="K194" s="8"/>
      <c r="L194" s="8"/>
      <c r="M194" s="20" t="s">
        <v>112</v>
      </c>
      <c r="N194" s="20" t="s">
        <v>99</v>
      </c>
      <c r="O194" s="20" t="s">
        <v>97</v>
      </c>
      <c r="P194" s="20"/>
      <c r="Q194" s="9" t="s">
        <v>106</v>
      </c>
      <c r="R194" s="9" t="s">
        <v>216</v>
      </c>
      <c r="S194" s="9" t="s">
        <v>139</v>
      </c>
      <c r="T194" s="9" t="s">
        <v>341</v>
      </c>
      <c r="U194" s="9"/>
      <c r="V194" s="13" t="s">
        <v>251</v>
      </c>
    </row>
    <row r="195" spans="2:22" x14ac:dyDescent="0.25">
      <c r="B195" s="83"/>
      <c r="C195" s="78"/>
      <c r="D195" s="78"/>
      <c r="E195" s="7"/>
      <c r="F195" s="7"/>
      <c r="G195" s="7"/>
      <c r="H195" s="7"/>
      <c r="I195" s="8"/>
      <c r="J195" s="8"/>
      <c r="K195" s="8"/>
      <c r="L195" s="8"/>
      <c r="M195" s="20"/>
      <c r="N195" s="20"/>
      <c r="O195" s="20"/>
      <c r="P195" s="20"/>
      <c r="Q195" s="9"/>
      <c r="R195" s="9"/>
      <c r="S195" s="9"/>
      <c r="T195" s="9"/>
      <c r="U195" s="9"/>
      <c r="V195" s="13"/>
    </row>
    <row r="196" spans="2:22" x14ac:dyDescent="0.25">
      <c r="B196" s="84" t="s">
        <v>75</v>
      </c>
      <c r="C196" s="77">
        <v>1</v>
      </c>
      <c r="D196" s="77">
        <v>0</v>
      </c>
      <c r="E196" s="7" t="s">
        <v>110</v>
      </c>
      <c r="F196" s="7"/>
      <c r="G196" s="7"/>
      <c r="H196" s="7"/>
      <c r="I196" s="8" t="s">
        <v>208</v>
      </c>
      <c r="J196" s="8"/>
      <c r="K196" s="8"/>
      <c r="L196" s="8"/>
      <c r="M196" s="20" t="s">
        <v>243</v>
      </c>
      <c r="N196" s="20" t="s">
        <v>208</v>
      </c>
      <c r="O196" s="20" t="s">
        <v>137</v>
      </c>
      <c r="P196" s="20"/>
      <c r="Q196" s="9" t="s">
        <v>124</v>
      </c>
      <c r="R196" s="9" t="s">
        <v>186</v>
      </c>
      <c r="S196" s="9" t="s">
        <v>325</v>
      </c>
      <c r="T196" s="9" t="s">
        <v>241</v>
      </c>
      <c r="U196" s="9"/>
      <c r="V196" s="13" t="s">
        <v>240</v>
      </c>
    </row>
    <row r="197" spans="2:22" x14ac:dyDescent="0.25">
      <c r="B197" s="83"/>
      <c r="C197" s="78"/>
      <c r="D197" s="78"/>
      <c r="E197" s="7"/>
      <c r="F197" s="7"/>
      <c r="G197" s="7"/>
      <c r="H197" s="7"/>
      <c r="I197" s="8"/>
      <c r="J197" s="8"/>
      <c r="K197" s="8"/>
      <c r="L197" s="8"/>
      <c r="M197" s="20"/>
      <c r="N197" s="20"/>
      <c r="O197" s="20"/>
      <c r="P197" s="20"/>
      <c r="Q197" s="9"/>
      <c r="R197" s="9"/>
      <c r="S197" s="9"/>
      <c r="T197" s="9"/>
      <c r="U197" s="9"/>
      <c r="V197" s="13"/>
    </row>
    <row r="198" spans="2:22" x14ac:dyDescent="0.25">
      <c r="B198" s="84" t="s">
        <v>43</v>
      </c>
      <c r="C198" s="77">
        <v>1</v>
      </c>
      <c r="D198" s="77">
        <v>0</v>
      </c>
      <c r="E198" s="7" t="s">
        <v>137</v>
      </c>
      <c r="F198" s="7"/>
      <c r="G198" s="7"/>
      <c r="H198" s="7"/>
      <c r="I198" s="8" t="s">
        <v>99</v>
      </c>
      <c r="J198" s="8"/>
      <c r="K198" s="8"/>
      <c r="L198" s="8"/>
      <c r="M198" s="20" t="s">
        <v>99</v>
      </c>
      <c r="N198" s="20" t="s">
        <v>112</v>
      </c>
      <c r="O198" s="20" t="s">
        <v>321</v>
      </c>
      <c r="P198" s="20"/>
      <c r="Q198" s="9" t="s">
        <v>106</v>
      </c>
      <c r="R198" s="9" t="s">
        <v>179</v>
      </c>
      <c r="S198" s="9" t="s">
        <v>241</v>
      </c>
      <c r="T198" s="9" t="s">
        <v>309</v>
      </c>
      <c r="U198" s="9"/>
      <c r="V198" s="13" t="s">
        <v>344</v>
      </c>
    </row>
    <row r="199" spans="2:22" x14ac:dyDescent="0.25">
      <c r="B199" s="83"/>
      <c r="C199" s="78"/>
      <c r="D199" s="78"/>
      <c r="E199" s="7"/>
      <c r="F199" s="7"/>
      <c r="G199" s="7"/>
      <c r="H199" s="7"/>
      <c r="I199" s="8"/>
      <c r="J199" s="8"/>
      <c r="K199" s="8"/>
      <c r="L199" s="8"/>
      <c r="M199" s="20"/>
      <c r="N199" s="20"/>
      <c r="O199" s="20"/>
      <c r="P199" s="20"/>
      <c r="Q199" s="9"/>
      <c r="R199" s="9"/>
      <c r="S199" s="9"/>
      <c r="T199" s="9"/>
      <c r="U199" s="9"/>
      <c r="V199" s="13"/>
    </row>
    <row r="200" spans="2:22" x14ac:dyDescent="0.25">
      <c r="B200" s="84" t="s">
        <v>42</v>
      </c>
      <c r="C200" s="77">
        <v>1</v>
      </c>
      <c r="D200" s="77">
        <v>0</v>
      </c>
      <c r="E200" s="7" t="s">
        <v>179</v>
      </c>
      <c r="F200" s="7"/>
      <c r="G200" s="7"/>
      <c r="H200" s="7"/>
      <c r="I200" s="8"/>
      <c r="J200" s="8"/>
      <c r="K200" s="8"/>
      <c r="L200" s="8"/>
      <c r="M200" s="20" t="s">
        <v>105</v>
      </c>
      <c r="N200" s="20" t="s">
        <v>243</v>
      </c>
      <c r="O200" s="20" t="s">
        <v>208</v>
      </c>
      <c r="P200" s="20"/>
      <c r="Q200" s="9" t="s">
        <v>240</v>
      </c>
      <c r="R200" s="9" t="s">
        <v>341</v>
      </c>
      <c r="S200" s="9" t="s">
        <v>310</v>
      </c>
      <c r="T200" s="9" t="s">
        <v>186</v>
      </c>
      <c r="U200" s="9"/>
      <c r="V200" s="13" t="s">
        <v>251</v>
      </c>
    </row>
    <row r="201" spans="2:22" x14ac:dyDescent="0.25">
      <c r="B201" s="83"/>
      <c r="C201" s="78"/>
      <c r="D201" s="78"/>
      <c r="E201" s="7"/>
      <c r="F201" s="7"/>
      <c r="G201" s="7"/>
      <c r="H201" s="7"/>
      <c r="I201" s="8"/>
      <c r="J201" s="8"/>
      <c r="K201" s="8"/>
      <c r="L201" s="8"/>
      <c r="M201" s="20"/>
      <c r="N201" s="20"/>
      <c r="O201" s="20"/>
      <c r="P201" s="20"/>
      <c r="Q201" s="9"/>
      <c r="R201" s="9"/>
      <c r="S201" s="9"/>
      <c r="T201" s="9"/>
      <c r="U201" s="9"/>
      <c r="V201" s="13"/>
    </row>
    <row r="202" spans="2:22" x14ac:dyDescent="0.25">
      <c r="B202" s="2" t="s">
        <v>91</v>
      </c>
      <c r="C202" s="2">
        <f>SUM(C192:C201)</f>
        <v>5</v>
      </c>
      <c r="D202" s="2">
        <f>SUM(D192:D201)</f>
        <v>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5" spans="2:22" x14ac:dyDescent="0.25">
      <c r="B205" s="11">
        <v>45855</v>
      </c>
      <c r="C205" s="10" t="s">
        <v>323</v>
      </c>
      <c r="D205" s="10" t="s">
        <v>351</v>
      </c>
      <c r="E205" s="80" t="s">
        <v>84</v>
      </c>
      <c r="F205" s="80"/>
      <c r="G205" s="80"/>
      <c r="H205" s="80"/>
      <c r="I205" s="81" t="s">
        <v>87</v>
      </c>
      <c r="J205" s="81"/>
      <c r="K205" s="81"/>
      <c r="L205" s="81"/>
      <c r="M205" s="82" t="s">
        <v>86</v>
      </c>
      <c r="N205" s="82"/>
      <c r="O205" s="82"/>
      <c r="P205" s="82"/>
      <c r="Q205" s="79" t="s">
        <v>80</v>
      </c>
      <c r="R205" s="79"/>
      <c r="S205" s="79"/>
      <c r="T205" s="79"/>
      <c r="U205" s="79"/>
      <c r="V205" s="79"/>
    </row>
    <row r="206" spans="2:22" x14ac:dyDescent="0.25">
      <c r="B206" s="84" t="s">
        <v>322</v>
      </c>
      <c r="C206" s="77">
        <v>3</v>
      </c>
      <c r="D206" s="77">
        <v>0</v>
      </c>
      <c r="E206" s="7" t="s">
        <v>111</v>
      </c>
      <c r="F206" s="7" t="s">
        <v>111</v>
      </c>
      <c r="G206" s="7" t="s">
        <v>251</v>
      </c>
      <c r="H206" s="7"/>
      <c r="I206" s="8"/>
      <c r="J206" s="8" t="s">
        <v>251</v>
      </c>
      <c r="K206" s="8" t="s">
        <v>111</v>
      </c>
      <c r="L206" s="8"/>
      <c r="M206" s="20" t="s">
        <v>103</v>
      </c>
      <c r="N206" s="20" t="s">
        <v>99</v>
      </c>
      <c r="O206" s="20" t="s">
        <v>345</v>
      </c>
      <c r="P206" s="20"/>
      <c r="Q206" s="9" t="s">
        <v>206</v>
      </c>
      <c r="R206" s="9" t="s">
        <v>200</v>
      </c>
      <c r="S206" s="9" t="s">
        <v>219</v>
      </c>
      <c r="T206" s="9"/>
      <c r="U206" s="9"/>
      <c r="V206" s="13"/>
    </row>
    <row r="207" spans="2:22" x14ac:dyDescent="0.25">
      <c r="B207" s="83"/>
      <c r="C207" s="78"/>
      <c r="D207" s="78"/>
      <c r="E207" s="7"/>
      <c r="F207" s="7"/>
      <c r="G207" s="7"/>
      <c r="H207" s="7"/>
      <c r="I207" s="8"/>
      <c r="J207" s="8"/>
      <c r="K207" s="8"/>
      <c r="L207" s="8"/>
      <c r="M207" s="20"/>
      <c r="N207" s="20"/>
      <c r="O207" s="20"/>
      <c r="P207" s="20"/>
      <c r="Q207" s="9"/>
      <c r="R207" s="9"/>
      <c r="S207" s="9"/>
      <c r="T207" s="9"/>
      <c r="U207" s="9"/>
      <c r="V207" s="13"/>
    </row>
    <row r="208" spans="2:22" x14ac:dyDescent="0.25">
      <c r="B208" s="84" t="s">
        <v>73</v>
      </c>
      <c r="C208" s="77">
        <v>1</v>
      </c>
      <c r="D208" s="77">
        <v>1</v>
      </c>
      <c r="E208" s="7" t="s">
        <v>92</v>
      </c>
      <c r="F208" s="7"/>
      <c r="G208" s="7"/>
      <c r="H208" s="7"/>
      <c r="I208" s="8"/>
      <c r="J208" s="8"/>
      <c r="K208" s="8"/>
      <c r="L208" s="8"/>
      <c r="M208" s="20"/>
      <c r="N208" s="20"/>
      <c r="O208" s="20"/>
      <c r="P208" s="20"/>
      <c r="Q208" s="9"/>
      <c r="R208" s="9"/>
      <c r="S208" s="9"/>
      <c r="T208" s="9"/>
      <c r="U208" s="9"/>
      <c r="V208" s="13"/>
    </row>
    <row r="209" spans="2:22" x14ac:dyDescent="0.25">
      <c r="B209" s="83"/>
      <c r="C209" s="78"/>
      <c r="D209" s="78"/>
      <c r="E209" s="7" t="s">
        <v>243</v>
      </c>
      <c r="F209" s="7"/>
      <c r="G209" s="7"/>
      <c r="H209" s="7"/>
      <c r="I209" s="8" t="s">
        <v>125</v>
      </c>
      <c r="J209" s="8"/>
      <c r="K209" s="8"/>
      <c r="L209" s="8"/>
      <c r="M209" s="20"/>
      <c r="N209" s="20"/>
      <c r="O209" s="20"/>
      <c r="P209" s="20"/>
      <c r="Q209" s="9"/>
      <c r="R209" s="9"/>
      <c r="S209" s="9"/>
      <c r="T209" s="9"/>
      <c r="U209" s="9"/>
      <c r="V209" s="13"/>
    </row>
    <row r="210" spans="2:22" x14ac:dyDescent="0.25">
      <c r="B210" s="84" t="s">
        <v>75</v>
      </c>
      <c r="C210" s="77">
        <v>1</v>
      </c>
      <c r="D210" s="77">
        <v>0</v>
      </c>
      <c r="E210" s="7"/>
      <c r="F210" s="7"/>
      <c r="G210" s="7"/>
      <c r="H210" s="7"/>
      <c r="I210" s="8"/>
      <c r="J210" s="8"/>
      <c r="K210" s="8"/>
      <c r="L210" s="8"/>
      <c r="M210" s="20" t="s">
        <v>99</v>
      </c>
      <c r="N210" s="20"/>
      <c r="O210" s="20"/>
      <c r="P210" s="20"/>
      <c r="Q210" s="9" t="s">
        <v>206</v>
      </c>
      <c r="R210" s="9" t="s">
        <v>200</v>
      </c>
      <c r="S210" s="9" t="s">
        <v>345</v>
      </c>
      <c r="T210" s="9"/>
      <c r="U210" s="9"/>
      <c r="V210" s="13" t="s">
        <v>219</v>
      </c>
    </row>
    <row r="211" spans="2:22" x14ac:dyDescent="0.25">
      <c r="B211" s="83"/>
      <c r="C211" s="78"/>
      <c r="D211" s="78"/>
      <c r="E211" s="7"/>
      <c r="F211" s="7"/>
      <c r="G211" s="7"/>
      <c r="H211" s="7"/>
      <c r="I211" s="8"/>
      <c r="J211" s="8"/>
      <c r="K211" s="8"/>
      <c r="L211" s="8"/>
      <c r="M211" s="20"/>
      <c r="N211" s="20"/>
      <c r="O211" s="20"/>
      <c r="P211" s="20"/>
      <c r="Q211" s="9"/>
      <c r="R211" s="9"/>
      <c r="S211" s="9"/>
      <c r="T211" s="9"/>
      <c r="U211" s="9"/>
      <c r="V211" s="13"/>
    </row>
    <row r="212" spans="2:22" x14ac:dyDescent="0.25">
      <c r="B212" s="84" t="s">
        <v>43</v>
      </c>
      <c r="C212" s="77">
        <v>1</v>
      </c>
      <c r="D212" s="77">
        <v>0</v>
      </c>
      <c r="E212" s="7"/>
      <c r="F212" s="7"/>
      <c r="G212" s="7"/>
      <c r="H212" s="7"/>
      <c r="I212" s="8"/>
      <c r="J212" s="8"/>
      <c r="K212" s="8"/>
      <c r="L212" s="8"/>
      <c r="M212" s="20" t="s">
        <v>230</v>
      </c>
      <c r="N212" s="20" t="s">
        <v>352</v>
      </c>
      <c r="O212" s="20" t="s">
        <v>41</v>
      </c>
      <c r="P212" s="20"/>
      <c r="Q212" s="9" t="s">
        <v>219</v>
      </c>
      <c r="R212" s="9" t="s">
        <v>200</v>
      </c>
      <c r="S212" s="9" t="s">
        <v>206</v>
      </c>
      <c r="T212" s="9"/>
      <c r="U212" s="9"/>
      <c r="V212" s="13" t="s">
        <v>99</v>
      </c>
    </row>
    <row r="213" spans="2:22" x14ac:dyDescent="0.25">
      <c r="B213" s="83"/>
      <c r="C213" s="78"/>
      <c r="D213" s="78"/>
      <c r="E213" s="7"/>
      <c r="F213" s="7"/>
      <c r="G213" s="7"/>
      <c r="H213" s="7"/>
      <c r="I213" s="8"/>
      <c r="J213" s="8"/>
      <c r="K213" s="8"/>
      <c r="L213" s="8"/>
      <c r="M213" s="20"/>
      <c r="N213" s="20"/>
      <c r="O213" s="20"/>
      <c r="P213" s="20"/>
      <c r="Q213" s="9"/>
      <c r="R213" s="9"/>
      <c r="S213" s="9"/>
      <c r="T213" s="9"/>
      <c r="U213" s="9"/>
      <c r="V213" s="13"/>
    </row>
    <row r="214" spans="2:22" x14ac:dyDescent="0.25">
      <c r="B214" s="2" t="s">
        <v>91</v>
      </c>
      <c r="C214" s="2">
        <f>SUM(C206:C213)</f>
        <v>6</v>
      </c>
      <c r="D214" s="2">
        <f>SUM(D206:D213)</f>
        <v>1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7" spans="2:22" x14ac:dyDescent="0.25">
      <c r="B217" s="11">
        <v>45860</v>
      </c>
      <c r="C217" s="10" t="s">
        <v>346</v>
      </c>
      <c r="D217" s="10" t="s">
        <v>347</v>
      </c>
      <c r="E217" s="80" t="s">
        <v>84</v>
      </c>
      <c r="F217" s="80"/>
      <c r="G217" s="80"/>
      <c r="H217" s="80"/>
      <c r="I217" s="81" t="s">
        <v>87</v>
      </c>
      <c r="J217" s="81"/>
      <c r="K217" s="81"/>
      <c r="L217" s="81"/>
      <c r="M217" s="82" t="s">
        <v>86</v>
      </c>
      <c r="N217" s="82"/>
      <c r="O217" s="82"/>
      <c r="P217" s="82"/>
      <c r="Q217" s="79" t="s">
        <v>80</v>
      </c>
      <c r="R217" s="79"/>
      <c r="S217" s="79"/>
      <c r="T217" s="79"/>
      <c r="U217" s="79"/>
      <c r="V217" s="79"/>
    </row>
    <row r="218" spans="2:22" x14ac:dyDescent="0.25">
      <c r="B218" s="84" t="s">
        <v>322</v>
      </c>
      <c r="C218" s="77">
        <v>1</v>
      </c>
      <c r="D218" s="77">
        <v>1</v>
      </c>
      <c r="E218" s="7" t="s">
        <v>104</v>
      </c>
      <c r="F218" s="7"/>
      <c r="G218" s="7"/>
      <c r="H218" s="7"/>
      <c r="I218" s="8" t="s">
        <v>115</v>
      </c>
      <c r="J218" s="8"/>
      <c r="K218" s="8"/>
      <c r="L218" s="8"/>
      <c r="M218" s="20"/>
      <c r="N218" s="20"/>
      <c r="O218" s="20"/>
      <c r="P218" s="20"/>
      <c r="Q218" s="9"/>
      <c r="R218" s="9"/>
      <c r="S218" s="9"/>
      <c r="T218" s="9"/>
      <c r="U218" s="9"/>
      <c r="V218" s="13"/>
    </row>
    <row r="219" spans="2:22" x14ac:dyDescent="0.25">
      <c r="B219" s="83"/>
      <c r="C219" s="78"/>
      <c r="D219" s="78"/>
      <c r="E219" s="7" t="s">
        <v>111</v>
      </c>
      <c r="F219" s="7"/>
      <c r="G219" s="7"/>
      <c r="H219" s="7"/>
      <c r="I219" s="8" t="s">
        <v>120</v>
      </c>
      <c r="J219" s="8"/>
      <c r="K219" s="8"/>
      <c r="L219" s="8"/>
      <c r="M219" s="20"/>
      <c r="N219" s="20"/>
      <c r="O219" s="20"/>
      <c r="P219" s="20"/>
      <c r="Q219" s="9"/>
      <c r="R219" s="9"/>
      <c r="S219" s="9"/>
      <c r="T219" s="9"/>
      <c r="U219" s="9"/>
      <c r="V219" s="13"/>
    </row>
    <row r="220" spans="2:22" x14ac:dyDescent="0.25">
      <c r="B220" s="84" t="s">
        <v>73</v>
      </c>
      <c r="C220" s="77">
        <v>0</v>
      </c>
      <c r="D220" s="77">
        <v>0</v>
      </c>
      <c r="E220" s="7"/>
      <c r="F220" s="7"/>
      <c r="G220" s="7"/>
      <c r="H220" s="7"/>
      <c r="I220" s="8"/>
      <c r="J220" s="8"/>
      <c r="K220" s="8"/>
      <c r="L220" s="8"/>
      <c r="M220" s="20"/>
      <c r="N220" s="20"/>
      <c r="O220" s="20"/>
      <c r="P220" s="20"/>
      <c r="Q220" s="9" t="s">
        <v>139</v>
      </c>
      <c r="R220" s="9" t="s">
        <v>113</v>
      </c>
      <c r="S220" s="9" t="s">
        <v>207</v>
      </c>
      <c r="T220" s="9" t="s">
        <v>206</v>
      </c>
      <c r="U220" s="9"/>
      <c r="V220" s="13" t="s">
        <v>143</v>
      </c>
    </row>
    <row r="221" spans="2:22" x14ac:dyDescent="0.25">
      <c r="B221" s="83"/>
      <c r="C221" s="78"/>
      <c r="D221" s="78"/>
      <c r="E221" s="7"/>
      <c r="F221" s="7"/>
      <c r="G221" s="7"/>
      <c r="H221" s="7"/>
      <c r="I221" s="8"/>
      <c r="J221" s="8"/>
      <c r="K221" s="8"/>
      <c r="L221" s="8"/>
      <c r="M221" s="20"/>
      <c r="N221" s="20"/>
      <c r="O221" s="20"/>
      <c r="P221" s="20"/>
      <c r="Q221" s="9" t="s">
        <v>344</v>
      </c>
      <c r="R221" s="9" t="s">
        <v>251</v>
      </c>
      <c r="S221" s="9" t="s">
        <v>111</v>
      </c>
      <c r="T221" s="9" t="s">
        <v>320</v>
      </c>
      <c r="U221" s="9"/>
      <c r="V221" s="13" t="s">
        <v>166</v>
      </c>
    </row>
    <row r="222" spans="2:22" x14ac:dyDescent="0.25">
      <c r="B222" s="84" t="s">
        <v>75</v>
      </c>
      <c r="C222" s="77">
        <v>1</v>
      </c>
      <c r="D222" s="77">
        <v>1</v>
      </c>
      <c r="E222" s="7" t="s">
        <v>139</v>
      </c>
      <c r="F222" s="7"/>
      <c r="G222" s="7"/>
      <c r="H222" s="7"/>
      <c r="I222" s="8" t="s">
        <v>206</v>
      </c>
      <c r="J222" s="8"/>
      <c r="K222" s="8"/>
      <c r="L222" s="8"/>
      <c r="M222" s="20"/>
      <c r="N222" s="20"/>
      <c r="O222" s="20"/>
      <c r="P222" s="20"/>
      <c r="Q222" s="9"/>
      <c r="R222" s="9"/>
      <c r="S222" s="9"/>
      <c r="T222" s="9"/>
      <c r="U222" s="9"/>
      <c r="V222" s="13"/>
    </row>
    <row r="223" spans="2:22" x14ac:dyDescent="0.25">
      <c r="B223" s="83"/>
      <c r="C223" s="78"/>
      <c r="D223" s="78"/>
      <c r="E223" s="7" t="s">
        <v>251</v>
      </c>
      <c r="F223" s="7"/>
      <c r="G223" s="7"/>
      <c r="H223" s="7"/>
      <c r="I223" s="8" t="s">
        <v>111</v>
      </c>
      <c r="J223" s="8"/>
      <c r="K223" s="8"/>
      <c r="L223" s="8"/>
      <c r="M223" s="20"/>
      <c r="N223" s="20"/>
      <c r="O223" s="20"/>
      <c r="P223" s="20"/>
      <c r="Q223" s="9"/>
      <c r="R223" s="9"/>
      <c r="S223" s="9"/>
      <c r="T223" s="9"/>
      <c r="U223" s="9"/>
      <c r="V223" s="13"/>
    </row>
    <row r="224" spans="2:22" x14ac:dyDescent="0.25">
      <c r="B224" s="84" t="s">
        <v>43</v>
      </c>
      <c r="C224" s="77">
        <v>3</v>
      </c>
      <c r="D224" s="77">
        <v>0</v>
      </c>
      <c r="E224" s="7" t="s">
        <v>113</v>
      </c>
      <c r="F224" s="7" t="s">
        <v>113</v>
      </c>
      <c r="G224" s="7" t="s">
        <v>113</v>
      </c>
      <c r="H224" s="7"/>
      <c r="I224" s="8"/>
      <c r="J224" s="8" t="s">
        <v>115</v>
      </c>
      <c r="K224" s="8" t="s">
        <v>109</v>
      </c>
      <c r="L224" s="8"/>
      <c r="M224" s="20" t="s">
        <v>115</v>
      </c>
      <c r="N224" s="20" t="s">
        <v>109</v>
      </c>
      <c r="O224" s="20" t="s">
        <v>243</v>
      </c>
      <c r="P224" s="20"/>
      <c r="Q224" s="9" t="s">
        <v>207</v>
      </c>
      <c r="R224" s="9" t="s">
        <v>310</v>
      </c>
      <c r="S224" s="9" t="s">
        <v>139</v>
      </c>
      <c r="T224" s="9"/>
      <c r="U224" s="9"/>
      <c r="V224" s="13"/>
    </row>
    <row r="225" spans="2:22" x14ac:dyDescent="0.25">
      <c r="B225" s="83"/>
      <c r="C225" s="78"/>
      <c r="D225" s="78"/>
      <c r="E225" s="7"/>
      <c r="F225" s="7"/>
      <c r="G225" s="7"/>
      <c r="H225" s="7"/>
      <c r="I225" s="8"/>
      <c r="J225" s="8"/>
      <c r="K225" s="8"/>
      <c r="L225" s="8"/>
      <c r="M225" s="20"/>
      <c r="N225" s="20"/>
      <c r="O225" s="20"/>
      <c r="P225" s="20"/>
      <c r="Q225" s="9"/>
      <c r="R225" s="9"/>
      <c r="S225" s="9"/>
      <c r="T225" s="9"/>
      <c r="U225" s="9"/>
      <c r="V225" s="13"/>
    </row>
    <row r="226" spans="2:22" x14ac:dyDescent="0.25">
      <c r="B226" s="2" t="s">
        <v>91</v>
      </c>
      <c r="C226" s="2">
        <f>SUM(C218:C225)</f>
        <v>5</v>
      </c>
      <c r="D226" s="2">
        <f>SUM(D218:D225)</f>
        <v>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9" spans="2:22" x14ac:dyDescent="0.25">
      <c r="B229" s="11">
        <v>45862</v>
      </c>
      <c r="C229" s="10" t="s">
        <v>346</v>
      </c>
      <c r="D229" s="10" t="s">
        <v>347</v>
      </c>
      <c r="E229" s="80" t="s">
        <v>84</v>
      </c>
      <c r="F229" s="80"/>
      <c r="G229" s="80"/>
      <c r="H229" s="80"/>
      <c r="I229" s="81" t="s">
        <v>87</v>
      </c>
      <c r="J229" s="81"/>
      <c r="K229" s="81"/>
      <c r="L229" s="81"/>
      <c r="M229" s="82" t="s">
        <v>86</v>
      </c>
      <c r="N229" s="82"/>
      <c r="O229" s="82"/>
      <c r="P229" s="82"/>
      <c r="Q229" s="79" t="s">
        <v>80</v>
      </c>
      <c r="R229" s="79"/>
      <c r="S229" s="79"/>
      <c r="T229" s="79"/>
      <c r="U229" s="79"/>
      <c r="V229" s="79"/>
    </row>
    <row r="230" spans="2:22" x14ac:dyDescent="0.25">
      <c r="B230" s="84" t="s">
        <v>322</v>
      </c>
      <c r="C230" s="77">
        <v>1</v>
      </c>
      <c r="D230" s="77">
        <v>1</v>
      </c>
      <c r="E230" s="7" t="s">
        <v>139</v>
      </c>
      <c r="F230" s="7"/>
      <c r="G230" s="7"/>
      <c r="H230" s="7"/>
      <c r="I230" s="8" t="s">
        <v>206</v>
      </c>
      <c r="J230" s="8"/>
      <c r="K230" s="8"/>
      <c r="L230" s="8"/>
      <c r="M230" s="20"/>
      <c r="N230" s="20"/>
      <c r="O230" s="20"/>
      <c r="P230" s="20"/>
      <c r="Q230" s="9"/>
      <c r="R230" s="9"/>
      <c r="S230" s="9"/>
      <c r="T230" s="9"/>
      <c r="U230" s="9"/>
      <c r="V230" s="13"/>
    </row>
    <row r="231" spans="2:22" x14ac:dyDescent="0.25">
      <c r="B231" s="83"/>
      <c r="C231" s="78"/>
      <c r="D231" s="78"/>
      <c r="E231" s="7"/>
      <c r="F231" s="7"/>
      <c r="G231" s="7"/>
      <c r="H231" s="7"/>
      <c r="I231" s="8" t="s">
        <v>223</v>
      </c>
      <c r="J231" s="8"/>
      <c r="K231" s="8"/>
      <c r="L231" s="8"/>
      <c r="M231" s="20"/>
      <c r="N231" s="20"/>
      <c r="O231" s="20"/>
      <c r="P231" s="20"/>
      <c r="Q231" s="9"/>
      <c r="R231" s="9"/>
      <c r="S231" s="9"/>
      <c r="T231" s="9"/>
      <c r="U231" s="9"/>
      <c r="V231" s="13"/>
    </row>
    <row r="232" spans="2:22" x14ac:dyDescent="0.25">
      <c r="B232" s="84" t="s">
        <v>73</v>
      </c>
      <c r="C232" s="77">
        <v>3</v>
      </c>
      <c r="D232" s="77">
        <v>0</v>
      </c>
      <c r="E232" s="7" t="s">
        <v>320</v>
      </c>
      <c r="F232" s="7" t="s">
        <v>320</v>
      </c>
      <c r="G232" s="7" t="s">
        <v>105</v>
      </c>
      <c r="H232" s="7"/>
      <c r="I232" s="8" t="s">
        <v>110</v>
      </c>
      <c r="J232" s="8" t="s">
        <v>100</v>
      </c>
      <c r="K232" s="8"/>
      <c r="L232" s="8"/>
      <c r="M232" s="20" t="s">
        <v>99</v>
      </c>
      <c r="N232" s="20" t="s">
        <v>206</v>
      </c>
      <c r="O232" s="20" t="s">
        <v>105</v>
      </c>
      <c r="P232" s="20"/>
      <c r="Q232" s="9" t="s">
        <v>107</v>
      </c>
      <c r="R232" s="9" t="s">
        <v>325</v>
      </c>
      <c r="S232" s="9" t="s">
        <v>110</v>
      </c>
      <c r="T232" s="9" t="s">
        <v>94</v>
      </c>
      <c r="U232" s="9"/>
      <c r="V232" s="13" t="s">
        <v>113</v>
      </c>
    </row>
    <row r="233" spans="2:22" x14ac:dyDescent="0.25">
      <c r="B233" s="83"/>
      <c r="C233" s="78"/>
      <c r="D233" s="78"/>
      <c r="E233" s="7"/>
      <c r="F233" s="7"/>
      <c r="G233" s="7"/>
      <c r="H233" s="7"/>
      <c r="I233" s="8"/>
      <c r="J233" s="8"/>
      <c r="K233" s="8"/>
      <c r="L233" s="8"/>
      <c r="M233" s="20"/>
      <c r="N233" s="20"/>
      <c r="O233" s="20"/>
      <c r="P233" s="20"/>
      <c r="Q233" s="9"/>
      <c r="R233" s="9"/>
      <c r="S233" s="9"/>
      <c r="T233" s="9"/>
      <c r="U233" s="9"/>
      <c r="V233" s="13"/>
    </row>
    <row r="234" spans="2:22" x14ac:dyDescent="0.25">
      <c r="B234" s="84" t="s">
        <v>75</v>
      </c>
      <c r="C234" s="77">
        <v>0</v>
      </c>
      <c r="D234" s="77">
        <v>2</v>
      </c>
      <c r="E234" s="7"/>
      <c r="F234" s="7"/>
      <c r="G234" s="7"/>
      <c r="H234" s="7"/>
      <c r="I234" s="8" t="s">
        <v>142</v>
      </c>
      <c r="J234" s="8" t="s">
        <v>142</v>
      </c>
      <c r="K234" s="8"/>
      <c r="L234" s="8"/>
      <c r="M234" s="20" t="s">
        <v>344</v>
      </c>
      <c r="N234" s="20" t="s">
        <v>243</v>
      </c>
      <c r="O234" s="20" t="s">
        <v>218</v>
      </c>
      <c r="P234" s="20"/>
      <c r="Q234" s="9" t="s">
        <v>117</v>
      </c>
      <c r="R234" s="9" t="s">
        <v>186</v>
      </c>
      <c r="S234" s="9" t="s">
        <v>310</v>
      </c>
      <c r="T234" s="9" t="s">
        <v>353</v>
      </c>
      <c r="U234" s="9"/>
      <c r="V234" s="13" t="s">
        <v>166</v>
      </c>
    </row>
    <row r="235" spans="2:22" x14ac:dyDescent="0.25">
      <c r="B235" s="83"/>
      <c r="C235" s="78"/>
      <c r="D235" s="78"/>
      <c r="E235" s="7"/>
      <c r="F235" s="7"/>
      <c r="G235" s="7"/>
      <c r="H235" s="7"/>
      <c r="I235" s="8"/>
      <c r="J235" s="8"/>
      <c r="K235" s="8"/>
      <c r="L235" s="8"/>
      <c r="M235" s="20"/>
      <c r="N235" s="20"/>
      <c r="O235" s="20"/>
      <c r="P235" s="20"/>
      <c r="Q235" s="9"/>
      <c r="R235" s="9"/>
      <c r="S235" s="9"/>
      <c r="T235" s="9"/>
      <c r="U235" s="9"/>
      <c r="V235" s="13"/>
    </row>
    <row r="236" spans="2:22" x14ac:dyDescent="0.25">
      <c r="B236" s="84" t="s">
        <v>43</v>
      </c>
      <c r="C236" s="77">
        <v>4</v>
      </c>
      <c r="D236" s="77">
        <v>2</v>
      </c>
      <c r="E236" s="7"/>
      <c r="F236" s="7"/>
      <c r="G236" s="7"/>
      <c r="H236" s="7"/>
      <c r="I236" s="8" t="s">
        <v>223</v>
      </c>
      <c r="J236" s="8"/>
      <c r="K236" s="8"/>
      <c r="L236" s="8"/>
      <c r="M236" s="20"/>
      <c r="N236" s="20"/>
      <c r="O236" s="20"/>
      <c r="P236" s="20"/>
      <c r="Q236" s="9"/>
      <c r="R236" s="9"/>
      <c r="S236" s="9"/>
      <c r="T236" s="9"/>
      <c r="U236" s="9"/>
      <c r="V236" s="13"/>
    </row>
    <row r="237" spans="2:22" x14ac:dyDescent="0.25">
      <c r="B237" s="83"/>
      <c r="C237" s="78"/>
      <c r="D237" s="78"/>
      <c r="E237" s="7" t="s">
        <v>320</v>
      </c>
      <c r="F237" s="7" t="s">
        <v>110</v>
      </c>
      <c r="G237" s="7" t="s">
        <v>320</v>
      </c>
      <c r="H237" s="7" t="s">
        <v>139</v>
      </c>
      <c r="I237" s="8" t="s">
        <v>139</v>
      </c>
      <c r="J237" s="8" t="s">
        <v>99</v>
      </c>
      <c r="K237" s="8" t="s">
        <v>232</v>
      </c>
      <c r="L237" s="8" t="s">
        <v>99</v>
      </c>
      <c r="M237" s="20"/>
      <c r="N237" s="20"/>
      <c r="O237" s="20"/>
      <c r="P237" s="20"/>
      <c r="Q237" s="9"/>
      <c r="R237" s="9"/>
      <c r="S237" s="9"/>
      <c r="T237" s="9"/>
      <c r="U237" s="9"/>
      <c r="V237" s="13"/>
    </row>
    <row r="238" spans="2:22" x14ac:dyDescent="0.25">
      <c r="B238" s="2" t="s">
        <v>91</v>
      </c>
      <c r="C238" s="2">
        <f>SUM(C230:C237)</f>
        <v>8</v>
      </c>
      <c r="D238" s="2">
        <f>SUM(D230:D237)</f>
        <v>5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41" spans="2:22" x14ac:dyDescent="0.25">
      <c r="B241" s="11">
        <v>45869</v>
      </c>
      <c r="C241" s="10" t="s">
        <v>333</v>
      </c>
      <c r="D241" s="10" t="s">
        <v>354</v>
      </c>
      <c r="E241" s="80" t="s">
        <v>84</v>
      </c>
      <c r="F241" s="80"/>
      <c r="G241" s="80"/>
      <c r="H241" s="80"/>
      <c r="I241" s="81" t="s">
        <v>87</v>
      </c>
      <c r="J241" s="81"/>
      <c r="K241" s="81"/>
      <c r="L241" s="81"/>
      <c r="M241" s="82" t="s">
        <v>86</v>
      </c>
      <c r="N241" s="82"/>
      <c r="O241" s="82"/>
      <c r="P241" s="82"/>
      <c r="Q241" s="79" t="s">
        <v>80</v>
      </c>
      <c r="R241" s="79"/>
      <c r="S241" s="79"/>
      <c r="T241" s="79"/>
      <c r="U241" s="79"/>
      <c r="V241" s="79"/>
    </row>
    <row r="242" spans="2:22" x14ac:dyDescent="0.25">
      <c r="B242" s="84" t="s">
        <v>322</v>
      </c>
      <c r="C242" s="77">
        <v>1</v>
      </c>
      <c r="D242" s="77">
        <v>1</v>
      </c>
      <c r="E242" s="7" t="s">
        <v>206</v>
      </c>
      <c r="F242" s="7"/>
      <c r="G242" s="7"/>
      <c r="H242" s="7"/>
      <c r="I242" s="8"/>
      <c r="J242" s="8"/>
      <c r="K242" s="8"/>
      <c r="L242" s="8"/>
      <c r="M242" s="20"/>
      <c r="N242" s="20"/>
      <c r="O242" s="20"/>
      <c r="P242" s="20"/>
      <c r="Q242" s="9"/>
      <c r="R242" s="9"/>
      <c r="S242" s="9"/>
      <c r="T242" s="9"/>
      <c r="U242" s="9"/>
      <c r="V242" s="13"/>
    </row>
    <row r="243" spans="2:22" x14ac:dyDescent="0.25">
      <c r="B243" s="83"/>
      <c r="C243" s="78"/>
      <c r="D243" s="78"/>
      <c r="E243" s="7"/>
      <c r="F243" s="7"/>
      <c r="G243" s="7"/>
      <c r="H243" s="7"/>
      <c r="I243" s="8"/>
      <c r="J243" s="8"/>
      <c r="K243" s="8"/>
      <c r="L243" s="8"/>
      <c r="M243" s="20"/>
      <c r="N243" s="20"/>
      <c r="O243" s="20"/>
      <c r="P243" s="20"/>
      <c r="Q243" s="9"/>
      <c r="R243" s="9"/>
      <c r="S243" s="9"/>
      <c r="T243" s="9"/>
      <c r="U243" s="9"/>
      <c r="V243" s="13"/>
    </row>
    <row r="244" spans="2:22" x14ac:dyDescent="0.25">
      <c r="B244" s="84" t="s">
        <v>73</v>
      </c>
      <c r="C244" s="77">
        <v>2</v>
      </c>
      <c r="D244" s="77">
        <v>0</v>
      </c>
      <c r="E244" s="7" t="s">
        <v>100</v>
      </c>
      <c r="F244" s="7" t="s">
        <v>100</v>
      </c>
      <c r="G244" s="7"/>
      <c r="H244" s="7"/>
      <c r="I244" s="8" t="s">
        <v>179</v>
      </c>
      <c r="J244" s="8" t="s">
        <v>179</v>
      </c>
      <c r="K244" s="8"/>
      <c r="L244" s="8"/>
      <c r="M244" s="20" t="s">
        <v>338</v>
      </c>
      <c r="N244" s="20" t="s">
        <v>208</v>
      </c>
      <c r="O244" s="20" t="s">
        <v>104</v>
      </c>
      <c r="P244" s="20"/>
      <c r="Q244" s="9" t="s">
        <v>331</v>
      </c>
      <c r="R244" s="9" t="s">
        <v>240</v>
      </c>
      <c r="S244" s="9" t="s">
        <v>126</v>
      </c>
      <c r="T244" s="9" t="s">
        <v>223</v>
      </c>
      <c r="U244" s="9"/>
      <c r="V244" s="13" t="s">
        <v>249</v>
      </c>
    </row>
    <row r="245" spans="2:22" x14ac:dyDescent="0.25">
      <c r="B245" s="83"/>
      <c r="C245" s="78"/>
      <c r="D245" s="78"/>
      <c r="E245" s="7"/>
      <c r="F245" s="7"/>
      <c r="G245" s="7"/>
      <c r="H245" s="7"/>
      <c r="I245" s="8"/>
      <c r="J245" s="8"/>
      <c r="K245" s="8"/>
      <c r="L245" s="8"/>
      <c r="M245" s="20"/>
      <c r="N245" s="20"/>
      <c r="O245" s="20"/>
      <c r="P245" s="20"/>
      <c r="Q245" s="9"/>
      <c r="R245" s="9"/>
      <c r="S245" s="9"/>
      <c r="T245" s="9"/>
      <c r="U245" s="9"/>
      <c r="V245" s="13"/>
    </row>
    <row r="246" spans="2:22" x14ac:dyDescent="0.25">
      <c r="B246" s="84" t="s">
        <v>75</v>
      </c>
      <c r="C246" s="77">
        <v>0</v>
      </c>
      <c r="D246" s="77">
        <v>0</v>
      </c>
      <c r="E246" s="7"/>
      <c r="F246" s="7"/>
      <c r="G246" s="7"/>
      <c r="H246" s="7"/>
      <c r="I246" s="8"/>
      <c r="J246" s="8"/>
      <c r="K246" s="8"/>
      <c r="L246" s="8"/>
      <c r="M246" s="20"/>
      <c r="N246" s="20"/>
      <c r="O246" s="20"/>
      <c r="P246" s="20"/>
      <c r="Q246" s="9" t="s">
        <v>325</v>
      </c>
      <c r="R246" s="9" t="s">
        <v>179</v>
      </c>
      <c r="S246" s="9" t="s">
        <v>94</v>
      </c>
      <c r="T246" s="9" t="s">
        <v>105</v>
      </c>
      <c r="U246" s="9"/>
      <c r="V246" s="13" t="s">
        <v>251</v>
      </c>
    </row>
    <row r="247" spans="2:22" x14ac:dyDescent="0.25">
      <c r="B247" s="83"/>
      <c r="C247" s="78"/>
      <c r="D247" s="78"/>
      <c r="E247" s="7"/>
      <c r="F247" s="7"/>
      <c r="G247" s="7"/>
      <c r="H247" s="7"/>
      <c r="I247" s="8"/>
      <c r="J247" s="8"/>
      <c r="K247" s="8"/>
      <c r="L247" s="8"/>
      <c r="M247" s="20"/>
      <c r="N247" s="20"/>
      <c r="O247" s="20"/>
      <c r="P247" s="20"/>
      <c r="Q247" s="9"/>
      <c r="R247" s="9"/>
      <c r="S247" s="9"/>
      <c r="T247" s="9"/>
      <c r="U247" s="9"/>
      <c r="V247" s="13"/>
    </row>
    <row r="248" spans="2:22" x14ac:dyDescent="0.25">
      <c r="B248" s="84" t="s">
        <v>43</v>
      </c>
      <c r="C248" s="77">
        <v>0</v>
      </c>
      <c r="D248" s="77">
        <v>3</v>
      </c>
      <c r="E248" s="7"/>
      <c r="F248" s="7"/>
      <c r="G248" s="7"/>
      <c r="H248" s="7"/>
      <c r="I248" s="8"/>
      <c r="J248" s="8"/>
      <c r="K248" s="8"/>
      <c r="L248" s="8"/>
      <c r="M248" s="20"/>
      <c r="N248" s="20"/>
      <c r="O248" s="20"/>
      <c r="P248" s="20"/>
      <c r="Q248" s="9"/>
      <c r="R248" s="9"/>
      <c r="S248" s="9"/>
      <c r="T248" s="9"/>
      <c r="U248" s="9"/>
      <c r="V248" s="13"/>
    </row>
    <row r="249" spans="2:22" x14ac:dyDescent="0.25">
      <c r="B249" s="83"/>
      <c r="C249" s="78"/>
      <c r="D249" s="78"/>
      <c r="E249" s="7"/>
      <c r="F249" s="7"/>
      <c r="G249" s="7"/>
      <c r="H249" s="7"/>
      <c r="I249" s="8"/>
      <c r="J249" s="8"/>
      <c r="K249" s="8"/>
      <c r="L249" s="8"/>
      <c r="M249" s="20"/>
      <c r="N249" s="20"/>
      <c r="O249" s="20"/>
      <c r="P249" s="20"/>
      <c r="Q249" s="9"/>
      <c r="R249" s="9"/>
      <c r="S249" s="9"/>
      <c r="T249" s="9"/>
      <c r="U249" s="9"/>
      <c r="V249" s="13"/>
    </row>
    <row r="250" spans="2:22" x14ac:dyDescent="0.25">
      <c r="B250" s="2" t="s">
        <v>91</v>
      </c>
      <c r="C250" s="2">
        <f>SUM(C242:C249)</f>
        <v>3</v>
      </c>
      <c r="D250" s="2">
        <f>SUM(D242:D249)</f>
        <v>4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3" spans="2:22" x14ac:dyDescent="0.25">
      <c r="B253" s="11">
        <v>45876</v>
      </c>
      <c r="C253" s="10" t="s">
        <v>351</v>
      </c>
      <c r="D253" s="10" t="s">
        <v>359</v>
      </c>
      <c r="E253" s="80" t="s">
        <v>84</v>
      </c>
      <c r="F253" s="80"/>
      <c r="G253" s="80"/>
      <c r="H253" s="80"/>
      <c r="I253" s="81" t="s">
        <v>87</v>
      </c>
      <c r="J253" s="81"/>
      <c r="K253" s="81"/>
      <c r="L253" s="81"/>
      <c r="M253" s="82" t="s">
        <v>86</v>
      </c>
      <c r="N253" s="82"/>
      <c r="O253" s="82"/>
      <c r="P253" s="82"/>
      <c r="Q253" s="79" t="s">
        <v>80</v>
      </c>
      <c r="R253" s="79"/>
      <c r="S253" s="79"/>
      <c r="T253" s="79"/>
      <c r="U253" s="79"/>
      <c r="V253" s="79"/>
    </row>
    <row r="254" spans="2:22" x14ac:dyDescent="0.25">
      <c r="B254" s="84" t="s">
        <v>322</v>
      </c>
      <c r="C254" s="77">
        <v>2</v>
      </c>
      <c r="D254" s="77">
        <v>1</v>
      </c>
      <c r="E254" s="7" t="s">
        <v>105</v>
      </c>
      <c r="F254" s="7" t="s">
        <v>100</v>
      </c>
      <c r="G254" s="7"/>
      <c r="H254" s="7"/>
      <c r="I254" s="8" t="s">
        <v>218</v>
      </c>
      <c r="J254" s="8" t="s">
        <v>344</v>
      </c>
      <c r="K254" s="8"/>
      <c r="L254" s="8"/>
      <c r="M254" s="20"/>
      <c r="N254" s="20"/>
      <c r="O254" s="20"/>
      <c r="P254" s="20"/>
      <c r="Q254" s="9"/>
      <c r="R254" s="9"/>
      <c r="S254" s="9"/>
      <c r="T254" s="9"/>
      <c r="U254" s="9"/>
      <c r="V254" s="13"/>
    </row>
    <row r="255" spans="2:22" x14ac:dyDescent="0.25">
      <c r="B255" s="83"/>
      <c r="C255" s="78"/>
      <c r="D255" s="78"/>
      <c r="E255" s="7" t="s">
        <v>320</v>
      </c>
      <c r="F255" s="7"/>
      <c r="G255" s="7"/>
      <c r="H255" s="7"/>
      <c r="I255" s="8" t="s">
        <v>112</v>
      </c>
      <c r="J255" s="8"/>
      <c r="K255" s="8"/>
      <c r="L255" s="8"/>
      <c r="M255" s="20"/>
      <c r="N255" s="20"/>
      <c r="O255" s="20"/>
      <c r="P255" s="20"/>
      <c r="Q255" s="9"/>
      <c r="R255" s="9"/>
      <c r="S255" s="9"/>
      <c r="T255" s="9"/>
      <c r="U255" s="9"/>
      <c r="V255" s="13"/>
    </row>
    <row r="256" spans="2:22" x14ac:dyDescent="0.25">
      <c r="B256" s="84" t="s">
        <v>73</v>
      </c>
      <c r="C256" s="77">
        <v>3</v>
      </c>
      <c r="D256" s="77">
        <v>2</v>
      </c>
      <c r="E256" s="7" t="s">
        <v>218</v>
      </c>
      <c r="F256" s="7" t="s">
        <v>342</v>
      </c>
      <c r="G256" s="7" t="s">
        <v>218</v>
      </c>
      <c r="H256" s="7"/>
      <c r="I256" s="8"/>
      <c r="J256" s="8"/>
      <c r="K256" s="8"/>
      <c r="L256" s="8"/>
      <c r="M256" s="20"/>
      <c r="N256" s="20"/>
      <c r="O256" s="20"/>
      <c r="P256" s="20"/>
      <c r="Q256" s="9"/>
      <c r="R256" s="9"/>
      <c r="S256" s="9"/>
      <c r="T256" s="9"/>
      <c r="U256" s="9"/>
      <c r="V256" s="13"/>
    </row>
    <row r="257" spans="2:22" x14ac:dyDescent="0.25">
      <c r="B257" s="83"/>
      <c r="C257" s="78"/>
      <c r="D257" s="78"/>
      <c r="E257" s="7" t="s">
        <v>355</v>
      </c>
      <c r="F257" s="7" t="s">
        <v>103</v>
      </c>
      <c r="G257" s="7"/>
      <c r="H257" s="7"/>
      <c r="I257" s="8"/>
      <c r="J257" s="8" t="s">
        <v>113</v>
      </c>
      <c r="K257" s="8"/>
      <c r="L257" s="8"/>
      <c r="M257" s="20"/>
      <c r="N257" s="20"/>
      <c r="O257" s="20"/>
      <c r="P257" s="20"/>
      <c r="Q257" s="9"/>
      <c r="R257" s="9"/>
      <c r="S257" s="9"/>
      <c r="T257" s="9"/>
      <c r="U257" s="9"/>
      <c r="V257" s="13"/>
    </row>
    <row r="258" spans="2:22" x14ac:dyDescent="0.25">
      <c r="B258" s="84" t="s">
        <v>75</v>
      </c>
      <c r="C258" s="77">
        <v>0</v>
      </c>
      <c r="D258" s="77">
        <v>1</v>
      </c>
      <c r="E258" s="7"/>
      <c r="F258" s="7"/>
      <c r="G258" s="7"/>
      <c r="H258" s="7"/>
      <c r="I258" s="8"/>
      <c r="J258" s="8"/>
      <c r="K258" s="8"/>
      <c r="L258" s="8"/>
      <c r="M258" s="20"/>
      <c r="N258" s="20"/>
      <c r="O258" s="20"/>
      <c r="P258" s="20"/>
      <c r="Q258" s="9"/>
      <c r="R258" s="9"/>
      <c r="S258" s="9"/>
      <c r="T258" s="9"/>
      <c r="U258" s="9"/>
      <c r="V258" s="13"/>
    </row>
    <row r="259" spans="2:22" x14ac:dyDescent="0.25">
      <c r="B259" s="83"/>
      <c r="C259" s="78"/>
      <c r="D259" s="78"/>
      <c r="E259" s="7" t="s">
        <v>113</v>
      </c>
      <c r="F259" s="7"/>
      <c r="G259" s="7"/>
      <c r="H259" s="7"/>
      <c r="I259" s="8" t="s">
        <v>179</v>
      </c>
      <c r="J259" s="8"/>
      <c r="K259" s="8"/>
      <c r="L259" s="8"/>
      <c r="M259" s="20" t="s">
        <v>179</v>
      </c>
      <c r="N259" s="20" t="s">
        <v>113</v>
      </c>
      <c r="O259" s="20" t="s">
        <v>98</v>
      </c>
      <c r="P259" s="20"/>
      <c r="Q259" s="9" t="s">
        <v>107</v>
      </c>
      <c r="R259" s="9" t="s">
        <v>103</v>
      </c>
      <c r="S259" s="9" t="s">
        <v>141</v>
      </c>
      <c r="T259" s="9" t="s">
        <v>97</v>
      </c>
      <c r="U259" s="9"/>
      <c r="V259" s="13" t="s">
        <v>310</v>
      </c>
    </row>
    <row r="260" spans="2:22" x14ac:dyDescent="0.25">
      <c r="B260" s="84" t="s">
        <v>43</v>
      </c>
      <c r="C260" s="77">
        <v>0</v>
      </c>
      <c r="D260" s="77">
        <v>0</v>
      </c>
      <c r="E260" s="7"/>
      <c r="F260" s="7"/>
      <c r="G260" s="7"/>
      <c r="H260" s="7"/>
      <c r="I260" s="8"/>
      <c r="J260" s="8"/>
      <c r="K260" s="8"/>
      <c r="L260" s="8"/>
      <c r="M260" s="20"/>
      <c r="N260" s="20"/>
      <c r="O260" s="20"/>
      <c r="P260" s="20"/>
      <c r="Q260" s="9" t="s">
        <v>342</v>
      </c>
      <c r="R260" s="9" t="s">
        <v>218</v>
      </c>
      <c r="S260" s="9" t="s">
        <v>138</v>
      </c>
      <c r="T260" s="9" t="s">
        <v>208</v>
      </c>
      <c r="U260" s="9"/>
      <c r="V260" s="13"/>
    </row>
    <row r="261" spans="2:22" x14ac:dyDescent="0.25">
      <c r="B261" s="83"/>
      <c r="C261" s="78"/>
      <c r="D261" s="78"/>
      <c r="E261" s="7"/>
      <c r="F261" s="7"/>
      <c r="G261" s="7"/>
      <c r="H261" s="7"/>
      <c r="I261" s="8"/>
      <c r="J261" s="8"/>
      <c r="K261" s="8"/>
      <c r="L261" s="8"/>
      <c r="M261" s="20"/>
      <c r="N261" s="20"/>
      <c r="O261" s="20"/>
      <c r="P261" s="20"/>
      <c r="Q261" s="9" t="s">
        <v>105</v>
      </c>
      <c r="R261" s="9" t="s">
        <v>112</v>
      </c>
      <c r="S261" s="9" t="s">
        <v>243</v>
      </c>
      <c r="T261" s="9" t="s">
        <v>355</v>
      </c>
      <c r="U261" s="9"/>
      <c r="V261" s="13"/>
    </row>
    <row r="262" spans="2:22" x14ac:dyDescent="0.25">
      <c r="B262" s="84" t="s">
        <v>167</v>
      </c>
      <c r="C262" s="77">
        <v>3</v>
      </c>
      <c r="D262" s="77">
        <v>2</v>
      </c>
      <c r="E262" s="7" t="s">
        <v>100</v>
      </c>
      <c r="F262" s="7" t="s">
        <v>100</v>
      </c>
      <c r="G262" s="7" t="s">
        <v>208</v>
      </c>
      <c r="H262" s="7"/>
      <c r="I262" s="8" t="s">
        <v>344</v>
      </c>
      <c r="J262" s="8" t="s">
        <v>243</v>
      </c>
      <c r="K262" s="8"/>
      <c r="L262" s="8"/>
      <c r="M262" s="20"/>
      <c r="N262" s="20"/>
      <c r="O262" s="20"/>
      <c r="P262" s="20"/>
      <c r="Q262" s="9"/>
      <c r="R262" s="9"/>
      <c r="S262" s="9"/>
      <c r="T262" s="9"/>
      <c r="U262" s="9"/>
      <c r="V262" s="13"/>
    </row>
    <row r="263" spans="2:22" x14ac:dyDescent="0.25">
      <c r="B263" s="83"/>
      <c r="C263" s="78"/>
      <c r="D263" s="78"/>
      <c r="E263" s="7" t="s">
        <v>113</v>
      </c>
      <c r="F263" s="7" t="s">
        <v>103</v>
      </c>
      <c r="G263" s="7"/>
      <c r="H263" s="7"/>
      <c r="I263" s="8" t="s">
        <v>97</v>
      </c>
      <c r="J263" s="8"/>
      <c r="K263" s="8"/>
      <c r="L263" s="8"/>
      <c r="M263" s="20"/>
      <c r="N263" s="20"/>
      <c r="O263" s="20"/>
      <c r="P263" s="20"/>
      <c r="Q263" s="9"/>
      <c r="R263" s="9"/>
      <c r="S263" s="9"/>
      <c r="T263" s="9"/>
      <c r="U263" s="9"/>
      <c r="V263" s="13"/>
    </row>
    <row r="264" spans="2:22" x14ac:dyDescent="0.25">
      <c r="B264" s="84" t="s">
        <v>358</v>
      </c>
      <c r="C264" s="77">
        <v>4</v>
      </c>
      <c r="D264" s="77">
        <v>2</v>
      </c>
      <c r="E264" s="7" t="s">
        <v>179</v>
      </c>
      <c r="F264" s="7" t="s">
        <v>179</v>
      </c>
      <c r="G264" s="7" t="s">
        <v>179</v>
      </c>
      <c r="H264" s="7" t="s">
        <v>99</v>
      </c>
      <c r="I264" s="8" t="s">
        <v>218</v>
      </c>
      <c r="J264" s="8" t="s">
        <v>99</v>
      </c>
      <c r="K264" s="8" t="s">
        <v>355</v>
      </c>
      <c r="L264" s="8" t="s">
        <v>241</v>
      </c>
      <c r="M264" s="20"/>
      <c r="N264" s="20"/>
      <c r="O264" s="20"/>
      <c r="P264" s="20"/>
      <c r="Q264" s="9"/>
      <c r="R264" s="9"/>
      <c r="S264" s="9"/>
      <c r="T264" s="9"/>
      <c r="U264" s="9"/>
      <c r="V264" s="13"/>
    </row>
    <row r="265" spans="2:22" x14ac:dyDescent="0.25">
      <c r="B265" s="83"/>
      <c r="C265" s="78"/>
      <c r="D265" s="78"/>
      <c r="E265" s="7" t="s">
        <v>104</v>
      </c>
      <c r="F265" s="7" t="s">
        <v>113</v>
      </c>
      <c r="G265" s="7"/>
      <c r="H265" s="7"/>
      <c r="I265" s="8"/>
      <c r="J265" s="8" t="s">
        <v>104</v>
      </c>
      <c r="K265" s="8"/>
      <c r="L265" s="8"/>
      <c r="M265" s="20"/>
      <c r="N265" s="20"/>
      <c r="O265" s="20"/>
      <c r="P265" s="20"/>
      <c r="Q265" s="9"/>
      <c r="R265" s="9"/>
      <c r="S265" s="9"/>
      <c r="T265" s="9"/>
      <c r="U265" s="9"/>
      <c r="V265" s="13"/>
    </row>
    <row r="266" spans="2:22" x14ac:dyDescent="0.25">
      <c r="B266" s="2" t="s">
        <v>91</v>
      </c>
      <c r="C266" s="2">
        <f>SUM(C254:C265)</f>
        <v>12</v>
      </c>
      <c r="D266" s="2">
        <f>SUM(D254:D265)</f>
        <v>8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9" spans="2:22" x14ac:dyDescent="0.25">
      <c r="B269" s="11">
        <v>45883</v>
      </c>
      <c r="C269" s="10" t="s">
        <v>346</v>
      </c>
      <c r="D269" s="10" t="s">
        <v>347</v>
      </c>
      <c r="E269" s="80" t="s">
        <v>84</v>
      </c>
      <c r="F269" s="80"/>
      <c r="G269" s="80"/>
      <c r="H269" s="80"/>
      <c r="I269" s="81" t="s">
        <v>87</v>
      </c>
      <c r="J269" s="81"/>
      <c r="K269" s="81"/>
      <c r="L269" s="81"/>
      <c r="M269" s="82" t="s">
        <v>86</v>
      </c>
      <c r="N269" s="82"/>
      <c r="O269" s="82"/>
      <c r="P269" s="82"/>
      <c r="Q269" s="79" t="s">
        <v>80</v>
      </c>
      <c r="R269" s="79"/>
      <c r="S269" s="79"/>
      <c r="T269" s="79"/>
      <c r="U269" s="79"/>
      <c r="V269" s="79"/>
    </row>
    <row r="270" spans="2:22" x14ac:dyDescent="0.25">
      <c r="B270" s="84" t="s">
        <v>322</v>
      </c>
      <c r="C270" s="77">
        <v>2</v>
      </c>
      <c r="D270" s="77">
        <v>0</v>
      </c>
      <c r="E270" s="7" t="s">
        <v>251</v>
      </c>
      <c r="F270" s="7" t="s">
        <v>251</v>
      </c>
      <c r="G270" s="7"/>
      <c r="H270" s="7"/>
      <c r="I270" s="8" t="s">
        <v>355</v>
      </c>
      <c r="J270" s="8" t="s">
        <v>355</v>
      </c>
      <c r="K270" s="8"/>
      <c r="L270" s="8"/>
      <c r="M270" s="20" t="s">
        <v>320</v>
      </c>
      <c r="N270" s="20" t="s">
        <v>99</v>
      </c>
      <c r="O270" s="20" t="s">
        <v>218</v>
      </c>
      <c r="P270" s="20"/>
      <c r="Q270" s="9" t="s">
        <v>207</v>
      </c>
      <c r="R270" s="9" t="s">
        <v>206</v>
      </c>
      <c r="S270" s="9" t="s">
        <v>105</v>
      </c>
      <c r="T270" s="9" t="s">
        <v>200</v>
      </c>
      <c r="U270" s="9"/>
      <c r="V270" s="13" t="s">
        <v>111</v>
      </c>
    </row>
    <row r="271" spans="2:22" x14ac:dyDescent="0.25">
      <c r="B271" s="83"/>
      <c r="C271" s="78"/>
      <c r="D271" s="78"/>
      <c r="E271" s="7"/>
      <c r="F271" s="7"/>
      <c r="G271" s="7"/>
      <c r="H271" s="7"/>
      <c r="I271" s="8"/>
      <c r="J271" s="8"/>
      <c r="K271" s="8"/>
      <c r="L271" s="8"/>
      <c r="M271" s="20"/>
      <c r="N271" s="20"/>
      <c r="O271" s="20"/>
      <c r="P271" s="20"/>
      <c r="Q271" s="9"/>
      <c r="R271" s="9"/>
      <c r="S271" s="9"/>
      <c r="T271" s="9"/>
      <c r="U271" s="9"/>
      <c r="V271" s="13"/>
    </row>
    <row r="272" spans="2:22" x14ac:dyDescent="0.25">
      <c r="B272" s="84" t="s">
        <v>73</v>
      </c>
      <c r="C272" s="77">
        <v>1</v>
      </c>
      <c r="D272" s="77">
        <v>1</v>
      </c>
      <c r="E272" s="7" t="s">
        <v>251</v>
      </c>
      <c r="F272" s="7"/>
      <c r="G272" s="7"/>
      <c r="H272" s="7"/>
      <c r="I272" s="8" t="s">
        <v>207</v>
      </c>
      <c r="J272" s="8"/>
      <c r="K272" s="8"/>
      <c r="L272" s="8"/>
      <c r="M272" s="20"/>
      <c r="N272" s="20"/>
      <c r="O272" s="20"/>
      <c r="P272" s="20"/>
      <c r="Q272" s="9"/>
      <c r="R272" s="9"/>
      <c r="S272" s="9"/>
      <c r="T272" s="9"/>
      <c r="U272" s="9"/>
      <c r="V272" s="13"/>
    </row>
    <row r="273" spans="2:22" x14ac:dyDescent="0.25">
      <c r="B273" s="83"/>
      <c r="C273" s="78"/>
      <c r="D273" s="78"/>
      <c r="E273" s="7" t="s">
        <v>179</v>
      </c>
      <c r="F273" s="7"/>
      <c r="G273" s="7"/>
      <c r="H273" s="7"/>
      <c r="I273" s="8" t="s">
        <v>139</v>
      </c>
      <c r="J273" s="8"/>
      <c r="K273" s="8"/>
      <c r="L273" s="8"/>
      <c r="M273" s="20"/>
      <c r="N273" s="20"/>
      <c r="O273" s="20"/>
      <c r="P273" s="20"/>
      <c r="Q273" s="9"/>
      <c r="R273" s="9"/>
      <c r="S273" s="9"/>
      <c r="T273" s="9"/>
      <c r="U273" s="9"/>
      <c r="V273" s="13"/>
    </row>
    <row r="274" spans="2:22" x14ac:dyDescent="0.25">
      <c r="B274" s="84" t="s">
        <v>75</v>
      </c>
      <c r="C274" s="77">
        <v>0</v>
      </c>
      <c r="D274" s="77">
        <v>0</v>
      </c>
      <c r="E274" s="7"/>
      <c r="F274" s="7"/>
      <c r="G274" s="7"/>
      <c r="H274" s="7"/>
      <c r="I274" s="8"/>
      <c r="J274" s="8"/>
      <c r="K274" s="8"/>
      <c r="L274" s="8"/>
      <c r="M274" s="20"/>
      <c r="N274" s="20"/>
      <c r="O274" s="20"/>
      <c r="P274" s="20"/>
      <c r="Q274" s="9" t="s">
        <v>207</v>
      </c>
      <c r="R274" s="9" t="s">
        <v>100</v>
      </c>
      <c r="S274" s="9" t="s">
        <v>94</v>
      </c>
      <c r="T274" s="9" t="s">
        <v>218</v>
      </c>
      <c r="U274" s="9"/>
      <c r="V274" s="13" t="s">
        <v>251</v>
      </c>
    </row>
    <row r="275" spans="2:22" x14ac:dyDescent="0.25">
      <c r="B275" s="83"/>
      <c r="C275" s="78"/>
      <c r="D275" s="78"/>
      <c r="E275" s="7"/>
      <c r="F275" s="7"/>
      <c r="G275" s="7"/>
      <c r="H275" s="7"/>
      <c r="I275" s="8"/>
      <c r="J275" s="8"/>
      <c r="K275" s="8"/>
      <c r="L275" s="8"/>
      <c r="M275" s="20"/>
      <c r="N275" s="20"/>
      <c r="O275" s="20"/>
      <c r="P275" s="20"/>
      <c r="Q275" s="9" t="s">
        <v>179</v>
      </c>
      <c r="R275" s="9" t="s">
        <v>357</v>
      </c>
      <c r="S275" s="9" t="s">
        <v>120</v>
      </c>
      <c r="T275" s="9" t="s">
        <v>124</v>
      </c>
      <c r="U275" s="9"/>
      <c r="V275" s="13" t="s">
        <v>243</v>
      </c>
    </row>
    <row r="276" spans="2:22" x14ac:dyDescent="0.25">
      <c r="B276" s="84" t="s">
        <v>43</v>
      </c>
      <c r="C276" s="77">
        <v>2</v>
      </c>
      <c r="D276" s="77">
        <v>2</v>
      </c>
      <c r="E276" s="7" t="s">
        <v>355</v>
      </c>
      <c r="F276" s="7" t="s">
        <v>207</v>
      </c>
      <c r="G276" s="7"/>
      <c r="H276" s="7"/>
      <c r="I276" s="8"/>
      <c r="J276" s="8" t="s">
        <v>113</v>
      </c>
      <c r="K276" s="8"/>
      <c r="L276" s="8"/>
      <c r="M276" s="20"/>
      <c r="N276" s="20"/>
      <c r="O276" s="20"/>
      <c r="P276" s="20"/>
      <c r="Q276" s="9"/>
      <c r="R276" s="9"/>
      <c r="S276" s="9"/>
      <c r="T276" s="9"/>
      <c r="U276" s="9"/>
      <c r="V276" s="13"/>
    </row>
    <row r="277" spans="2:22" x14ac:dyDescent="0.25">
      <c r="B277" s="83"/>
      <c r="C277" s="78"/>
      <c r="D277" s="78"/>
      <c r="E277" s="7" t="s">
        <v>113</v>
      </c>
      <c r="F277" s="7" t="s">
        <v>142</v>
      </c>
      <c r="G277" s="7"/>
      <c r="H277" s="7"/>
      <c r="I277" s="8" t="s">
        <v>208</v>
      </c>
      <c r="J277" s="8" t="s">
        <v>208</v>
      </c>
      <c r="K277" s="8"/>
      <c r="L277" s="8"/>
      <c r="M277" s="20"/>
      <c r="N277" s="20"/>
      <c r="O277" s="20"/>
      <c r="P277" s="20"/>
      <c r="Q277" s="9"/>
      <c r="R277" s="9"/>
      <c r="S277" s="9"/>
      <c r="T277" s="9"/>
      <c r="U277" s="9"/>
      <c r="V277" s="13"/>
    </row>
    <row r="278" spans="2:22" x14ac:dyDescent="0.25">
      <c r="B278" s="2" t="s">
        <v>91</v>
      </c>
      <c r="C278" s="2">
        <f>SUM(C270:C277)</f>
        <v>5</v>
      </c>
      <c r="D278" s="2">
        <f>SUM(D270:D277)</f>
        <v>3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81" spans="2:22" x14ac:dyDescent="0.25">
      <c r="B281" s="11">
        <v>45888</v>
      </c>
      <c r="C281" s="10" t="s">
        <v>346</v>
      </c>
      <c r="D281" s="10" t="s">
        <v>347</v>
      </c>
      <c r="E281" s="80" t="s">
        <v>84</v>
      </c>
      <c r="F281" s="80"/>
      <c r="G281" s="80"/>
      <c r="H281" s="80"/>
      <c r="I281" s="81" t="s">
        <v>87</v>
      </c>
      <c r="J281" s="81"/>
      <c r="K281" s="81"/>
      <c r="L281" s="81"/>
      <c r="M281" s="82" t="s">
        <v>86</v>
      </c>
      <c r="N281" s="82"/>
      <c r="O281" s="82"/>
      <c r="P281" s="82"/>
      <c r="Q281" s="79" t="s">
        <v>80</v>
      </c>
      <c r="R281" s="79"/>
      <c r="S281" s="79"/>
      <c r="T281" s="79"/>
      <c r="U281" s="79"/>
      <c r="V281" s="79"/>
    </row>
    <row r="282" spans="2:22" x14ac:dyDescent="0.25">
      <c r="B282" s="84" t="s">
        <v>322</v>
      </c>
      <c r="C282" s="77">
        <v>0</v>
      </c>
      <c r="D282" s="77">
        <v>1</v>
      </c>
      <c r="E282" s="7"/>
      <c r="F282" s="7"/>
      <c r="G282" s="7"/>
      <c r="H282" s="7"/>
      <c r="I282" s="8"/>
      <c r="J282" s="8"/>
      <c r="K282" s="8"/>
      <c r="L282" s="8"/>
      <c r="M282" s="20"/>
      <c r="N282" s="20"/>
      <c r="O282" s="20"/>
      <c r="P282" s="20"/>
      <c r="Q282" s="9"/>
      <c r="R282" s="9"/>
      <c r="S282" s="9"/>
      <c r="T282" s="9"/>
      <c r="U282" s="9"/>
      <c r="V282" s="13"/>
    </row>
    <row r="283" spans="2:22" x14ac:dyDescent="0.25">
      <c r="B283" s="83"/>
      <c r="C283" s="78"/>
      <c r="D283" s="78"/>
      <c r="E283" s="7"/>
      <c r="F283" s="7"/>
      <c r="G283" s="7"/>
      <c r="H283" s="7"/>
      <c r="I283" s="8"/>
      <c r="J283" s="8"/>
      <c r="K283" s="8"/>
      <c r="L283" s="8"/>
      <c r="M283" s="20"/>
      <c r="N283" s="20"/>
      <c r="O283" s="20"/>
      <c r="P283" s="20"/>
      <c r="Q283" s="9"/>
      <c r="R283" s="9"/>
      <c r="S283" s="9"/>
      <c r="T283" s="9"/>
      <c r="U283" s="9"/>
      <c r="V283" s="13"/>
    </row>
    <row r="284" spans="2:22" x14ac:dyDescent="0.25">
      <c r="B284" s="84" t="s">
        <v>73</v>
      </c>
      <c r="C284" s="77">
        <v>0</v>
      </c>
      <c r="D284" s="77">
        <v>0</v>
      </c>
      <c r="E284" s="7"/>
      <c r="F284" s="7"/>
      <c r="G284" s="7"/>
      <c r="H284" s="7"/>
      <c r="I284" s="8"/>
      <c r="J284" s="8"/>
      <c r="K284" s="8"/>
      <c r="L284" s="8"/>
      <c r="M284" s="20"/>
      <c r="N284" s="20"/>
      <c r="O284" s="20"/>
      <c r="P284" s="20"/>
      <c r="Q284" s="9" t="s">
        <v>140</v>
      </c>
      <c r="R284" s="9" t="s">
        <v>207</v>
      </c>
      <c r="S284" s="9" t="s">
        <v>186</v>
      </c>
      <c r="T284" s="9" t="s">
        <v>361</v>
      </c>
      <c r="U284" s="9"/>
      <c r="V284" s="13" t="s">
        <v>166</v>
      </c>
    </row>
    <row r="285" spans="2:22" x14ac:dyDescent="0.25">
      <c r="B285" s="83"/>
      <c r="C285" s="78"/>
      <c r="D285" s="78"/>
      <c r="E285" s="7"/>
      <c r="F285" s="7"/>
      <c r="G285" s="7"/>
      <c r="H285" s="7"/>
      <c r="I285" s="8"/>
      <c r="J285" s="8"/>
      <c r="K285" s="8"/>
      <c r="L285" s="8"/>
      <c r="M285" s="20"/>
      <c r="N285" s="20"/>
      <c r="O285" s="20"/>
      <c r="P285" s="20"/>
      <c r="Q285" s="9"/>
      <c r="R285" s="9"/>
      <c r="S285" s="9"/>
      <c r="T285" s="9"/>
      <c r="U285" s="9"/>
      <c r="V285" s="13"/>
    </row>
    <row r="286" spans="2:22" x14ac:dyDescent="0.25">
      <c r="B286" s="84" t="s">
        <v>75</v>
      </c>
      <c r="C286" s="77">
        <v>1</v>
      </c>
      <c r="D286" s="77">
        <v>5</v>
      </c>
      <c r="E286" s="7" t="s">
        <v>251</v>
      </c>
      <c r="F286" s="7"/>
      <c r="G286" s="7"/>
      <c r="H286" s="7"/>
      <c r="I286" s="8" t="s">
        <v>344</v>
      </c>
      <c r="J286" s="8"/>
      <c r="K286" s="8"/>
      <c r="L286" s="8"/>
      <c r="M286" s="20"/>
      <c r="N286" s="20"/>
      <c r="O286" s="20"/>
      <c r="P286" s="20"/>
      <c r="Q286" s="9"/>
      <c r="R286" s="9"/>
      <c r="S286" s="9"/>
      <c r="T286" s="9"/>
      <c r="U286" s="9"/>
      <c r="V286" s="13"/>
    </row>
    <row r="287" spans="2:22" x14ac:dyDescent="0.25">
      <c r="B287" s="83"/>
      <c r="C287" s="78"/>
      <c r="D287" s="78"/>
      <c r="E287" s="7"/>
      <c r="F287" s="7"/>
      <c r="G287" s="7"/>
      <c r="H287" s="7"/>
      <c r="I287" s="8"/>
      <c r="J287" s="8"/>
      <c r="K287" s="8"/>
      <c r="L287" s="8"/>
      <c r="M287" s="20"/>
      <c r="N287" s="20"/>
      <c r="O287" s="20"/>
      <c r="P287" s="20"/>
      <c r="Q287" s="9"/>
      <c r="R287" s="9"/>
      <c r="S287" s="9"/>
      <c r="T287" s="9"/>
      <c r="U287" s="9"/>
      <c r="V287" s="13"/>
    </row>
    <row r="288" spans="2:22" x14ac:dyDescent="0.25">
      <c r="B288" s="84" t="s">
        <v>43</v>
      </c>
      <c r="C288" s="77">
        <v>2</v>
      </c>
      <c r="D288" s="77">
        <v>1</v>
      </c>
      <c r="E288" s="7" t="s">
        <v>251</v>
      </c>
      <c r="F288" s="7"/>
      <c r="G288" s="7"/>
      <c r="H288" s="7"/>
      <c r="I288" s="8" t="s">
        <v>139</v>
      </c>
      <c r="J288" s="8"/>
      <c r="K288" s="8"/>
      <c r="L288" s="8"/>
      <c r="M288" s="20"/>
      <c r="N288" s="20"/>
      <c r="O288" s="20"/>
      <c r="P288" s="20"/>
      <c r="Q288" s="9"/>
      <c r="R288" s="9"/>
      <c r="S288" s="9"/>
      <c r="T288" s="9"/>
      <c r="U288" s="9"/>
      <c r="V288" s="13"/>
    </row>
    <row r="289" spans="2:22" x14ac:dyDescent="0.25">
      <c r="B289" s="83"/>
      <c r="C289" s="78"/>
      <c r="D289" s="78"/>
      <c r="E289" s="7" t="s">
        <v>361</v>
      </c>
      <c r="F289" s="7" t="s">
        <v>344</v>
      </c>
      <c r="G289" s="7"/>
      <c r="H289" s="7"/>
      <c r="I289" s="8" t="s">
        <v>344</v>
      </c>
      <c r="J289" s="8" t="s">
        <v>361</v>
      </c>
      <c r="K289" s="8"/>
      <c r="L289" s="8"/>
      <c r="M289" s="20"/>
      <c r="N289" s="20"/>
      <c r="O289" s="20"/>
      <c r="P289" s="20"/>
      <c r="Q289" s="9"/>
      <c r="R289" s="9"/>
      <c r="S289" s="9"/>
      <c r="T289" s="9"/>
      <c r="U289" s="9"/>
      <c r="V289" s="13"/>
    </row>
    <row r="290" spans="2:22" x14ac:dyDescent="0.25">
      <c r="B290" s="2" t="s">
        <v>91</v>
      </c>
      <c r="C290" s="2">
        <f>SUM(C282:C289)</f>
        <v>3</v>
      </c>
      <c r="D290" s="2">
        <f>SUM(D282:D289)</f>
        <v>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3" spans="2:22" x14ac:dyDescent="0.25">
      <c r="B293" s="11">
        <v>45897</v>
      </c>
      <c r="C293" s="10" t="s">
        <v>346</v>
      </c>
      <c r="D293" s="10" t="s">
        <v>347</v>
      </c>
      <c r="E293" s="80" t="s">
        <v>84</v>
      </c>
      <c r="F293" s="80"/>
      <c r="G293" s="80"/>
      <c r="H293" s="80"/>
      <c r="I293" s="81" t="s">
        <v>87</v>
      </c>
      <c r="J293" s="81"/>
      <c r="K293" s="81"/>
      <c r="L293" s="81"/>
      <c r="M293" s="82" t="s">
        <v>86</v>
      </c>
      <c r="N293" s="82"/>
      <c r="O293" s="82"/>
      <c r="P293" s="82"/>
      <c r="Q293" s="79" t="s">
        <v>80</v>
      </c>
      <c r="R293" s="79"/>
      <c r="S293" s="79"/>
      <c r="T293" s="79"/>
      <c r="U293" s="79"/>
      <c r="V293" s="79"/>
    </row>
    <row r="294" spans="2:22" x14ac:dyDescent="0.25">
      <c r="B294" s="84" t="s">
        <v>322</v>
      </c>
      <c r="C294" s="77">
        <v>0</v>
      </c>
      <c r="D294" s="77">
        <v>0</v>
      </c>
      <c r="E294" s="7"/>
      <c r="F294" s="7"/>
      <c r="G294" s="7"/>
      <c r="H294" s="7"/>
      <c r="I294" s="8"/>
      <c r="J294" s="8"/>
      <c r="K294" s="8"/>
      <c r="L294" s="8"/>
      <c r="M294" s="20"/>
      <c r="N294" s="20"/>
      <c r="O294" s="20"/>
      <c r="P294" s="20"/>
      <c r="Q294" s="9" t="s">
        <v>124</v>
      </c>
      <c r="R294" s="9" t="s">
        <v>214</v>
      </c>
      <c r="S294" s="9" t="s">
        <v>126</v>
      </c>
      <c r="T294" s="9" t="s">
        <v>219</v>
      </c>
      <c r="U294" s="9"/>
      <c r="V294" s="13" t="s">
        <v>179</v>
      </c>
    </row>
    <row r="295" spans="2:22" x14ac:dyDescent="0.25">
      <c r="B295" s="83"/>
      <c r="C295" s="78"/>
      <c r="D295" s="78"/>
      <c r="E295" s="7"/>
      <c r="F295" s="7"/>
      <c r="G295" s="7"/>
      <c r="H295" s="7"/>
      <c r="I295" s="8"/>
      <c r="J295" s="8"/>
      <c r="K295" s="8"/>
      <c r="L295" s="8"/>
      <c r="M295" s="20"/>
      <c r="N295" s="20"/>
      <c r="O295" s="20"/>
      <c r="P295" s="20"/>
      <c r="Q295" s="9" t="s">
        <v>207</v>
      </c>
      <c r="R295" s="9" t="s">
        <v>310</v>
      </c>
      <c r="S295" s="9" t="s">
        <v>200</v>
      </c>
      <c r="T295" s="9" t="s">
        <v>115</v>
      </c>
      <c r="U295" s="9"/>
      <c r="V295" s="13" t="s">
        <v>137</v>
      </c>
    </row>
    <row r="296" spans="2:22" x14ac:dyDescent="0.25">
      <c r="B296" s="84" t="s">
        <v>73</v>
      </c>
      <c r="C296" s="77">
        <v>1</v>
      </c>
      <c r="D296" s="77">
        <v>0</v>
      </c>
      <c r="E296" s="7" t="s">
        <v>218</v>
      </c>
      <c r="F296" s="7"/>
      <c r="G296" s="7"/>
      <c r="H296" s="7"/>
      <c r="I296" s="8" t="s">
        <v>143</v>
      </c>
      <c r="J296" s="8"/>
      <c r="K296" s="8"/>
      <c r="L296" s="8"/>
      <c r="M296" s="20" t="s">
        <v>105</v>
      </c>
      <c r="N296" s="20" t="s">
        <v>321</v>
      </c>
      <c r="O296" s="20" t="s">
        <v>109</v>
      </c>
      <c r="P296" s="20"/>
      <c r="Q296" s="9" t="s">
        <v>124</v>
      </c>
      <c r="R296" s="9" t="s">
        <v>216</v>
      </c>
      <c r="S296" s="9" t="s">
        <v>126</v>
      </c>
      <c r="T296" s="9" t="s">
        <v>219</v>
      </c>
      <c r="U296" s="9"/>
      <c r="V296" s="13" t="s">
        <v>110</v>
      </c>
    </row>
    <row r="297" spans="2:22" x14ac:dyDescent="0.25">
      <c r="B297" s="83"/>
      <c r="C297" s="78"/>
      <c r="D297" s="78"/>
      <c r="E297" s="7"/>
      <c r="F297" s="7"/>
      <c r="G297" s="7"/>
      <c r="H297" s="7"/>
      <c r="I297" s="8"/>
      <c r="J297" s="8"/>
      <c r="K297" s="8"/>
      <c r="L297" s="8"/>
      <c r="M297" s="20"/>
      <c r="N297" s="20"/>
      <c r="O297" s="20"/>
      <c r="P297" s="20"/>
      <c r="Q297" s="9"/>
      <c r="R297" s="9"/>
      <c r="S297" s="9"/>
      <c r="T297" s="9"/>
      <c r="U297" s="9"/>
      <c r="V297" s="13"/>
    </row>
    <row r="298" spans="2:22" x14ac:dyDescent="0.25">
      <c r="B298" s="84" t="s">
        <v>75</v>
      </c>
      <c r="C298" s="77">
        <v>0</v>
      </c>
      <c r="D298" s="77">
        <v>0</v>
      </c>
      <c r="E298" s="7"/>
      <c r="F298" s="7"/>
      <c r="G298" s="7"/>
      <c r="H298" s="7"/>
      <c r="I298" s="8"/>
      <c r="J298" s="8"/>
      <c r="K298" s="8"/>
      <c r="L298" s="8"/>
      <c r="M298" s="20"/>
      <c r="N298" s="20"/>
      <c r="O298" s="20"/>
      <c r="P298" s="20"/>
      <c r="Q298" s="9" t="s">
        <v>357</v>
      </c>
      <c r="R298" s="9" t="s">
        <v>140</v>
      </c>
      <c r="S298" s="9" t="s">
        <v>186</v>
      </c>
      <c r="T298" s="9" t="s">
        <v>137</v>
      </c>
      <c r="U298" s="9"/>
      <c r="V298" s="13" t="s">
        <v>110</v>
      </c>
    </row>
    <row r="299" spans="2:22" x14ac:dyDescent="0.25">
      <c r="B299" s="83"/>
      <c r="C299" s="78"/>
      <c r="D299" s="78"/>
      <c r="E299" s="7"/>
      <c r="F299" s="7"/>
      <c r="G299" s="7"/>
      <c r="H299" s="7"/>
      <c r="I299" s="8"/>
      <c r="J299" s="8"/>
      <c r="K299" s="8"/>
      <c r="L299" s="8"/>
      <c r="M299" s="20"/>
      <c r="N299" s="20"/>
      <c r="O299" s="20"/>
      <c r="P299" s="20"/>
      <c r="Q299" s="9" t="s">
        <v>207</v>
      </c>
      <c r="R299" s="9" t="s">
        <v>310</v>
      </c>
      <c r="S299" s="9" t="s">
        <v>200</v>
      </c>
      <c r="T299" s="9" t="s">
        <v>115</v>
      </c>
      <c r="U299" s="9"/>
      <c r="V299" s="13" t="s">
        <v>99</v>
      </c>
    </row>
    <row r="300" spans="2:22" x14ac:dyDescent="0.25">
      <c r="B300" s="84" t="s">
        <v>43</v>
      </c>
      <c r="C300" s="77">
        <v>0</v>
      </c>
      <c r="D300" s="77">
        <v>0</v>
      </c>
      <c r="E300" s="7"/>
      <c r="F300" s="7"/>
      <c r="G300" s="7"/>
      <c r="H300" s="7"/>
      <c r="I300" s="8"/>
      <c r="J300" s="8"/>
      <c r="K300" s="8"/>
      <c r="L300" s="8"/>
      <c r="M300" s="20"/>
      <c r="N300" s="20"/>
      <c r="O300" s="20"/>
      <c r="P300" s="20"/>
      <c r="Q300" s="9" t="s">
        <v>124</v>
      </c>
      <c r="R300" s="9" t="s">
        <v>214</v>
      </c>
      <c r="S300" s="9" t="s">
        <v>126</v>
      </c>
      <c r="T300" s="9" t="s">
        <v>219</v>
      </c>
      <c r="U300" s="9"/>
      <c r="V300" s="13" t="s">
        <v>97</v>
      </c>
    </row>
    <row r="301" spans="2:22" x14ac:dyDescent="0.25">
      <c r="B301" s="83"/>
      <c r="C301" s="78"/>
      <c r="D301" s="78"/>
      <c r="E301" s="7"/>
      <c r="F301" s="7"/>
      <c r="G301" s="7"/>
      <c r="H301" s="7"/>
      <c r="I301" s="8"/>
      <c r="J301" s="8"/>
      <c r="K301" s="8"/>
      <c r="L301" s="8"/>
      <c r="M301" s="20"/>
      <c r="N301" s="20"/>
      <c r="O301" s="20"/>
      <c r="P301" s="20"/>
      <c r="Q301" s="9" t="s">
        <v>207</v>
      </c>
      <c r="R301" s="9" t="s">
        <v>310</v>
      </c>
      <c r="S301" s="9" t="s">
        <v>200</v>
      </c>
      <c r="T301" s="9" t="s">
        <v>115</v>
      </c>
      <c r="U301" s="9"/>
      <c r="V301" s="13" t="s">
        <v>110</v>
      </c>
    </row>
    <row r="302" spans="2:22" x14ac:dyDescent="0.25">
      <c r="B302" s="84" t="s">
        <v>167</v>
      </c>
      <c r="C302" s="77">
        <v>0</v>
      </c>
      <c r="D302" s="77">
        <v>0</v>
      </c>
      <c r="E302" s="7"/>
      <c r="F302" s="7"/>
      <c r="G302" s="7"/>
      <c r="H302" s="7"/>
      <c r="I302" s="8"/>
      <c r="J302" s="8"/>
      <c r="K302" s="8"/>
      <c r="L302" s="8"/>
      <c r="M302" s="20"/>
      <c r="N302" s="20"/>
      <c r="O302" s="20"/>
      <c r="P302" s="20"/>
      <c r="Q302" s="9" t="s">
        <v>214</v>
      </c>
      <c r="R302" s="9" t="s">
        <v>126</v>
      </c>
      <c r="S302" s="9" t="s">
        <v>219</v>
      </c>
      <c r="T302" s="9" t="s">
        <v>124</v>
      </c>
      <c r="U302" s="9"/>
      <c r="V302" s="13" t="s">
        <v>143</v>
      </c>
    </row>
    <row r="303" spans="2:22" x14ac:dyDescent="0.25">
      <c r="B303" s="83"/>
      <c r="C303" s="78"/>
      <c r="D303" s="78"/>
      <c r="E303" s="7"/>
      <c r="F303" s="7"/>
      <c r="G303" s="7"/>
      <c r="H303" s="7"/>
      <c r="I303" s="8"/>
      <c r="J303" s="8"/>
      <c r="K303" s="8"/>
      <c r="L303" s="8"/>
      <c r="M303" s="20"/>
      <c r="N303" s="20"/>
      <c r="O303" s="20"/>
      <c r="P303" s="20"/>
      <c r="Q303" s="9" t="s">
        <v>140</v>
      </c>
      <c r="R303" s="9" t="s">
        <v>186</v>
      </c>
      <c r="S303" s="9" t="s">
        <v>357</v>
      </c>
      <c r="T303" s="9" t="s">
        <v>120</v>
      </c>
      <c r="U303" s="9"/>
      <c r="V303" s="13" t="s">
        <v>97</v>
      </c>
    </row>
    <row r="304" spans="2:22" x14ac:dyDescent="0.25">
      <c r="B304" s="84" t="s">
        <v>358</v>
      </c>
      <c r="C304" s="77">
        <v>0</v>
      </c>
      <c r="D304" s="77">
        <v>0</v>
      </c>
      <c r="E304" s="7"/>
      <c r="F304" s="7"/>
      <c r="G304" s="7"/>
      <c r="H304" s="7"/>
      <c r="I304" s="8"/>
      <c r="J304" s="8"/>
      <c r="K304" s="8"/>
      <c r="L304" s="8"/>
      <c r="M304" s="20"/>
      <c r="N304" s="20"/>
      <c r="O304" s="20"/>
      <c r="P304" s="20"/>
      <c r="Q304" s="9" t="s">
        <v>200</v>
      </c>
      <c r="R304" s="9" t="s">
        <v>310</v>
      </c>
      <c r="S304" s="9" t="s">
        <v>115</v>
      </c>
      <c r="T304" s="9" t="s">
        <v>206</v>
      </c>
      <c r="U304" s="9"/>
      <c r="V304" s="13" t="s">
        <v>112</v>
      </c>
    </row>
    <row r="305" spans="2:22" x14ac:dyDescent="0.25">
      <c r="B305" s="83"/>
      <c r="C305" s="78"/>
      <c r="D305" s="78"/>
      <c r="E305" s="7"/>
      <c r="F305" s="7"/>
      <c r="G305" s="7"/>
      <c r="H305" s="7"/>
      <c r="I305" s="8"/>
      <c r="J305" s="8"/>
      <c r="K305" s="8"/>
      <c r="L305" s="8"/>
      <c r="M305" s="20"/>
      <c r="N305" s="20"/>
      <c r="O305" s="20"/>
      <c r="P305" s="20"/>
      <c r="Q305" s="9" t="s">
        <v>140</v>
      </c>
      <c r="R305" s="9" t="s">
        <v>120</v>
      </c>
      <c r="S305" s="9" t="s">
        <v>363</v>
      </c>
      <c r="T305" s="9" t="s">
        <v>186</v>
      </c>
      <c r="U305" s="9"/>
      <c r="V305" s="13" t="s">
        <v>139</v>
      </c>
    </row>
    <row r="306" spans="2:22" x14ac:dyDescent="0.25">
      <c r="B306" s="2" t="s">
        <v>91</v>
      </c>
      <c r="C306" s="2">
        <f>SUM(C294:C305)</f>
        <v>1</v>
      </c>
      <c r="D306" s="2">
        <f>SUM(D294:D305)</f>
        <v>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9" spans="2:22" x14ac:dyDescent="0.25">
      <c r="B309" s="11">
        <v>45904</v>
      </c>
      <c r="C309" s="10" t="s">
        <v>346</v>
      </c>
      <c r="D309" s="10" t="s">
        <v>347</v>
      </c>
      <c r="E309" s="80" t="s">
        <v>84</v>
      </c>
      <c r="F309" s="80"/>
      <c r="G309" s="80"/>
      <c r="H309" s="80"/>
      <c r="I309" s="81" t="s">
        <v>87</v>
      </c>
      <c r="J309" s="81"/>
      <c r="K309" s="81"/>
      <c r="L309" s="81"/>
      <c r="M309" s="82" t="s">
        <v>86</v>
      </c>
      <c r="N309" s="82"/>
      <c r="O309" s="82"/>
      <c r="P309" s="82"/>
      <c r="Q309" s="79" t="s">
        <v>80</v>
      </c>
      <c r="R309" s="79"/>
      <c r="S309" s="79"/>
      <c r="T309" s="79"/>
      <c r="U309" s="79"/>
      <c r="V309" s="79"/>
    </row>
    <row r="310" spans="2:22" x14ac:dyDescent="0.25">
      <c r="B310" s="75" t="s">
        <v>367</v>
      </c>
      <c r="C310" s="77">
        <v>3</v>
      </c>
      <c r="D310" s="77">
        <v>0</v>
      </c>
      <c r="E310" s="7" t="s">
        <v>139</v>
      </c>
      <c r="F310" s="7" t="s">
        <v>111</v>
      </c>
      <c r="G310" s="7" t="s">
        <v>111</v>
      </c>
      <c r="H310" s="7"/>
      <c r="I310" s="8" t="s">
        <v>353</v>
      </c>
      <c r="J310" s="8" t="s">
        <v>139</v>
      </c>
      <c r="K310" s="8" t="s">
        <v>353</v>
      </c>
      <c r="L310" s="8"/>
      <c r="M310" s="20" t="s">
        <v>218</v>
      </c>
      <c r="N310" s="20" t="s">
        <v>244</v>
      </c>
      <c r="O310" s="20" t="s">
        <v>111</v>
      </c>
      <c r="P310" s="20"/>
      <c r="Q310" s="9" t="s">
        <v>134</v>
      </c>
      <c r="R310" s="9" t="s">
        <v>106</v>
      </c>
      <c r="S310" s="9" t="s">
        <v>357</v>
      </c>
      <c r="T310" s="9" t="s">
        <v>325</v>
      </c>
      <c r="U310" s="9"/>
      <c r="V310" s="13" t="s">
        <v>207</v>
      </c>
    </row>
    <row r="311" spans="2:22" x14ac:dyDescent="0.25">
      <c r="B311" s="83"/>
      <c r="C311" s="78"/>
      <c r="D311" s="78"/>
      <c r="E311" s="7"/>
      <c r="F311" s="7"/>
      <c r="G311" s="7"/>
      <c r="H311" s="7"/>
      <c r="I311" s="8"/>
      <c r="J311" s="8"/>
      <c r="K311" s="8"/>
      <c r="L311" s="8"/>
      <c r="M311" s="20"/>
      <c r="N311" s="20"/>
      <c r="O311" s="20"/>
      <c r="P311" s="20"/>
      <c r="Q311" s="9"/>
      <c r="R311" s="9"/>
      <c r="S311" s="9"/>
      <c r="T311" s="9"/>
      <c r="U311" s="9"/>
      <c r="V311" s="13"/>
    </row>
    <row r="312" spans="2:22" x14ac:dyDescent="0.25">
      <c r="B312" s="75" t="s">
        <v>368</v>
      </c>
      <c r="C312" s="77">
        <v>0</v>
      </c>
      <c r="D312" s="77">
        <v>0</v>
      </c>
      <c r="E312" s="7"/>
      <c r="F312" s="7"/>
      <c r="G312" s="7"/>
      <c r="H312" s="7"/>
      <c r="I312" s="8"/>
      <c r="J312" s="8"/>
      <c r="K312" s="8"/>
      <c r="L312" s="8"/>
      <c r="M312" s="20"/>
      <c r="N312" s="20"/>
      <c r="O312" s="20"/>
      <c r="P312" s="20"/>
      <c r="Q312" s="9" t="s">
        <v>325</v>
      </c>
      <c r="R312" s="9" t="s">
        <v>134</v>
      </c>
      <c r="S312" s="9" t="s">
        <v>106</v>
      </c>
      <c r="T312" s="9" t="s">
        <v>357</v>
      </c>
      <c r="U312" s="9"/>
      <c r="V312" s="13" t="s">
        <v>179</v>
      </c>
    </row>
    <row r="313" spans="2:22" x14ac:dyDescent="0.25">
      <c r="B313" s="83"/>
      <c r="C313" s="78"/>
      <c r="D313" s="78"/>
      <c r="E313" s="7"/>
      <c r="F313" s="7"/>
      <c r="G313" s="7"/>
      <c r="H313" s="7"/>
      <c r="I313" s="8"/>
      <c r="J313" s="8"/>
      <c r="K313" s="8"/>
      <c r="L313" s="8"/>
      <c r="M313" s="20"/>
      <c r="N313" s="20"/>
      <c r="O313" s="20"/>
      <c r="P313" s="20"/>
      <c r="Q313" s="9" t="s">
        <v>241</v>
      </c>
      <c r="R313" s="9" t="s">
        <v>117</v>
      </c>
      <c r="S313" s="9" t="s">
        <v>120</v>
      </c>
      <c r="T313" s="9" t="s">
        <v>135</v>
      </c>
      <c r="U313" s="9"/>
      <c r="V313" s="13" t="s">
        <v>338</v>
      </c>
    </row>
    <row r="314" spans="2:22" x14ac:dyDescent="0.25">
      <c r="B314" s="75" t="s">
        <v>369</v>
      </c>
      <c r="C314" s="77">
        <v>0</v>
      </c>
      <c r="D314" s="77">
        <v>0</v>
      </c>
      <c r="E314" s="7"/>
      <c r="F314" s="7"/>
      <c r="G314" s="7"/>
      <c r="H314" s="7"/>
      <c r="I314" s="8"/>
      <c r="J314" s="8"/>
      <c r="K314" s="8"/>
      <c r="L314" s="8"/>
      <c r="M314" s="20"/>
      <c r="N314" s="20"/>
      <c r="O314" s="20"/>
      <c r="P314" s="20"/>
      <c r="Q314" s="9" t="s">
        <v>124</v>
      </c>
      <c r="R314" s="9" t="s">
        <v>186</v>
      </c>
      <c r="S314" s="9" t="s">
        <v>365</v>
      </c>
      <c r="T314" s="9" t="s">
        <v>200</v>
      </c>
      <c r="U314" s="9"/>
      <c r="V314" s="13" t="s">
        <v>232</v>
      </c>
    </row>
    <row r="315" spans="2:22" x14ac:dyDescent="0.25">
      <c r="B315" s="83"/>
      <c r="C315" s="78"/>
      <c r="D315" s="78"/>
      <c r="E315" s="7"/>
      <c r="F315" s="7"/>
      <c r="G315" s="7"/>
      <c r="H315" s="7"/>
      <c r="I315" s="8"/>
      <c r="J315" s="8"/>
      <c r="K315" s="8"/>
      <c r="L315" s="8"/>
      <c r="M315" s="20"/>
      <c r="N315" s="20"/>
      <c r="O315" s="20"/>
      <c r="P315" s="20"/>
      <c r="Q315" s="9" t="s">
        <v>241</v>
      </c>
      <c r="R315" s="9" t="s">
        <v>117</v>
      </c>
      <c r="S315" s="9" t="s">
        <v>120</v>
      </c>
      <c r="T315" s="9" t="s">
        <v>135</v>
      </c>
      <c r="U315" s="9"/>
      <c r="V315" s="13" t="s">
        <v>139</v>
      </c>
    </row>
    <row r="316" spans="2:22" x14ac:dyDescent="0.25">
      <c r="B316" s="75" t="s">
        <v>367</v>
      </c>
      <c r="C316" s="77">
        <v>0</v>
      </c>
      <c r="D316" s="77">
        <v>2</v>
      </c>
      <c r="E316" s="7" t="s">
        <v>113</v>
      </c>
      <c r="F316" s="7" t="s">
        <v>179</v>
      </c>
      <c r="G316" s="7"/>
      <c r="H316" s="7"/>
      <c r="I316" s="8" t="s">
        <v>366</v>
      </c>
      <c r="J316" s="8" t="s">
        <v>112</v>
      </c>
      <c r="K316" s="8"/>
      <c r="L316" s="8"/>
      <c r="M316" s="20" t="s">
        <v>113</v>
      </c>
      <c r="N316" s="20" t="s">
        <v>219</v>
      </c>
      <c r="O316" s="20" t="s">
        <v>321</v>
      </c>
      <c r="P316" s="20"/>
      <c r="Q316" s="9" t="s">
        <v>124</v>
      </c>
      <c r="R316" s="9" t="s">
        <v>186</v>
      </c>
      <c r="S316" s="9" t="s">
        <v>200</v>
      </c>
      <c r="T316" s="9" t="s">
        <v>232</v>
      </c>
      <c r="U316" s="9"/>
      <c r="V316" s="13" t="s">
        <v>251</v>
      </c>
    </row>
    <row r="317" spans="2:22" x14ac:dyDescent="0.25">
      <c r="B317" s="83"/>
      <c r="C317" s="78"/>
      <c r="D317" s="78"/>
      <c r="E317" s="7"/>
      <c r="F317" s="7"/>
      <c r="G317" s="7"/>
      <c r="H317" s="7"/>
      <c r="I317" s="8"/>
      <c r="J317" s="8"/>
      <c r="K317" s="8"/>
      <c r="L317" s="8"/>
      <c r="M317" s="20"/>
      <c r="N317" s="20"/>
      <c r="O317" s="20"/>
      <c r="P317" s="20"/>
      <c r="Q317" s="9"/>
      <c r="R317" s="9"/>
      <c r="S317" s="9"/>
      <c r="T317" s="9"/>
      <c r="U317" s="9"/>
      <c r="V317" s="13"/>
    </row>
    <row r="318" spans="2:22" x14ac:dyDescent="0.25">
      <c r="B318" s="75" t="s">
        <v>368</v>
      </c>
      <c r="C318" s="77">
        <v>0</v>
      </c>
      <c r="D318" s="77">
        <v>0</v>
      </c>
      <c r="E318" s="7"/>
      <c r="F318" s="7"/>
      <c r="G318" s="7"/>
      <c r="H318" s="7"/>
      <c r="I318" s="8"/>
      <c r="J318" s="8"/>
      <c r="K318" s="8"/>
      <c r="L318" s="8"/>
      <c r="M318" s="20"/>
      <c r="N318" s="20"/>
      <c r="O318" s="20"/>
      <c r="P318" s="20"/>
      <c r="Q318" s="9" t="s">
        <v>244</v>
      </c>
      <c r="R318" s="9" t="s">
        <v>106</v>
      </c>
      <c r="S318" s="9" t="s">
        <v>357</v>
      </c>
      <c r="T318" s="9" t="s">
        <v>325</v>
      </c>
      <c r="U318" s="9"/>
      <c r="V318" s="13" t="s">
        <v>134</v>
      </c>
    </row>
    <row r="319" spans="2:22" x14ac:dyDescent="0.25">
      <c r="B319" s="83"/>
      <c r="C319" s="78"/>
      <c r="D319" s="78"/>
      <c r="E319" s="7"/>
      <c r="F319" s="7"/>
      <c r="G319" s="7"/>
      <c r="H319" s="7"/>
      <c r="I319" s="8"/>
      <c r="J319" s="8"/>
      <c r="K319" s="8"/>
      <c r="L319" s="8"/>
      <c r="M319" s="20"/>
      <c r="N319" s="20"/>
      <c r="O319" s="20"/>
      <c r="P319" s="20"/>
      <c r="Q319" s="9" t="s">
        <v>120</v>
      </c>
      <c r="R319" s="9" t="s">
        <v>117</v>
      </c>
      <c r="S319" s="9" t="s">
        <v>241</v>
      </c>
      <c r="T319" s="9" t="s">
        <v>135</v>
      </c>
      <c r="U319" s="9"/>
      <c r="V319" s="13" t="s">
        <v>207</v>
      </c>
    </row>
    <row r="320" spans="2:22" x14ac:dyDescent="0.25">
      <c r="B320" s="75" t="s">
        <v>369</v>
      </c>
      <c r="C320" s="77">
        <v>0</v>
      </c>
      <c r="D320" s="77">
        <v>0</v>
      </c>
      <c r="E320" s="7"/>
      <c r="F320" s="7"/>
      <c r="G320" s="7"/>
      <c r="H320" s="7"/>
      <c r="I320" s="8"/>
      <c r="J320" s="8"/>
      <c r="K320" s="8"/>
      <c r="L320" s="8"/>
      <c r="M320" s="20"/>
      <c r="N320" s="20"/>
      <c r="O320" s="20"/>
      <c r="P320" s="20"/>
      <c r="Q320" s="9" t="s">
        <v>120</v>
      </c>
      <c r="R320" s="9" t="s">
        <v>117</v>
      </c>
      <c r="S320" s="9" t="s">
        <v>241</v>
      </c>
      <c r="T320" s="9" t="s">
        <v>135</v>
      </c>
      <c r="U320" s="9"/>
      <c r="V320" s="13" t="s">
        <v>134</v>
      </c>
    </row>
    <row r="321" spans="2:22" x14ac:dyDescent="0.25">
      <c r="B321" s="83"/>
      <c r="C321" s="78"/>
      <c r="D321" s="78"/>
      <c r="E321" s="7"/>
      <c r="F321" s="7"/>
      <c r="G321" s="7"/>
      <c r="H321" s="7"/>
      <c r="I321" s="8"/>
      <c r="J321" s="8"/>
      <c r="K321" s="8"/>
      <c r="L321" s="8"/>
      <c r="M321" s="20"/>
      <c r="N321" s="20"/>
      <c r="O321" s="20"/>
      <c r="P321" s="20"/>
      <c r="Q321" s="9" t="s">
        <v>124</v>
      </c>
      <c r="R321" s="9" t="s">
        <v>232</v>
      </c>
      <c r="S321" s="9" t="s">
        <v>200</v>
      </c>
      <c r="T321" s="9" t="s">
        <v>186</v>
      </c>
      <c r="U321" s="9"/>
      <c r="V321" s="13" t="s">
        <v>366</v>
      </c>
    </row>
    <row r="322" spans="2:22" x14ac:dyDescent="0.25">
      <c r="B322" s="2" t="s">
        <v>91</v>
      </c>
      <c r="C322" s="2">
        <f>SUM(C310:C321)</f>
        <v>3</v>
      </c>
      <c r="D322" s="2">
        <f>SUM(D310:D321)</f>
        <v>2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5" spans="2:22" x14ac:dyDescent="0.25">
      <c r="B325" s="11">
        <v>45911</v>
      </c>
      <c r="C325" s="10" t="s">
        <v>346</v>
      </c>
      <c r="D325" s="10" t="s">
        <v>347</v>
      </c>
      <c r="E325" s="80" t="s">
        <v>84</v>
      </c>
      <c r="F325" s="80"/>
      <c r="G325" s="80"/>
      <c r="H325" s="80"/>
      <c r="I325" s="81" t="s">
        <v>87</v>
      </c>
      <c r="J325" s="81"/>
      <c r="K325" s="81"/>
      <c r="L325" s="81"/>
      <c r="M325" s="82" t="s">
        <v>86</v>
      </c>
      <c r="N325" s="82"/>
      <c r="O325" s="82"/>
      <c r="P325" s="82"/>
      <c r="Q325" s="79" t="s">
        <v>80</v>
      </c>
      <c r="R325" s="79"/>
      <c r="S325" s="79"/>
      <c r="T325" s="79"/>
      <c r="U325" s="79"/>
      <c r="V325" s="79"/>
    </row>
    <row r="326" spans="2:22" x14ac:dyDescent="0.25">
      <c r="B326" s="75" t="s">
        <v>367</v>
      </c>
      <c r="C326" s="77">
        <v>1</v>
      </c>
      <c r="D326" s="77">
        <v>0</v>
      </c>
      <c r="E326" s="7" t="s">
        <v>168</v>
      </c>
      <c r="F326" s="7"/>
      <c r="G326" s="7"/>
      <c r="H326" s="7"/>
      <c r="I326" s="8" t="s">
        <v>309</v>
      </c>
      <c r="J326" s="8"/>
      <c r="K326" s="8"/>
      <c r="L326" s="8"/>
      <c r="M326" s="20" t="s">
        <v>97</v>
      </c>
      <c r="N326" s="20" t="s">
        <v>138</v>
      </c>
      <c r="O326" s="20" t="s">
        <v>218</v>
      </c>
      <c r="P326" s="20"/>
      <c r="Q326" s="9" t="s">
        <v>139</v>
      </c>
      <c r="R326" s="9" t="s">
        <v>106</v>
      </c>
      <c r="S326" s="9" t="s">
        <v>101</v>
      </c>
      <c r="T326" s="9" t="s">
        <v>309</v>
      </c>
      <c r="U326" s="9"/>
      <c r="V326" s="13" t="s">
        <v>110</v>
      </c>
    </row>
    <row r="327" spans="2:22" x14ac:dyDescent="0.25">
      <c r="B327" s="83"/>
      <c r="C327" s="78"/>
      <c r="D327" s="78"/>
      <c r="E327" s="7"/>
      <c r="F327" s="7"/>
      <c r="G327" s="7"/>
      <c r="H327" s="7"/>
      <c r="I327" s="8"/>
      <c r="J327" s="8"/>
      <c r="K327" s="8"/>
      <c r="L327" s="8"/>
      <c r="M327" s="20"/>
      <c r="N327" s="20"/>
      <c r="O327" s="20"/>
      <c r="P327" s="20"/>
      <c r="Q327" s="9"/>
      <c r="R327" s="9"/>
      <c r="S327" s="9"/>
      <c r="T327" s="9"/>
      <c r="U327" s="9"/>
      <c r="V327" s="13"/>
    </row>
    <row r="328" spans="2:22" x14ac:dyDescent="0.25">
      <c r="B328" s="75" t="s">
        <v>368</v>
      </c>
      <c r="C328" s="77">
        <v>0</v>
      </c>
      <c r="D328" s="77">
        <v>3</v>
      </c>
      <c r="E328" s="7" t="s">
        <v>206</v>
      </c>
      <c r="F328" s="7" t="s">
        <v>248</v>
      </c>
      <c r="G328" s="7" t="s">
        <v>128</v>
      </c>
      <c r="H328" s="7"/>
      <c r="I328" s="8" t="s">
        <v>128</v>
      </c>
      <c r="J328" s="8" t="s">
        <v>99</v>
      </c>
      <c r="K328" s="8" t="s">
        <v>249</v>
      </c>
      <c r="L328" s="8"/>
      <c r="M328" s="20" t="s">
        <v>99</v>
      </c>
      <c r="N328" s="20" t="s">
        <v>206</v>
      </c>
      <c r="O328" s="20" t="s">
        <v>128</v>
      </c>
      <c r="P328" s="20"/>
      <c r="Q328" s="9" t="s">
        <v>120</v>
      </c>
      <c r="R328" s="9" t="s">
        <v>371</v>
      </c>
      <c r="S328" s="9" t="s">
        <v>94</v>
      </c>
      <c r="T328" s="9" t="s">
        <v>357</v>
      </c>
      <c r="U328" s="9"/>
      <c r="V328" s="13" t="s">
        <v>186</v>
      </c>
    </row>
    <row r="329" spans="2:22" x14ac:dyDescent="0.25">
      <c r="B329" s="83"/>
      <c r="C329" s="78"/>
      <c r="D329" s="78"/>
      <c r="E329" s="7"/>
      <c r="F329" s="7"/>
      <c r="G329" s="7"/>
      <c r="H329" s="7"/>
      <c r="I329" s="8"/>
      <c r="J329" s="8"/>
      <c r="K329" s="8"/>
      <c r="L329" s="8"/>
      <c r="M329" s="20"/>
      <c r="N329" s="20"/>
      <c r="O329" s="20"/>
      <c r="P329" s="20"/>
      <c r="Q329" s="9"/>
      <c r="R329" s="9"/>
      <c r="S329" s="9"/>
      <c r="T329" s="9"/>
      <c r="U329" s="9"/>
      <c r="V329" s="13"/>
    </row>
    <row r="330" spans="2:22" x14ac:dyDescent="0.25">
      <c r="B330" s="75" t="s">
        <v>369</v>
      </c>
      <c r="C330" s="77">
        <v>1</v>
      </c>
      <c r="D330" s="77">
        <v>0</v>
      </c>
      <c r="E330" s="7" t="s">
        <v>105</v>
      </c>
      <c r="F330" s="7"/>
      <c r="G330" s="7"/>
      <c r="H330" s="7"/>
      <c r="I330" s="8"/>
      <c r="J330" s="8"/>
      <c r="K330" s="8"/>
      <c r="L330" s="8"/>
      <c r="M330" s="20" t="s">
        <v>321</v>
      </c>
      <c r="N330" s="20" t="s">
        <v>327</v>
      </c>
      <c r="O330" s="20" t="s">
        <v>105</v>
      </c>
      <c r="P330" s="20"/>
      <c r="Q330" s="9" t="s">
        <v>219</v>
      </c>
      <c r="R330" s="9" t="s">
        <v>325</v>
      </c>
      <c r="S330" s="9" t="s">
        <v>208</v>
      </c>
      <c r="T330" s="9" t="s">
        <v>240</v>
      </c>
      <c r="U330" s="9"/>
      <c r="V330" s="13" t="s">
        <v>241</v>
      </c>
    </row>
    <row r="331" spans="2:22" x14ac:dyDescent="0.25">
      <c r="B331" s="83"/>
      <c r="C331" s="78"/>
      <c r="D331" s="78"/>
      <c r="E331" s="7"/>
      <c r="F331" s="7"/>
      <c r="G331" s="7"/>
      <c r="H331" s="7"/>
      <c r="I331" s="8"/>
      <c r="J331" s="8"/>
      <c r="K331" s="8"/>
      <c r="L331" s="8"/>
      <c r="M331" s="20"/>
      <c r="N331" s="20"/>
      <c r="O331" s="20"/>
      <c r="P331" s="20"/>
      <c r="Q331" s="9"/>
      <c r="R331" s="9"/>
      <c r="S331" s="9"/>
      <c r="T331" s="9"/>
      <c r="U331" s="9"/>
      <c r="V331" s="13"/>
    </row>
    <row r="332" spans="2:22" x14ac:dyDescent="0.25">
      <c r="B332" s="75" t="s">
        <v>367</v>
      </c>
      <c r="C332" s="77">
        <v>2</v>
      </c>
      <c r="D332" s="77">
        <v>0</v>
      </c>
      <c r="E332" s="7" t="s">
        <v>353</v>
      </c>
      <c r="F332" s="7" t="s">
        <v>97</v>
      </c>
      <c r="G332" s="7"/>
      <c r="H332" s="7"/>
      <c r="I332" s="8"/>
      <c r="J332" s="8" t="s">
        <v>110</v>
      </c>
      <c r="K332" s="8"/>
      <c r="L332" s="8"/>
      <c r="M332" s="20" t="s">
        <v>109</v>
      </c>
      <c r="N332" s="20" t="s">
        <v>97</v>
      </c>
      <c r="O332" s="20" t="s">
        <v>138</v>
      </c>
      <c r="P332" s="20"/>
      <c r="Q332" s="9"/>
      <c r="R332" s="9"/>
      <c r="S332" s="9"/>
      <c r="T332" s="9"/>
      <c r="U332" s="9"/>
      <c r="V332" s="13"/>
    </row>
    <row r="333" spans="2:22" x14ac:dyDescent="0.25">
      <c r="B333" s="83"/>
      <c r="C333" s="78"/>
      <c r="D333" s="78"/>
      <c r="E333" s="7"/>
      <c r="F333" s="7"/>
      <c r="G333" s="7"/>
      <c r="H333" s="7"/>
      <c r="I333" s="8"/>
      <c r="J333" s="8"/>
      <c r="K333" s="8"/>
      <c r="L333" s="8"/>
      <c r="M333" s="20"/>
      <c r="N333" s="20"/>
      <c r="O333" s="20"/>
      <c r="P333" s="20"/>
      <c r="Q333" s="9"/>
      <c r="R333" s="9"/>
      <c r="S333" s="9"/>
      <c r="T333" s="9"/>
      <c r="U333" s="9"/>
      <c r="V333" s="13"/>
    </row>
    <row r="334" spans="2:22" x14ac:dyDescent="0.25">
      <c r="B334" s="75" t="s">
        <v>368</v>
      </c>
      <c r="C334" s="77">
        <v>1</v>
      </c>
      <c r="D334" s="77">
        <v>1</v>
      </c>
      <c r="E334" s="7" t="s">
        <v>168</v>
      </c>
      <c r="F334" s="7"/>
      <c r="G334" s="7"/>
      <c r="H334" s="7"/>
      <c r="I334" s="8" t="s">
        <v>109</v>
      </c>
      <c r="J334" s="8"/>
      <c r="K334" s="8"/>
      <c r="L334" s="8"/>
      <c r="M334" s="20"/>
      <c r="N334" s="20"/>
      <c r="O334" s="20"/>
      <c r="P334" s="20"/>
      <c r="Q334" s="9"/>
      <c r="R334" s="9"/>
      <c r="S334" s="9"/>
      <c r="T334" s="9"/>
      <c r="U334" s="9"/>
      <c r="V334" s="13"/>
    </row>
    <row r="335" spans="2:22" x14ac:dyDescent="0.25">
      <c r="B335" s="83"/>
      <c r="C335" s="78"/>
      <c r="D335" s="78"/>
      <c r="E335" s="7" t="s">
        <v>248</v>
      </c>
      <c r="F335" s="7"/>
      <c r="G335" s="7"/>
      <c r="H335" s="7"/>
      <c r="I335" s="8" t="s">
        <v>128</v>
      </c>
      <c r="J335" s="8"/>
      <c r="K335" s="8"/>
      <c r="L335" s="8"/>
      <c r="M335" s="20"/>
      <c r="N335" s="20"/>
      <c r="O335" s="20"/>
      <c r="P335" s="20"/>
      <c r="Q335" s="9"/>
      <c r="R335" s="9"/>
      <c r="S335" s="9"/>
      <c r="T335" s="9"/>
      <c r="U335" s="9"/>
      <c r="V335" s="13"/>
    </row>
    <row r="336" spans="2:22" x14ac:dyDescent="0.25">
      <c r="B336" s="75" t="s">
        <v>369</v>
      </c>
      <c r="C336" s="77">
        <v>1</v>
      </c>
      <c r="D336" s="77">
        <v>0</v>
      </c>
      <c r="E336" s="7" t="s">
        <v>142</v>
      </c>
      <c r="F336" s="7"/>
      <c r="G336" s="7"/>
      <c r="H336" s="7"/>
      <c r="I336" s="8" t="s">
        <v>105</v>
      </c>
      <c r="J336" s="8"/>
      <c r="K336" s="8"/>
      <c r="L336" s="8"/>
      <c r="M336" s="20" t="s">
        <v>105</v>
      </c>
      <c r="N336" s="20" t="s">
        <v>321</v>
      </c>
      <c r="O336" s="20" t="s">
        <v>208</v>
      </c>
      <c r="P336" s="20"/>
      <c r="Q336" s="9" t="s">
        <v>241</v>
      </c>
      <c r="R336" s="9" t="s">
        <v>219</v>
      </c>
      <c r="S336" s="9" t="s">
        <v>240</v>
      </c>
      <c r="T336" s="9" t="s">
        <v>332</v>
      </c>
      <c r="U336" s="9"/>
      <c r="V336" s="13" t="s">
        <v>110</v>
      </c>
    </row>
    <row r="337" spans="2:22" x14ac:dyDescent="0.25">
      <c r="B337" s="83"/>
      <c r="C337" s="78"/>
      <c r="D337" s="78"/>
      <c r="E337" s="7"/>
      <c r="F337" s="7"/>
      <c r="G337" s="7"/>
      <c r="H337" s="7"/>
      <c r="I337" s="8"/>
      <c r="J337" s="8"/>
      <c r="K337" s="8"/>
      <c r="L337" s="8"/>
      <c r="M337" s="20"/>
      <c r="N337" s="20"/>
      <c r="O337" s="20"/>
      <c r="P337" s="20"/>
      <c r="Q337" s="9"/>
      <c r="R337" s="9"/>
      <c r="S337" s="9"/>
      <c r="T337" s="9"/>
      <c r="U337" s="9"/>
      <c r="V337" s="13"/>
    </row>
    <row r="338" spans="2:22" x14ac:dyDescent="0.25">
      <c r="B338" s="2" t="s">
        <v>91</v>
      </c>
      <c r="C338" s="2">
        <f>SUM(C326:C337)</f>
        <v>6</v>
      </c>
      <c r="D338" s="2">
        <f>SUM(D326:D337)</f>
        <v>4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41" spans="2:22" x14ac:dyDescent="0.25">
      <c r="B341" s="11">
        <v>45918</v>
      </c>
      <c r="C341" s="10" t="s">
        <v>346</v>
      </c>
      <c r="D341" s="10" t="s">
        <v>347</v>
      </c>
      <c r="E341" s="80" t="s">
        <v>84</v>
      </c>
      <c r="F341" s="80"/>
      <c r="G341" s="80"/>
      <c r="H341" s="80"/>
      <c r="I341" s="81" t="s">
        <v>87</v>
      </c>
      <c r="J341" s="81"/>
      <c r="K341" s="81"/>
      <c r="L341" s="81"/>
      <c r="M341" s="82" t="s">
        <v>86</v>
      </c>
      <c r="N341" s="82"/>
      <c r="O341" s="82"/>
      <c r="P341" s="82"/>
      <c r="Q341" s="79" t="s">
        <v>80</v>
      </c>
      <c r="R341" s="79"/>
      <c r="S341" s="79"/>
      <c r="T341" s="79"/>
      <c r="U341" s="79"/>
      <c r="V341" s="79"/>
    </row>
    <row r="342" spans="2:22" ht="15.6" customHeight="1" x14ac:dyDescent="0.25">
      <c r="B342" s="75" t="s">
        <v>367</v>
      </c>
      <c r="C342" s="77">
        <v>0</v>
      </c>
      <c r="D342" s="77">
        <v>0</v>
      </c>
      <c r="E342" s="7"/>
      <c r="F342" s="7"/>
      <c r="G342" s="7"/>
      <c r="H342" s="7"/>
      <c r="I342" s="8"/>
      <c r="J342" s="8"/>
      <c r="K342" s="8"/>
      <c r="L342" s="8"/>
      <c r="M342" s="20"/>
      <c r="N342" s="20"/>
      <c r="O342" s="20"/>
      <c r="P342" s="20"/>
      <c r="Q342" s="9" t="s">
        <v>309</v>
      </c>
      <c r="R342" s="9" t="s">
        <v>101</v>
      </c>
      <c r="S342" s="9" t="s">
        <v>310</v>
      </c>
      <c r="T342" s="9" t="s">
        <v>139</v>
      </c>
      <c r="U342" s="9"/>
      <c r="V342" s="13" t="s">
        <v>110</v>
      </c>
    </row>
    <row r="343" spans="2:22" x14ac:dyDescent="0.25">
      <c r="B343" s="76"/>
      <c r="C343" s="78"/>
      <c r="D343" s="78"/>
      <c r="E343" s="7"/>
      <c r="F343" s="7"/>
      <c r="G343" s="7"/>
      <c r="H343" s="7"/>
      <c r="I343" s="8"/>
      <c r="J343" s="8"/>
      <c r="K343" s="8"/>
      <c r="L343" s="8"/>
      <c r="M343" s="20"/>
      <c r="N343" s="20"/>
      <c r="O343" s="20"/>
      <c r="P343" s="20"/>
      <c r="Q343" s="9" t="s">
        <v>357</v>
      </c>
      <c r="R343" s="9" t="s">
        <v>331</v>
      </c>
      <c r="S343" s="9" t="s">
        <v>240</v>
      </c>
      <c r="T343" s="9" t="s">
        <v>168</v>
      </c>
      <c r="U343" s="9"/>
      <c r="V343" s="13" t="s">
        <v>248</v>
      </c>
    </row>
    <row r="344" spans="2:22" ht="15.6" customHeight="1" x14ac:dyDescent="0.25">
      <c r="B344" s="75" t="s">
        <v>372</v>
      </c>
      <c r="C344" s="77">
        <v>0</v>
      </c>
      <c r="D344" s="77">
        <v>0</v>
      </c>
      <c r="E344" s="7"/>
      <c r="F344" s="7"/>
      <c r="G344" s="7"/>
      <c r="H344" s="7"/>
      <c r="I344" s="8"/>
      <c r="J344" s="8"/>
      <c r="K344" s="8"/>
      <c r="L344" s="8"/>
      <c r="M344" s="20"/>
      <c r="N344" s="20"/>
      <c r="O344" s="20"/>
      <c r="P344" s="20"/>
      <c r="Q344" s="9" t="s">
        <v>241</v>
      </c>
      <c r="R344" s="9" t="s">
        <v>321</v>
      </c>
      <c r="S344" s="9" t="s">
        <v>106</v>
      </c>
      <c r="T344" s="9" t="s">
        <v>338</v>
      </c>
      <c r="U344" s="9"/>
      <c r="V344" s="13" t="s">
        <v>353</v>
      </c>
    </row>
    <row r="345" spans="2:22" x14ac:dyDescent="0.25">
      <c r="B345" s="83"/>
      <c r="C345" s="78"/>
      <c r="D345" s="78"/>
      <c r="E345" s="7"/>
      <c r="F345" s="7"/>
      <c r="G345" s="7"/>
      <c r="H345" s="7"/>
      <c r="I345" s="8"/>
      <c r="J345" s="8"/>
      <c r="K345" s="8"/>
      <c r="L345" s="8"/>
      <c r="M345" s="20"/>
      <c r="N345" s="20"/>
      <c r="O345" s="20"/>
      <c r="P345" s="20"/>
      <c r="Q345" s="9" t="s">
        <v>309</v>
      </c>
      <c r="R345" s="9" t="s">
        <v>101</v>
      </c>
      <c r="S345" s="9" t="s">
        <v>310</v>
      </c>
      <c r="T345" s="9" t="s">
        <v>200</v>
      </c>
      <c r="U345" s="9"/>
      <c r="V345" s="13" t="s">
        <v>110</v>
      </c>
    </row>
    <row r="346" spans="2:22" ht="15.6" customHeight="1" x14ac:dyDescent="0.25">
      <c r="B346" s="75" t="s">
        <v>369</v>
      </c>
      <c r="C346" s="77">
        <v>1</v>
      </c>
      <c r="D346" s="77">
        <v>0</v>
      </c>
      <c r="E346" s="7" t="s">
        <v>344</v>
      </c>
      <c r="F346" s="7"/>
      <c r="G346" s="7"/>
      <c r="H346" s="7"/>
      <c r="I346" s="8" t="s">
        <v>100</v>
      </c>
      <c r="J346" s="8"/>
      <c r="K346" s="8"/>
      <c r="L346" s="8"/>
      <c r="M346" s="20" t="s">
        <v>243</v>
      </c>
      <c r="N346" s="20" t="s">
        <v>113</v>
      </c>
      <c r="O346" s="20" t="s">
        <v>109</v>
      </c>
      <c r="P346" s="20"/>
      <c r="Q346" s="9" t="s">
        <v>106</v>
      </c>
      <c r="R346" s="9" t="s">
        <v>241</v>
      </c>
      <c r="S346" s="9" t="s">
        <v>338</v>
      </c>
      <c r="T346" s="9" t="s">
        <v>321</v>
      </c>
      <c r="U346" s="9"/>
      <c r="V346" s="13" t="s">
        <v>200</v>
      </c>
    </row>
    <row r="347" spans="2:22" x14ac:dyDescent="0.25">
      <c r="B347" s="76"/>
      <c r="C347" s="78"/>
      <c r="D347" s="78"/>
      <c r="E347" s="7"/>
      <c r="F347" s="7"/>
      <c r="G347" s="7"/>
      <c r="H347" s="7"/>
      <c r="I347" s="8"/>
      <c r="J347" s="8"/>
      <c r="K347" s="8"/>
      <c r="L347" s="8"/>
      <c r="M347" s="20"/>
      <c r="N347" s="20"/>
      <c r="O347" s="20"/>
      <c r="P347" s="20"/>
      <c r="Q347" s="9"/>
      <c r="R347" s="9"/>
      <c r="S347" s="9"/>
      <c r="T347" s="9"/>
      <c r="U347" s="9"/>
      <c r="V347" s="13"/>
    </row>
    <row r="348" spans="2:22" ht="15.6" customHeight="1" x14ac:dyDescent="0.25">
      <c r="B348" s="75" t="s">
        <v>367</v>
      </c>
      <c r="C348" s="77">
        <v>5</v>
      </c>
      <c r="D348" s="77">
        <v>0</v>
      </c>
      <c r="E348" s="7" t="s">
        <v>110</v>
      </c>
      <c r="F348" s="7" t="s">
        <v>99</v>
      </c>
      <c r="G348" s="7" t="s">
        <v>249</v>
      </c>
      <c r="H348" s="7" t="s">
        <v>179</v>
      </c>
      <c r="I348" s="8"/>
      <c r="J348" s="8" t="s">
        <v>112</v>
      </c>
      <c r="K348" s="8" t="s">
        <v>99</v>
      </c>
      <c r="L348" s="8" t="s">
        <v>321</v>
      </c>
      <c r="M348" s="20" t="s">
        <v>97</v>
      </c>
      <c r="N348" s="20" t="s">
        <v>321</v>
      </c>
      <c r="O348" s="20" t="s">
        <v>99</v>
      </c>
      <c r="P348" s="20"/>
      <c r="Q348" s="9" t="s">
        <v>309</v>
      </c>
      <c r="R348" s="9" t="s">
        <v>101</v>
      </c>
      <c r="S348" s="9" t="s">
        <v>248</v>
      </c>
      <c r="T348" s="9" t="s">
        <v>110</v>
      </c>
      <c r="U348" s="9"/>
      <c r="V348" s="13" t="s">
        <v>139</v>
      </c>
    </row>
    <row r="349" spans="2:22" x14ac:dyDescent="0.25">
      <c r="B349" s="76"/>
      <c r="C349" s="78"/>
      <c r="D349" s="78"/>
      <c r="E349" s="7" t="s">
        <v>179</v>
      </c>
      <c r="F349" s="7"/>
      <c r="G349" s="7"/>
      <c r="H349" s="7"/>
      <c r="I349" s="8" t="s">
        <v>99</v>
      </c>
      <c r="J349" s="8"/>
      <c r="K349" s="8"/>
      <c r="L349" s="8"/>
      <c r="M349" s="20"/>
      <c r="N349" s="20"/>
      <c r="O349" s="20"/>
      <c r="P349" s="20"/>
      <c r="Q349" s="9"/>
      <c r="R349" s="9"/>
      <c r="S349" s="9"/>
      <c r="T349" s="9"/>
      <c r="U349" s="9"/>
      <c r="V349" s="13"/>
    </row>
    <row r="350" spans="2:22" ht="15.6" customHeight="1" x14ac:dyDescent="0.25">
      <c r="B350" s="75" t="s">
        <v>372</v>
      </c>
      <c r="C350" s="77">
        <v>2</v>
      </c>
      <c r="D350" s="77">
        <v>0</v>
      </c>
      <c r="E350" s="7"/>
      <c r="F350" s="7"/>
      <c r="G350" s="7"/>
      <c r="H350" s="7"/>
      <c r="I350" s="8"/>
      <c r="J350" s="8"/>
      <c r="K350" s="8"/>
      <c r="L350" s="8"/>
      <c r="M350" s="20"/>
      <c r="N350" s="20"/>
      <c r="O350" s="20"/>
      <c r="P350" s="20"/>
      <c r="Q350" s="9"/>
      <c r="R350" s="9"/>
      <c r="S350" s="9"/>
      <c r="T350" s="9"/>
      <c r="U350" s="9"/>
      <c r="V350" s="13"/>
    </row>
    <row r="351" spans="2:22" x14ac:dyDescent="0.25">
      <c r="B351" s="83"/>
      <c r="C351" s="78"/>
      <c r="D351" s="78"/>
      <c r="E351" s="7" t="s">
        <v>139</v>
      </c>
      <c r="F351" s="7" t="s">
        <v>99</v>
      </c>
      <c r="G351" s="7"/>
      <c r="H351" s="7"/>
      <c r="I351" s="8" t="s">
        <v>179</v>
      </c>
      <c r="J351" s="8" t="s">
        <v>112</v>
      </c>
      <c r="K351" s="8"/>
      <c r="L351" s="8"/>
      <c r="M351" s="20" t="s">
        <v>99</v>
      </c>
      <c r="N351" s="20" t="s">
        <v>321</v>
      </c>
      <c r="O351" s="20" t="s">
        <v>310</v>
      </c>
      <c r="P351" s="20"/>
      <c r="Q351" s="9" t="s">
        <v>309</v>
      </c>
      <c r="R351" s="9" t="s">
        <v>200</v>
      </c>
      <c r="S351" s="9" t="s">
        <v>110</v>
      </c>
      <c r="T351" s="9" t="s">
        <v>101</v>
      </c>
      <c r="U351" s="9"/>
      <c r="V351" s="13" t="s">
        <v>111</v>
      </c>
    </row>
    <row r="352" spans="2:22" ht="15.6" customHeight="1" x14ac:dyDescent="0.25">
      <c r="B352" s="75" t="s">
        <v>369</v>
      </c>
      <c r="C352" s="77">
        <v>1</v>
      </c>
      <c r="D352" s="77">
        <v>0</v>
      </c>
      <c r="E352" s="7" t="s">
        <v>113</v>
      </c>
      <c r="F352" s="7" t="s">
        <v>344</v>
      </c>
      <c r="G352" s="7"/>
      <c r="H352" s="7"/>
      <c r="I352" s="8"/>
      <c r="J352" s="8"/>
      <c r="K352" s="8"/>
      <c r="L352" s="8"/>
      <c r="M352" s="20" t="s">
        <v>109</v>
      </c>
      <c r="N352" s="20" t="s">
        <v>113</v>
      </c>
      <c r="O352" s="20" t="s">
        <v>243</v>
      </c>
      <c r="P352" s="20"/>
      <c r="Q352" s="9" t="s">
        <v>106</v>
      </c>
      <c r="R352" s="9" t="s">
        <v>338</v>
      </c>
      <c r="S352" s="9" t="s">
        <v>241</v>
      </c>
      <c r="T352" s="9" t="s">
        <v>321</v>
      </c>
      <c r="U352" s="9"/>
      <c r="V352" s="13" t="s">
        <v>179</v>
      </c>
    </row>
    <row r="353" spans="2:22" x14ac:dyDescent="0.25">
      <c r="B353" s="76"/>
      <c r="C353" s="78"/>
      <c r="D353" s="78"/>
      <c r="E353" s="7"/>
      <c r="F353" s="7"/>
      <c r="G353" s="7"/>
      <c r="H353" s="7"/>
      <c r="I353" s="8"/>
      <c r="J353" s="8"/>
      <c r="K353" s="8"/>
      <c r="L353" s="8"/>
      <c r="M353" s="20"/>
      <c r="N353" s="20"/>
      <c r="O353" s="20"/>
      <c r="P353" s="20"/>
      <c r="Q353" s="9"/>
      <c r="R353" s="9"/>
      <c r="S353" s="9"/>
      <c r="T353" s="9"/>
      <c r="U353" s="9"/>
      <c r="V353" s="13"/>
    </row>
    <row r="354" spans="2:22" x14ac:dyDescent="0.25">
      <c r="B354" s="2" t="s">
        <v>91</v>
      </c>
      <c r="C354" s="2">
        <f>SUM(C342:C353)</f>
        <v>9</v>
      </c>
      <c r="D354" s="2">
        <f>SUM(D342:D353)</f>
        <v>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7" spans="2:22" x14ac:dyDescent="0.25">
      <c r="B357" s="11">
        <v>45927</v>
      </c>
      <c r="C357" s="10" t="s">
        <v>346</v>
      </c>
      <c r="D357" s="10" t="s">
        <v>347</v>
      </c>
      <c r="E357" s="80" t="s">
        <v>84</v>
      </c>
      <c r="F357" s="80"/>
      <c r="G357" s="80"/>
      <c r="H357" s="80"/>
      <c r="I357" s="81" t="s">
        <v>87</v>
      </c>
      <c r="J357" s="81"/>
      <c r="K357" s="81"/>
      <c r="L357" s="81"/>
      <c r="M357" s="82" t="s">
        <v>86</v>
      </c>
      <c r="N357" s="82"/>
      <c r="O357" s="82"/>
      <c r="P357" s="82"/>
      <c r="Q357" s="79" t="s">
        <v>80</v>
      </c>
      <c r="R357" s="79"/>
      <c r="S357" s="79"/>
      <c r="T357" s="79"/>
      <c r="U357" s="79"/>
      <c r="V357" s="79"/>
    </row>
    <row r="358" spans="2:22" ht="15.6" customHeight="1" x14ac:dyDescent="0.25">
      <c r="B358" s="75" t="s">
        <v>322</v>
      </c>
      <c r="C358" s="77">
        <v>1</v>
      </c>
      <c r="D358" s="77">
        <v>1</v>
      </c>
      <c r="E358" s="7" t="s">
        <v>373</v>
      </c>
      <c r="F358" s="7"/>
      <c r="G358" s="7"/>
      <c r="H358" s="7"/>
      <c r="I358" s="8"/>
      <c r="J358" s="8"/>
      <c r="K358" s="8"/>
      <c r="L358" s="8"/>
      <c r="M358" s="20"/>
      <c r="N358" s="20"/>
      <c r="O358" s="20"/>
      <c r="P358" s="20"/>
      <c r="Q358" s="9"/>
      <c r="R358" s="9"/>
      <c r="S358" s="9"/>
      <c r="T358" s="9"/>
      <c r="U358" s="9"/>
      <c r="V358" s="13"/>
    </row>
    <row r="359" spans="2:22" x14ac:dyDescent="0.25">
      <c r="B359" s="76"/>
      <c r="C359" s="78"/>
      <c r="D359" s="78"/>
      <c r="E359" s="7" t="s">
        <v>223</v>
      </c>
      <c r="F359" s="7"/>
      <c r="G359" s="7"/>
      <c r="H359" s="7"/>
      <c r="I359" s="8"/>
      <c r="J359" s="8"/>
      <c r="K359" s="8"/>
      <c r="L359" s="8"/>
      <c r="M359" s="20"/>
      <c r="N359" s="20"/>
      <c r="O359" s="20"/>
      <c r="P359" s="20"/>
      <c r="Q359" s="9"/>
      <c r="R359" s="9"/>
      <c r="S359" s="9"/>
      <c r="T359" s="9"/>
      <c r="U359" s="9"/>
      <c r="V359" s="13"/>
    </row>
    <row r="360" spans="2:22" ht="15.6" customHeight="1" x14ac:dyDescent="0.25">
      <c r="B360" s="75" t="s">
        <v>73</v>
      </c>
      <c r="C360" s="77">
        <v>1</v>
      </c>
      <c r="D360" s="77">
        <v>0</v>
      </c>
      <c r="E360" s="7"/>
      <c r="F360" s="7"/>
      <c r="G360" s="7"/>
      <c r="H360" s="7"/>
      <c r="I360" s="8" t="s">
        <v>206</v>
      </c>
      <c r="J360" s="8"/>
      <c r="K360" s="8"/>
      <c r="L360" s="8"/>
      <c r="M360" s="20" t="s">
        <v>109</v>
      </c>
      <c r="N360" s="20" t="s">
        <v>218</v>
      </c>
      <c r="O360" s="20" t="s">
        <v>206</v>
      </c>
      <c r="P360" s="20"/>
      <c r="Q360" s="9" t="s">
        <v>186</v>
      </c>
      <c r="R360" s="9" t="s">
        <v>140</v>
      </c>
      <c r="S360" s="9"/>
      <c r="T360" s="9"/>
      <c r="U360" s="9"/>
      <c r="V360" s="13"/>
    </row>
    <row r="361" spans="2:22" x14ac:dyDescent="0.25">
      <c r="B361" s="76"/>
      <c r="C361" s="78"/>
      <c r="D361" s="78"/>
      <c r="E361" s="7"/>
      <c r="F361" s="7"/>
      <c r="G361" s="7"/>
      <c r="H361" s="7"/>
      <c r="I361" s="8"/>
      <c r="J361" s="8"/>
      <c r="K361" s="8"/>
      <c r="L361" s="8"/>
      <c r="M361" s="20"/>
      <c r="N361" s="20"/>
      <c r="O361" s="20"/>
      <c r="P361" s="20"/>
      <c r="Q361" s="9"/>
      <c r="R361" s="9"/>
      <c r="S361" s="9"/>
      <c r="T361" s="9"/>
      <c r="U361" s="9"/>
      <c r="V361" s="13"/>
    </row>
    <row r="362" spans="2:22" ht="15.6" customHeight="1" x14ac:dyDescent="0.25">
      <c r="B362" s="75" t="s">
        <v>75</v>
      </c>
      <c r="C362" s="77">
        <v>1</v>
      </c>
      <c r="D362" s="77">
        <v>0</v>
      </c>
      <c r="E362" s="7" t="s">
        <v>124</v>
      </c>
      <c r="F362" s="7"/>
      <c r="G362" s="7"/>
      <c r="H362" s="7"/>
      <c r="I362" s="8" t="s">
        <v>107</v>
      </c>
      <c r="J362" s="8"/>
      <c r="K362" s="8"/>
      <c r="L362" s="8"/>
      <c r="M362" s="20" t="s">
        <v>218</v>
      </c>
      <c r="N362" s="20" t="s">
        <v>206</v>
      </c>
      <c r="O362" s="20" t="s">
        <v>345</v>
      </c>
      <c r="P362" s="20"/>
      <c r="Q362" s="9" t="s">
        <v>124</v>
      </c>
      <c r="R362" s="9" t="s">
        <v>140</v>
      </c>
      <c r="S362" s="9" t="s">
        <v>186</v>
      </c>
      <c r="T362" s="9" t="s">
        <v>366</v>
      </c>
      <c r="U362" s="9"/>
      <c r="V362" s="13" t="s">
        <v>111</v>
      </c>
    </row>
    <row r="363" spans="2:22" x14ac:dyDescent="0.25">
      <c r="B363" s="76"/>
      <c r="C363" s="78"/>
      <c r="D363" s="78"/>
      <c r="E363" s="7"/>
      <c r="F363" s="7"/>
      <c r="G363" s="7"/>
      <c r="H363" s="7"/>
      <c r="I363" s="8"/>
      <c r="J363" s="8"/>
      <c r="K363" s="8"/>
      <c r="L363" s="8"/>
      <c r="M363" s="20"/>
      <c r="N363" s="20"/>
      <c r="O363" s="20"/>
      <c r="P363" s="20"/>
      <c r="Q363" s="9"/>
      <c r="R363" s="9"/>
      <c r="S363" s="9"/>
      <c r="T363" s="9"/>
      <c r="U363" s="9"/>
      <c r="V363" s="13"/>
    </row>
    <row r="364" spans="2:22" ht="15.6" customHeight="1" x14ac:dyDescent="0.25">
      <c r="B364" s="75" t="s">
        <v>43</v>
      </c>
      <c r="C364" s="77">
        <v>1</v>
      </c>
      <c r="D364" s="77">
        <v>1</v>
      </c>
      <c r="E364" s="7"/>
      <c r="F364" s="7"/>
      <c r="G364" s="7"/>
      <c r="H364" s="7"/>
      <c r="I364" s="8"/>
      <c r="J364" s="8"/>
      <c r="K364" s="8"/>
      <c r="L364" s="8"/>
      <c r="M364" s="20"/>
      <c r="N364" s="20"/>
      <c r="O364" s="20"/>
      <c r="P364" s="20"/>
      <c r="Q364" s="9"/>
      <c r="R364" s="9"/>
      <c r="S364" s="9"/>
      <c r="T364" s="9"/>
      <c r="U364" s="9"/>
      <c r="V364" s="13"/>
    </row>
    <row r="365" spans="2:22" x14ac:dyDescent="0.25">
      <c r="B365" s="76"/>
      <c r="C365" s="78"/>
      <c r="D365" s="78"/>
      <c r="E365" s="7" t="s">
        <v>206</v>
      </c>
      <c r="F365" s="7"/>
      <c r="G365" s="7"/>
      <c r="H365" s="7"/>
      <c r="I365" s="8" t="s">
        <v>111</v>
      </c>
      <c r="J365" s="8"/>
      <c r="K365" s="8"/>
      <c r="L365" s="8"/>
      <c r="M365" s="20"/>
      <c r="N365" s="20"/>
      <c r="O365" s="20"/>
      <c r="P365" s="20"/>
      <c r="Q365" s="9"/>
      <c r="R365" s="9"/>
      <c r="S365" s="9"/>
      <c r="T365" s="9"/>
      <c r="U365" s="9"/>
      <c r="V365" s="13"/>
    </row>
    <row r="366" spans="2:22" x14ac:dyDescent="0.25">
      <c r="B366" s="2" t="s">
        <v>91</v>
      </c>
      <c r="C366" s="2">
        <f>SUM(C358:C365)</f>
        <v>4</v>
      </c>
      <c r="D366" s="2">
        <f>SUM(D358:D365)</f>
        <v>2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9" spans="2:22" x14ac:dyDescent="0.25">
      <c r="B369" s="11">
        <v>45930</v>
      </c>
      <c r="C369" s="10" t="s">
        <v>346</v>
      </c>
      <c r="D369" s="10" t="s">
        <v>347</v>
      </c>
      <c r="E369" s="80" t="s">
        <v>84</v>
      </c>
      <c r="F369" s="80"/>
      <c r="G369" s="80"/>
      <c r="H369" s="80"/>
      <c r="I369" s="81" t="s">
        <v>87</v>
      </c>
      <c r="J369" s="81"/>
      <c r="K369" s="81"/>
      <c r="L369" s="81"/>
      <c r="M369" s="82" t="s">
        <v>86</v>
      </c>
      <c r="N369" s="82"/>
      <c r="O369" s="82"/>
      <c r="P369" s="82"/>
      <c r="Q369" s="79" t="s">
        <v>80</v>
      </c>
      <c r="R369" s="79"/>
      <c r="S369" s="79"/>
      <c r="T369" s="79"/>
      <c r="U369" s="79"/>
      <c r="V369" s="79"/>
    </row>
    <row r="370" spans="2:22" ht="15.6" customHeight="1" x14ac:dyDescent="0.25">
      <c r="B370" s="75" t="s">
        <v>322</v>
      </c>
      <c r="C370" s="77">
        <v>2</v>
      </c>
      <c r="D370" s="77">
        <v>1</v>
      </c>
      <c r="E370" s="7" t="s">
        <v>353</v>
      </c>
      <c r="F370" s="7" t="s">
        <v>243</v>
      </c>
      <c r="G370" s="7"/>
      <c r="H370" s="7"/>
      <c r="I370" s="8"/>
      <c r="J370" s="8"/>
      <c r="K370" s="8"/>
      <c r="L370" s="8"/>
      <c r="M370" s="20"/>
      <c r="N370" s="20"/>
      <c r="O370" s="20"/>
      <c r="P370" s="20"/>
      <c r="Q370" s="9"/>
      <c r="R370" s="9"/>
      <c r="S370" s="9"/>
      <c r="T370" s="9"/>
      <c r="U370" s="9"/>
      <c r="V370" s="13"/>
    </row>
    <row r="371" spans="2:22" x14ac:dyDescent="0.25">
      <c r="B371" s="76"/>
      <c r="C371" s="78"/>
      <c r="D371" s="78"/>
      <c r="E371" s="7" t="s">
        <v>344</v>
      </c>
      <c r="F371" s="7"/>
      <c r="G371" s="7"/>
      <c r="H371" s="7"/>
      <c r="I371" s="8" t="s">
        <v>218</v>
      </c>
      <c r="J371" s="8"/>
      <c r="K371" s="8"/>
      <c r="L371" s="8"/>
      <c r="M371" s="20"/>
      <c r="N371" s="20"/>
      <c r="O371" s="20"/>
      <c r="P371" s="20"/>
      <c r="Q371" s="9"/>
      <c r="R371" s="9"/>
      <c r="S371" s="9"/>
      <c r="T371" s="9"/>
      <c r="U371" s="9"/>
      <c r="V371" s="13"/>
    </row>
    <row r="372" spans="2:22" ht="15.6" customHeight="1" x14ac:dyDescent="0.25">
      <c r="B372" s="75" t="s">
        <v>73</v>
      </c>
      <c r="C372" s="77">
        <v>1</v>
      </c>
      <c r="D372" s="77">
        <v>0</v>
      </c>
      <c r="E372" s="7" t="s">
        <v>105</v>
      </c>
      <c r="F372" s="7"/>
      <c r="G372" s="7"/>
      <c r="H372" s="7"/>
      <c r="I372" s="8" t="s">
        <v>111</v>
      </c>
      <c r="J372" s="8"/>
      <c r="K372" s="8"/>
      <c r="L372" s="8"/>
      <c r="M372" s="20" t="s">
        <v>105</v>
      </c>
      <c r="N372" s="20" t="s">
        <v>243</v>
      </c>
      <c r="O372" s="20" t="s">
        <v>321</v>
      </c>
      <c r="P372" s="20"/>
      <c r="Q372" s="9" t="s">
        <v>216</v>
      </c>
      <c r="R372" s="9" t="s">
        <v>106</v>
      </c>
      <c r="S372" s="9" t="s">
        <v>120</v>
      </c>
      <c r="T372" s="9" t="s">
        <v>314</v>
      </c>
      <c r="U372" s="9"/>
      <c r="V372" s="13" t="s">
        <v>124</v>
      </c>
    </row>
    <row r="373" spans="2:22" x14ac:dyDescent="0.25">
      <c r="B373" s="76"/>
      <c r="C373" s="78"/>
      <c r="D373" s="78"/>
      <c r="E373" s="7"/>
      <c r="F373" s="7"/>
      <c r="G373" s="7"/>
      <c r="H373" s="7"/>
      <c r="I373" s="8"/>
      <c r="J373" s="8"/>
      <c r="K373" s="8"/>
      <c r="L373" s="8"/>
      <c r="M373" s="20"/>
      <c r="N373" s="20"/>
      <c r="O373" s="20"/>
      <c r="P373" s="20"/>
      <c r="Q373" s="9"/>
      <c r="R373" s="9"/>
      <c r="S373" s="9"/>
      <c r="T373" s="9"/>
      <c r="U373" s="9"/>
      <c r="V373" s="13"/>
    </row>
    <row r="374" spans="2:22" ht="15.6" customHeight="1" x14ac:dyDescent="0.25">
      <c r="B374" s="75" t="s">
        <v>75</v>
      </c>
      <c r="C374" s="77">
        <v>0</v>
      </c>
      <c r="D374" s="77">
        <v>3</v>
      </c>
      <c r="E374" s="7"/>
      <c r="F374" s="7"/>
      <c r="G374" s="7"/>
      <c r="H374" s="7"/>
      <c r="I374" s="8"/>
      <c r="J374" s="8"/>
      <c r="K374" s="8"/>
      <c r="L374" s="8"/>
      <c r="M374" s="20"/>
      <c r="N374" s="20"/>
      <c r="O374" s="20"/>
      <c r="P374" s="20"/>
      <c r="Q374" s="9"/>
      <c r="R374" s="9"/>
      <c r="S374" s="9"/>
      <c r="T374" s="9"/>
      <c r="U374" s="9"/>
      <c r="V374" s="13"/>
    </row>
    <row r="375" spans="2:22" x14ac:dyDescent="0.25">
      <c r="B375" s="76"/>
      <c r="C375" s="78"/>
      <c r="D375" s="78"/>
      <c r="E375" s="7" t="s">
        <v>344</v>
      </c>
      <c r="F375" s="7" t="s">
        <v>223</v>
      </c>
      <c r="G375" s="7" t="s">
        <v>140</v>
      </c>
      <c r="H375" s="7"/>
      <c r="I375" s="8" t="s">
        <v>115</v>
      </c>
      <c r="J375" s="8"/>
      <c r="K375" s="8"/>
      <c r="L375" s="8"/>
      <c r="M375" s="20" t="s">
        <v>97</v>
      </c>
      <c r="N375" s="20" t="s">
        <v>115</v>
      </c>
      <c r="O375" s="20" t="s">
        <v>140</v>
      </c>
      <c r="P375" s="20"/>
      <c r="Q375" s="9" t="s">
        <v>357</v>
      </c>
      <c r="R375" s="9" t="s">
        <v>186</v>
      </c>
      <c r="S375" s="9" t="s">
        <v>207</v>
      </c>
      <c r="T375" s="9"/>
      <c r="U375" s="9"/>
      <c r="V375" s="13" t="s">
        <v>109</v>
      </c>
    </row>
    <row r="376" spans="2:22" ht="15.6" customHeight="1" x14ac:dyDescent="0.25">
      <c r="B376" s="75" t="s">
        <v>43</v>
      </c>
      <c r="C376" s="77">
        <v>0</v>
      </c>
      <c r="D376" s="77">
        <v>0</v>
      </c>
      <c r="E376" s="7"/>
      <c r="F376" s="7"/>
      <c r="G376" s="7"/>
      <c r="H376" s="7"/>
      <c r="I376" s="8"/>
      <c r="J376" s="8"/>
      <c r="K376" s="8"/>
      <c r="L376" s="8"/>
      <c r="M376" s="20"/>
      <c r="N376" s="20"/>
      <c r="O376" s="20"/>
      <c r="P376" s="20"/>
      <c r="Q376" s="9" t="s">
        <v>223</v>
      </c>
      <c r="R376" s="9"/>
      <c r="S376" s="9"/>
      <c r="T376" s="9"/>
      <c r="U376" s="9"/>
      <c r="V376" s="13" t="s">
        <v>115</v>
      </c>
    </row>
    <row r="377" spans="2:22" x14ac:dyDescent="0.25">
      <c r="B377" s="76"/>
      <c r="C377" s="78"/>
      <c r="D377" s="78"/>
      <c r="E377" s="7"/>
      <c r="F377" s="7"/>
      <c r="G377" s="7"/>
      <c r="H377" s="7"/>
      <c r="I377" s="8"/>
      <c r="J377" s="8"/>
      <c r="K377" s="8"/>
      <c r="L377" s="8"/>
      <c r="M377" s="20"/>
      <c r="N377" s="20"/>
      <c r="O377" s="20"/>
      <c r="P377" s="20"/>
      <c r="Q377" s="9" t="s">
        <v>120</v>
      </c>
      <c r="R377" s="9" t="s">
        <v>106</v>
      </c>
      <c r="S377" s="9" t="s">
        <v>124</v>
      </c>
      <c r="T377" s="9"/>
      <c r="U377" s="9"/>
      <c r="V377" s="13" t="s">
        <v>314</v>
      </c>
    </row>
    <row r="378" spans="2:22" ht="15.6" customHeight="1" x14ac:dyDescent="0.25">
      <c r="B378" s="75" t="s">
        <v>167</v>
      </c>
      <c r="C378" s="77">
        <v>2</v>
      </c>
      <c r="D378" s="77">
        <v>0</v>
      </c>
      <c r="E378" s="7" t="s">
        <v>218</v>
      </c>
      <c r="F378" s="7" t="s">
        <v>143</v>
      </c>
      <c r="G378" s="7"/>
      <c r="H378" s="7"/>
      <c r="I378" s="8"/>
      <c r="J378" s="8"/>
      <c r="K378" s="8"/>
      <c r="L378" s="8"/>
      <c r="M378" s="20" t="s">
        <v>115</v>
      </c>
      <c r="N378" s="20" t="s">
        <v>109</v>
      </c>
      <c r="O378" s="20"/>
      <c r="P378" s="20"/>
      <c r="Q378" s="9" t="s">
        <v>207</v>
      </c>
      <c r="R378" s="9" t="s">
        <v>140</v>
      </c>
      <c r="S378" s="9" t="s">
        <v>186</v>
      </c>
      <c r="T378" s="9"/>
      <c r="U378" s="9"/>
      <c r="V378" s="13" t="s">
        <v>97</v>
      </c>
    </row>
    <row r="379" spans="2:22" x14ac:dyDescent="0.25">
      <c r="B379" s="76"/>
      <c r="C379" s="78"/>
      <c r="D379" s="78"/>
      <c r="E379" s="7"/>
      <c r="F379" s="7"/>
      <c r="G379" s="7"/>
      <c r="H379" s="7"/>
      <c r="I379" s="8"/>
      <c r="J379" s="8"/>
      <c r="K379" s="8"/>
      <c r="L379" s="8"/>
      <c r="M379" s="20"/>
      <c r="N379" s="20"/>
      <c r="O379" s="20"/>
      <c r="P379" s="20"/>
      <c r="Q379" s="9"/>
      <c r="R379" s="9"/>
      <c r="S379" s="9"/>
      <c r="T379" s="9"/>
      <c r="U379" s="9"/>
      <c r="V379" s="13"/>
    </row>
    <row r="380" spans="2:22" x14ac:dyDescent="0.25">
      <c r="B380" s="2" t="s">
        <v>91</v>
      </c>
      <c r="C380" s="2">
        <f>SUM(C370:C379)</f>
        <v>5</v>
      </c>
      <c r="D380" s="2">
        <f>SUM(D370:D379)</f>
        <v>4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3" spans="2:22" x14ac:dyDescent="0.25">
      <c r="B383" s="11">
        <v>45947</v>
      </c>
      <c r="C383" s="10" t="s">
        <v>346</v>
      </c>
      <c r="D383" s="10" t="s">
        <v>347</v>
      </c>
      <c r="E383" s="80" t="s">
        <v>84</v>
      </c>
      <c r="F383" s="80"/>
      <c r="G383" s="80"/>
      <c r="H383" s="80"/>
      <c r="I383" s="81" t="s">
        <v>87</v>
      </c>
      <c r="J383" s="81"/>
      <c r="K383" s="81"/>
      <c r="L383" s="81"/>
      <c r="M383" s="82" t="s">
        <v>86</v>
      </c>
      <c r="N383" s="82"/>
      <c r="O383" s="82"/>
      <c r="P383" s="82"/>
      <c r="Q383" s="79" t="s">
        <v>80</v>
      </c>
      <c r="R383" s="79"/>
      <c r="S383" s="79"/>
      <c r="T383" s="79"/>
      <c r="U383" s="79"/>
      <c r="V383" s="79"/>
    </row>
    <row r="384" spans="2:22" x14ac:dyDescent="0.25">
      <c r="B384" s="75" t="s">
        <v>322</v>
      </c>
      <c r="C384" s="77">
        <v>3</v>
      </c>
      <c r="D384" s="77">
        <v>1</v>
      </c>
      <c r="E384" s="7" t="s">
        <v>139</v>
      </c>
      <c r="F384" s="7" t="s">
        <v>139</v>
      </c>
      <c r="G384" s="7" t="s">
        <v>134</v>
      </c>
      <c r="H384" s="7"/>
      <c r="I384" s="8"/>
      <c r="J384" s="8" t="s">
        <v>134</v>
      </c>
      <c r="K384" s="8" t="s">
        <v>139</v>
      </c>
      <c r="L384" s="8"/>
      <c r="M384" s="20"/>
      <c r="N384" s="20"/>
      <c r="O384" s="20"/>
      <c r="P384" s="20"/>
      <c r="Q384" s="9"/>
      <c r="R384" s="9"/>
      <c r="S384" s="9"/>
      <c r="T384" s="9"/>
      <c r="U384" s="9"/>
      <c r="V384" s="13"/>
    </row>
    <row r="385" spans="2:22" x14ac:dyDescent="0.25">
      <c r="B385" s="76"/>
      <c r="C385" s="78"/>
      <c r="D385" s="78"/>
      <c r="E385" s="7"/>
      <c r="F385" s="7"/>
      <c r="G385" s="7"/>
      <c r="H385" s="7"/>
      <c r="I385" s="8"/>
      <c r="J385" s="8"/>
      <c r="K385" s="8"/>
      <c r="L385" s="8"/>
      <c r="M385" s="20"/>
      <c r="N385" s="20"/>
      <c r="O385" s="20"/>
      <c r="P385" s="20"/>
      <c r="Q385" s="9"/>
      <c r="R385" s="9"/>
      <c r="S385" s="9"/>
      <c r="T385" s="9"/>
      <c r="U385" s="9"/>
      <c r="V385" s="13"/>
    </row>
    <row r="386" spans="2:22" x14ac:dyDescent="0.25">
      <c r="B386" s="75" t="s">
        <v>73</v>
      </c>
      <c r="C386" s="77">
        <v>1</v>
      </c>
      <c r="D386" s="77">
        <v>1</v>
      </c>
      <c r="E386" s="7" t="s">
        <v>251</v>
      </c>
      <c r="F386" s="7"/>
      <c r="G386" s="7"/>
      <c r="H386" s="7"/>
      <c r="I386" s="8" t="s">
        <v>113</v>
      </c>
      <c r="J386" s="8"/>
      <c r="K386" s="8"/>
      <c r="L386" s="8"/>
      <c r="M386" s="20"/>
      <c r="N386" s="20"/>
      <c r="O386" s="20"/>
      <c r="P386" s="20"/>
      <c r="Q386" s="9"/>
      <c r="R386" s="9"/>
      <c r="S386" s="9"/>
      <c r="T386" s="9"/>
      <c r="U386" s="9"/>
      <c r="V386" s="13"/>
    </row>
    <row r="387" spans="2:22" x14ac:dyDescent="0.25">
      <c r="B387" s="76"/>
      <c r="C387" s="78"/>
      <c r="D387" s="78"/>
      <c r="E387" s="7" t="s">
        <v>111</v>
      </c>
      <c r="F387" s="7"/>
      <c r="G387" s="7"/>
      <c r="H387" s="7"/>
      <c r="I387" s="8"/>
      <c r="J387" s="8"/>
      <c r="K387" s="8"/>
      <c r="L387" s="8"/>
      <c r="M387" s="20"/>
      <c r="N387" s="20"/>
      <c r="O387" s="20"/>
      <c r="P387" s="20"/>
      <c r="Q387" s="9"/>
      <c r="R387" s="9"/>
      <c r="S387" s="9"/>
      <c r="T387" s="9"/>
      <c r="U387" s="9"/>
      <c r="V387" s="13"/>
    </row>
    <row r="388" spans="2:22" x14ac:dyDescent="0.25">
      <c r="B388" s="75" t="s">
        <v>75</v>
      </c>
      <c r="C388" s="77">
        <v>1</v>
      </c>
      <c r="D388" s="77">
        <v>0</v>
      </c>
      <c r="E388" s="7" t="s">
        <v>108</v>
      </c>
      <c r="F388" s="7"/>
      <c r="G388" s="7"/>
      <c r="H388" s="7"/>
      <c r="I388" s="8" t="s">
        <v>244</v>
      </c>
      <c r="J388" s="8"/>
      <c r="K388" s="8"/>
      <c r="L388" s="8"/>
      <c r="M388" s="20" t="s">
        <v>206</v>
      </c>
      <c r="N388" s="20" t="s">
        <v>99</v>
      </c>
      <c r="O388" s="20" t="s">
        <v>244</v>
      </c>
      <c r="P388" s="20"/>
      <c r="Q388" s="9" t="s">
        <v>219</v>
      </c>
      <c r="R388" s="9" t="s">
        <v>120</v>
      </c>
      <c r="S388" s="9" t="s">
        <v>241</v>
      </c>
      <c r="T388" s="9" t="s">
        <v>124</v>
      </c>
      <c r="U388" s="9"/>
      <c r="V388" s="13" t="s">
        <v>179</v>
      </c>
    </row>
    <row r="389" spans="2:22" x14ac:dyDescent="0.25">
      <c r="B389" s="76"/>
      <c r="C389" s="78"/>
      <c r="D389" s="78"/>
      <c r="E389" s="7"/>
      <c r="F389" s="7"/>
      <c r="G389" s="7"/>
      <c r="H389" s="7"/>
      <c r="I389" s="8"/>
      <c r="J389" s="8"/>
      <c r="K389" s="8"/>
      <c r="L389" s="8"/>
      <c r="M389" s="20"/>
      <c r="N389" s="20"/>
      <c r="O389" s="20"/>
      <c r="P389" s="20"/>
      <c r="Q389" s="9"/>
      <c r="R389" s="9"/>
      <c r="S389" s="9"/>
      <c r="T389" s="9"/>
      <c r="U389" s="9"/>
      <c r="V389" s="13"/>
    </row>
    <row r="390" spans="2:22" x14ac:dyDescent="0.25">
      <c r="B390" s="75" t="s">
        <v>43</v>
      </c>
      <c r="C390" s="77">
        <v>0</v>
      </c>
      <c r="D390" s="77">
        <v>0</v>
      </c>
      <c r="E390" s="7"/>
      <c r="F390" s="7"/>
      <c r="G390" s="7"/>
      <c r="H390" s="7"/>
      <c r="I390" s="8"/>
      <c r="J390" s="8"/>
      <c r="K390" s="8"/>
      <c r="L390" s="8"/>
      <c r="M390" s="20"/>
      <c r="N390" s="20"/>
      <c r="O390" s="20"/>
      <c r="P390" s="20"/>
      <c r="Q390" s="9" t="s">
        <v>120</v>
      </c>
      <c r="R390" s="9" t="s">
        <v>219</v>
      </c>
      <c r="S390" s="9" t="s">
        <v>99</v>
      </c>
      <c r="T390" s="9" t="s">
        <v>241</v>
      </c>
      <c r="U390" s="9"/>
      <c r="V390" s="13" t="s">
        <v>251</v>
      </c>
    </row>
    <row r="391" spans="2:22" x14ac:dyDescent="0.25">
      <c r="B391" s="76"/>
      <c r="C391" s="78"/>
      <c r="D391" s="78"/>
      <c r="E391" s="7"/>
      <c r="F391" s="7"/>
      <c r="G391" s="7"/>
      <c r="H391" s="7"/>
      <c r="I391" s="8"/>
      <c r="J391" s="8"/>
      <c r="K391" s="8"/>
      <c r="L391" s="8"/>
      <c r="M391" s="20"/>
      <c r="N391" s="20"/>
      <c r="O391" s="20"/>
      <c r="P391" s="20"/>
      <c r="Q391" s="9" t="s">
        <v>134</v>
      </c>
      <c r="R391" s="9" t="s">
        <v>186</v>
      </c>
      <c r="S391" s="9" t="s">
        <v>140</v>
      </c>
      <c r="T391" s="9"/>
      <c r="U391" s="9"/>
      <c r="V391" s="13" t="s">
        <v>111</v>
      </c>
    </row>
    <row r="392" spans="2:22" x14ac:dyDescent="0.25">
      <c r="B392" s="2" t="s">
        <v>91</v>
      </c>
      <c r="C392" s="2">
        <f>SUM(C384:C391)</f>
        <v>5</v>
      </c>
      <c r="D392" s="2">
        <f>SUM(D384:D391)</f>
        <v>2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5" spans="2:22" x14ac:dyDescent="0.25">
      <c r="B395" s="11">
        <v>45950</v>
      </c>
      <c r="C395" s="10" t="s">
        <v>346</v>
      </c>
      <c r="D395" s="10" t="s">
        <v>347</v>
      </c>
      <c r="E395" s="80" t="s">
        <v>84</v>
      </c>
      <c r="F395" s="80"/>
      <c r="G395" s="80"/>
      <c r="H395" s="80"/>
      <c r="I395" s="81" t="s">
        <v>87</v>
      </c>
      <c r="J395" s="81"/>
      <c r="K395" s="81"/>
      <c r="L395" s="81"/>
      <c r="M395" s="82" t="s">
        <v>86</v>
      </c>
      <c r="N395" s="82"/>
      <c r="O395" s="82"/>
      <c r="P395" s="82"/>
      <c r="Q395" s="79" t="s">
        <v>80</v>
      </c>
      <c r="R395" s="79"/>
      <c r="S395" s="79"/>
      <c r="T395" s="79"/>
      <c r="U395" s="79"/>
      <c r="V395" s="79"/>
    </row>
    <row r="396" spans="2:22" x14ac:dyDescent="0.25">
      <c r="B396" s="75" t="s">
        <v>322</v>
      </c>
      <c r="C396" s="77">
        <v>1</v>
      </c>
      <c r="D396" s="77">
        <v>0</v>
      </c>
      <c r="E396" s="7" t="s">
        <v>251</v>
      </c>
      <c r="F396" s="7"/>
      <c r="G396" s="7"/>
      <c r="H396" s="7"/>
      <c r="I396" s="8" t="s">
        <v>207</v>
      </c>
      <c r="J396" s="8"/>
      <c r="K396" s="8"/>
      <c r="L396" s="8"/>
      <c r="M396" s="20" t="s">
        <v>99</v>
      </c>
      <c r="N396" s="20" t="s">
        <v>243</v>
      </c>
      <c r="O396" s="20" t="s">
        <v>244</v>
      </c>
      <c r="P396" s="20"/>
      <c r="Q396" s="9" t="s">
        <v>207</v>
      </c>
      <c r="R396" s="9" t="s">
        <v>139</v>
      </c>
      <c r="S396" s="9" t="s">
        <v>140</v>
      </c>
      <c r="T396" s="9" t="s">
        <v>120</v>
      </c>
      <c r="U396" s="9"/>
      <c r="V396" s="13" t="s">
        <v>309</v>
      </c>
    </row>
    <row r="397" spans="2:22" x14ac:dyDescent="0.25">
      <c r="B397" s="76"/>
      <c r="C397" s="78"/>
      <c r="D397" s="78"/>
      <c r="E397" s="7"/>
      <c r="F397" s="7"/>
      <c r="G397" s="7"/>
      <c r="H397" s="7"/>
      <c r="I397" s="8"/>
      <c r="J397" s="8"/>
      <c r="K397" s="8"/>
      <c r="L397" s="8"/>
      <c r="M397" s="20"/>
      <c r="N397" s="20"/>
      <c r="O397" s="20"/>
      <c r="P397" s="20"/>
      <c r="Q397" s="9"/>
      <c r="R397" s="9"/>
      <c r="S397" s="9"/>
      <c r="T397" s="9"/>
      <c r="U397" s="9"/>
      <c r="V397" s="13"/>
    </row>
    <row r="398" spans="2:22" x14ac:dyDescent="0.25">
      <c r="B398" s="75" t="s">
        <v>73</v>
      </c>
      <c r="C398" s="77">
        <v>0</v>
      </c>
      <c r="D398" s="77">
        <v>1</v>
      </c>
      <c r="E398" s="7"/>
      <c r="F398" s="7"/>
      <c r="G398" s="7"/>
      <c r="H398" s="7"/>
      <c r="I398" s="8"/>
      <c r="J398" s="8"/>
      <c r="K398" s="8"/>
      <c r="L398" s="8"/>
      <c r="M398" s="20"/>
      <c r="N398" s="20"/>
      <c r="O398" s="20"/>
      <c r="P398" s="20"/>
      <c r="Q398" s="9"/>
      <c r="R398" s="9"/>
      <c r="S398" s="9"/>
      <c r="T398" s="9"/>
      <c r="U398" s="9"/>
      <c r="V398" s="13"/>
    </row>
    <row r="399" spans="2:22" x14ac:dyDescent="0.25">
      <c r="B399" s="76"/>
      <c r="C399" s="78"/>
      <c r="D399" s="78"/>
      <c r="E399" s="7"/>
      <c r="F399" s="7"/>
      <c r="G399" s="7"/>
      <c r="H399" s="7"/>
      <c r="I399" s="8"/>
      <c r="J399" s="8"/>
      <c r="K399" s="8"/>
      <c r="L399" s="8"/>
      <c r="M399" s="20"/>
      <c r="N399" s="20"/>
      <c r="O399" s="20"/>
      <c r="P399" s="20"/>
      <c r="Q399" s="9"/>
      <c r="R399" s="9"/>
      <c r="S399" s="9"/>
      <c r="T399" s="9"/>
      <c r="U399" s="9"/>
      <c r="V399" s="13"/>
    </row>
    <row r="400" spans="2:22" x14ac:dyDescent="0.25">
      <c r="B400" s="75" t="s">
        <v>75</v>
      </c>
      <c r="C400" s="77">
        <v>1</v>
      </c>
      <c r="D400" s="77">
        <v>1</v>
      </c>
      <c r="E400" s="7" t="s">
        <v>251</v>
      </c>
      <c r="F400" s="7"/>
      <c r="G400" s="7"/>
      <c r="H400" s="7"/>
      <c r="I400" s="8"/>
      <c r="J400" s="8"/>
      <c r="K400" s="8"/>
      <c r="L400" s="8"/>
      <c r="M400" s="20"/>
      <c r="N400" s="20"/>
      <c r="O400" s="20"/>
      <c r="P400" s="20"/>
      <c r="Q400" s="9"/>
      <c r="R400" s="9"/>
      <c r="S400" s="9"/>
      <c r="T400" s="9"/>
      <c r="U400" s="9"/>
      <c r="V400" s="13"/>
    </row>
    <row r="401" spans="2:22" x14ac:dyDescent="0.25">
      <c r="B401" s="76"/>
      <c r="C401" s="78"/>
      <c r="D401" s="78"/>
      <c r="E401" s="7"/>
      <c r="F401" s="7"/>
      <c r="G401" s="7"/>
      <c r="H401" s="7"/>
      <c r="I401" s="8"/>
      <c r="J401" s="8"/>
      <c r="K401" s="8"/>
      <c r="L401" s="8"/>
      <c r="M401" s="20"/>
      <c r="N401" s="20"/>
      <c r="O401" s="20"/>
      <c r="P401" s="20"/>
      <c r="Q401" s="9"/>
      <c r="R401" s="9"/>
      <c r="S401" s="9"/>
      <c r="T401" s="9"/>
      <c r="U401" s="9"/>
      <c r="V401" s="13"/>
    </row>
    <row r="402" spans="2:22" x14ac:dyDescent="0.25">
      <c r="B402" s="75" t="s">
        <v>43</v>
      </c>
      <c r="C402" s="77">
        <v>1</v>
      </c>
      <c r="D402" s="77">
        <v>1</v>
      </c>
      <c r="E402" s="7" t="s">
        <v>344</v>
      </c>
      <c r="F402" s="7"/>
      <c r="G402" s="7"/>
      <c r="H402" s="7"/>
      <c r="I402" s="8"/>
      <c r="J402" s="8"/>
      <c r="K402" s="8"/>
      <c r="L402" s="8"/>
      <c r="M402" s="20"/>
      <c r="N402" s="20"/>
      <c r="O402" s="20"/>
      <c r="P402" s="20"/>
      <c r="Q402" s="9"/>
      <c r="R402" s="9"/>
      <c r="S402" s="9"/>
      <c r="T402" s="9"/>
      <c r="U402" s="9"/>
      <c r="V402" s="13"/>
    </row>
    <row r="403" spans="2:22" x14ac:dyDescent="0.25">
      <c r="B403" s="76"/>
      <c r="C403" s="78"/>
      <c r="D403" s="78"/>
      <c r="E403" s="7"/>
      <c r="F403" s="7"/>
      <c r="G403" s="7"/>
      <c r="H403" s="7"/>
      <c r="I403" s="8"/>
      <c r="J403" s="8"/>
      <c r="K403" s="8"/>
      <c r="L403" s="8"/>
      <c r="M403" s="20"/>
      <c r="N403" s="20"/>
      <c r="O403" s="20"/>
      <c r="P403" s="20"/>
      <c r="Q403" s="9"/>
      <c r="R403" s="9"/>
      <c r="S403" s="9"/>
      <c r="T403" s="9"/>
      <c r="U403" s="9"/>
      <c r="V403" s="13"/>
    </row>
    <row r="404" spans="2:22" x14ac:dyDescent="0.25">
      <c r="B404" s="2" t="s">
        <v>91</v>
      </c>
      <c r="C404" s="2">
        <f>SUM(C396:C403)</f>
        <v>3</v>
      </c>
      <c r="D404" s="2">
        <f>SUM(D396:D403)</f>
        <v>3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7" spans="2:22" x14ac:dyDescent="0.25">
      <c r="B407" s="11">
        <v>45957</v>
      </c>
      <c r="C407" s="10" t="s">
        <v>346</v>
      </c>
      <c r="D407" s="10" t="s">
        <v>347</v>
      </c>
      <c r="E407" s="80" t="s">
        <v>84</v>
      </c>
      <c r="F407" s="80"/>
      <c r="G407" s="80"/>
      <c r="H407" s="80"/>
      <c r="I407" s="81" t="s">
        <v>87</v>
      </c>
      <c r="J407" s="81"/>
      <c r="K407" s="81"/>
      <c r="L407" s="81"/>
      <c r="M407" s="82" t="s">
        <v>86</v>
      </c>
      <c r="N407" s="82"/>
      <c r="O407" s="82"/>
      <c r="P407" s="82"/>
      <c r="Q407" s="79" t="s">
        <v>80</v>
      </c>
      <c r="R407" s="79"/>
      <c r="S407" s="79"/>
      <c r="T407" s="79"/>
      <c r="U407" s="79"/>
      <c r="V407" s="79"/>
    </row>
    <row r="408" spans="2:22" x14ac:dyDescent="0.25">
      <c r="B408" s="75" t="s">
        <v>322</v>
      </c>
      <c r="C408" s="77">
        <v>3</v>
      </c>
      <c r="D408" s="77">
        <v>2</v>
      </c>
      <c r="E408" s="7" t="s">
        <v>99</v>
      </c>
      <c r="F408" s="7" t="s">
        <v>112</v>
      </c>
      <c r="G408" s="7" t="s">
        <v>111</v>
      </c>
      <c r="H408" s="7"/>
      <c r="I408" s="8" t="s">
        <v>207</v>
      </c>
      <c r="J408" s="8"/>
      <c r="K408" s="8"/>
      <c r="L408" s="8"/>
      <c r="M408" s="20"/>
      <c r="N408" s="20"/>
      <c r="O408" s="20"/>
      <c r="P408" s="20"/>
      <c r="Q408" s="9"/>
      <c r="R408" s="9"/>
      <c r="S408" s="9"/>
      <c r="T408" s="9"/>
      <c r="U408" s="9"/>
      <c r="V408" s="13"/>
    </row>
    <row r="409" spans="2:22" x14ac:dyDescent="0.25">
      <c r="B409" s="76"/>
      <c r="C409" s="78"/>
      <c r="D409" s="78"/>
      <c r="E409" s="7" t="s">
        <v>104</v>
      </c>
      <c r="F409" s="7" t="s">
        <v>110</v>
      </c>
      <c r="G409" s="7"/>
      <c r="H409" s="7"/>
      <c r="I409" s="8" t="s">
        <v>110</v>
      </c>
      <c r="J409" s="8" t="s">
        <v>103</v>
      </c>
      <c r="K409" s="8"/>
      <c r="L409" s="8"/>
      <c r="M409" s="20"/>
      <c r="N409" s="20"/>
      <c r="O409" s="20"/>
      <c r="P409" s="20"/>
      <c r="Q409" s="9"/>
      <c r="R409" s="9"/>
      <c r="S409" s="9"/>
      <c r="T409" s="9"/>
      <c r="U409" s="9"/>
      <c r="V409" s="13"/>
    </row>
    <row r="410" spans="2:22" x14ac:dyDescent="0.25">
      <c r="B410" s="75" t="s">
        <v>73</v>
      </c>
      <c r="C410" s="77">
        <v>3</v>
      </c>
      <c r="D410" s="77">
        <v>1</v>
      </c>
      <c r="E410" s="7" t="s">
        <v>251</v>
      </c>
      <c r="F410" s="7" t="s">
        <v>138</v>
      </c>
      <c r="G410" s="7" t="s">
        <v>240</v>
      </c>
      <c r="H410" s="7"/>
      <c r="I410" s="8" t="s">
        <v>240</v>
      </c>
      <c r="J410" s="8" t="s">
        <v>345</v>
      </c>
      <c r="K410" s="8"/>
      <c r="L410" s="8"/>
      <c r="M410" s="20"/>
      <c r="N410" s="20"/>
      <c r="O410" s="20"/>
      <c r="P410" s="20"/>
      <c r="Q410" s="9"/>
      <c r="R410" s="9"/>
      <c r="S410" s="9"/>
      <c r="T410" s="9"/>
      <c r="U410" s="9"/>
      <c r="V410" s="13"/>
    </row>
    <row r="411" spans="2:22" x14ac:dyDescent="0.25">
      <c r="B411" s="76"/>
      <c r="C411" s="78"/>
      <c r="D411" s="78"/>
      <c r="E411" s="7" t="s">
        <v>134</v>
      </c>
      <c r="F411" s="7"/>
      <c r="G411" s="7"/>
      <c r="H411" s="7"/>
      <c r="I411" s="8" t="s">
        <v>207</v>
      </c>
      <c r="J411" s="8"/>
      <c r="K411" s="8"/>
      <c r="L411" s="8"/>
      <c r="M411" s="20"/>
      <c r="N411" s="20"/>
      <c r="O411" s="20"/>
      <c r="P411" s="20"/>
      <c r="Q411" s="9"/>
      <c r="R411" s="9"/>
      <c r="S411" s="9"/>
      <c r="T411" s="9"/>
      <c r="U411" s="9"/>
      <c r="V411" s="13"/>
    </row>
    <row r="412" spans="2:22" x14ac:dyDescent="0.25">
      <c r="B412" s="75" t="s">
        <v>75</v>
      </c>
      <c r="C412" s="77">
        <v>0</v>
      </c>
      <c r="D412" s="77">
        <v>2</v>
      </c>
      <c r="E412" s="7"/>
      <c r="F412" s="7"/>
      <c r="G412" s="7"/>
      <c r="H412" s="7"/>
      <c r="I412" s="8"/>
      <c r="J412" s="8"/>
      <c r="K412" s="8"/>
      <c r="L412" s="8"/>
      <c r="M412" s="20"/>
      <c r="N412" s="20"/>
      <c r="O412" s="20"/>
      <c r="P412" s="20"/>
      <c r="Q412" s="9"/>
      <c r="R412" s="9"/>
      <c r="S412" s="9"/>
      <c r="T412" s="9"/>
      <c r="U412" s="9"/>
      <c r="V412" s="13"/>
    </row>
    <row r="413" spans="2:22" x14ac:dyDescent="0.25">
      <c r="B413" s="76"/>
      <c r="C413" s="78"/>
      <c r="D413" s="78"/>
      <c r="E413" s="7" t="s">
        <v>139</v>
      </c>
      <c r="F413" s="7" t="s">
        <v>366</v>
      </c>
      <c r="G413" s="7"/>
      <c r="H413" s="7"/>
      <c r="I413" s="8"/>
      <c r="J413" s="8"/>
      <c r="K413" s="8"/>
      <c r="L413" s="8"/>
      <c r="M413" s="20" t="s">
        <v>216</v>
      </c>
      <c r="N413" s="20" t="s">
        <v>206</v>
      </c>
      <c r="O413" s="20" t="s">
        <v>143</v>
      </c>
      <c r="P413" s="20"/>
      <c r="Q413" s="9" t="s">
        <v>331</v>
      </c>
      <c r="R413" s="9" t="s">
        <v>108</v>
      </c>
      <c r="S413" s="9" t="s">
        <v>140</v>
      </c>
      <c r="T413" s="9" t="s">
        <v>134</v>
      </c>
      <c r="U413" s="9"/>
      <c r="V413" s="13" t="s">
        <v>99</v>
      </c>
    </row>
    <row r="414" spans="2:22" x14ac:dyDescent="0.25">
      <c r="B414" s="75" t="s">
        <v>43</v>
      </c>
      <c r="C414" s="77">
        <v>1</v>
      </c>
      <c r="D414" s="77">
        <v>1</v>
      </c>
      <c r="E414" s="7" t="s">
        <v>251</v>
      </c>
      <c r="F414" s="7"/>
      <c r="G414" s="7"/>
      <c r="H414" s="7"/>
      <c r="I414" s="8" t="s">
        <v>240</v>
      </c>
      <c r="J414" s="8"/>
      <c r="K414" s="8"/>
      <c r="L414" s="8"/>
      <c r="M414" s="20"/>
      <c r="N414" s="20"/>
      <c r="O414" s="20"/>
      <c r="P414" s="20"/>
      <c r="Q414" s="9"/>
      <c r="R414" s="9"/>
      <c r="S414" s="9"/>
      <c r="T414" s="9"/>
      <c r="U414" s="9"/>
      <c r="V414" s="13"/>
    </row>
    <row r="415" spans="2:22" x14ac:dyDescent="0.25">
      <c r="B415" s="76"/>
      <c r="C415" s="78"/>
      <c r="D415" s="78"/>
      <c r="E415" s="7" t="s">
        <v>366</v>
      </c>
      <c r="F415" s="7"/>
      <c r="G415" s="7"/>
      <c r="H415" s="7"/>
      <c r="I415" s="8" t="s">
        <v>139</v>
      </c>
      <c r="J415" s="8"/>
      <c r="K415" s="8"/>
      <c r="L415" s="8"/>
      <c r="M415" s="20"/>
      <c r="N415" s="20"/>
      <c r="O415" s="20"/>
      <c r="P415" s="20"/>
      <c r="Q415" s="9"/>
      <c r="R415" s="9"/>
      <c r="S415" s="9"/>
      <c r="T415" s="9"/>
      <c r="U415" s="9"/>
      <c r="V415" s="13"/>
    </row>
    <row r="416" spans="2:22" x14ac:dyDescent="0.25">
      <c r="B416" s="2" t="s">
        <v>91</v>
      </c>
      <c r="C416" s="2">
        <f>SUM(C408:C415)</f>
        <v>7</v>
      </c>
      <c r="D416" s="2">
        <f>SUM(D408:D415)</f>
        <v>6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9" spans="2:22" x14ac:dyDescent="0.25">
      <c r="B419" s="11">
        <v>45960</v>
      </c>
      <c r="C419" s="10" t="s">
        <v>333</v>
      </c>
      <c r="D419" s="10" t="s">
        <v>354</v>
      </c>
      <c r="E419" s="80" t="s">
        <v>84</v>
      </c>
      <c r="F419" s="80"/>
      <c r="G419" s="80"/>
      <c r="H419" s="80"/>
      <c r="I419" s="81" t="s">
        <v>87</v>
      </c>
      <c r="J419" s="81"/>
      <c r="K419" s="81"/>
      <c r="L419" s="81"/>
      <c r="M419" s="82" t="s">
        <v>86</v>
      </c>
      <c r="N419" s="82"/>
      <c r="O419" s="82"/>
      <c r="P419" s="82"/>
      <c r="Q419" s="79" t="s">
        <v>80</v>
      </c>
      <c r="R419" s="79"/>
      <c r="S419" s="79"/>
      <c r="T419" s="79"/>
      <c r="U419" s="79"/>
      <c r="V419" s="79"/>
    </row>
    <row r="420" spans="2:22" x14ac:dyDescent="0.25">
      <c r="B420" s="75" t="s">
        <v>322</v>
      </c>
      <c r="C420" s="77">
        <v>5</v>
      </c>
      <c r="D420" s="77">
        <v>1</v>
      </c>
      <c r="E420" s="7" t="s">
        <v>134</v>
      </c>
      <c r="F420" s="7" t="s">
        <v>128</v>
      </c>
      <c r="G420" s="7" t="s">
        <v>138</v>
      </c>
      <c r="H420" s="7"/>
      <c r="I420" s="8" t="s">
        <v>142</v>
      </c>
      <c r="J420" s="8" t="s">
        <v>142</v>
      </c>
      <c r="K420" s="8" t="s">
        <v>111</v>
      </c>
      <c r="L420" s="8"/>
      <c r="M420" s="20"/>
      <c r="N420" s="20"/>
      <c r="O420" s="20"/>
      <c r="P420" s="20"/>
      <c r="Q420" s="9"/>
      <c r="R420" s="9"/>
      <c r="S420" s="9"/>
      <c r="T420" s="9"/>
      <c r="U420" s="9"/>
      <c r="V420" s="13"/>
    </row>
    <row r="421" spans="2:22" x14ac:dyDescent="0.25">
      <c r="B421" s="76"/>
      <c r="C421" s="78"/>
      <c r="D421" s="78"/>
      <c r="E421" s="7" t="s">
        <v>134</v>
      </c>
      <c r="F421" s="7" t="s">
        <v>142</v>
      </c>
      <c r="G421" s="7"/>
      <c r="H421" s="7"/>
      <c r="I421" s="8"/>
      <c r="J421" s="8" t="s">
        <v>134</v>
      </c>
      <c r="K421" s="8"/>
      <c r="L421" s="8"/>
      <c r="M421" s="20"/>
      <c r="N421" s="20"/>
      <c r="O421" s="20"/>
      <c r="P421" s="20"/>
      <c r="Q421" s="9"/>
      <c r="R421" s="9"/>
      <c r="S421" s="9"/>
      <c r="T421" s="9"/>
      <c r="U421" s="9"/>
      <c r="V421" s="13"/>
    </row>
    <row r="422" spans="2:22" x14ac:dyDescent="0.25">
      <c r="B422" s="75" t="s">
        <v>73</v>
      </c>
      <c r="C422" s="77">
        <v>0</v>
      </c>
      <c r="D422" s="77">
        <v>1</v>
      </c>
      <c r="E422" s="7"/>
      <c r="F422" s="7"/>
      <c r="G422" s="7"/>
      <c r="H422" s="7"/>
      <c r="I422" s="8"/>
      <c r="J422" s="8"/>
      <c r="K422" s="8"/>
      <c r="L422" s="8"/>
      <c r="M422" s="20"/>
      <c r="N422" s="20"/>
      <c r="O422" s="20"/>
      <c r="P422" s="20"/>
      <c r="Q422" s="9"/>
      <c r="R422" s="9"/>
      <c r="S422" s="9"/>
      <c r="T422" s="9"/>
      <c r="U422" s="9"/>
      <c r="V422" s="13"/>
    </row>
    <row r="423" spans="2:22" x14ac:dyDescent="0.25">
      <c r="B423" s="76"/>
      <c r="C423" s="78"/>
      <c r="D423" s="78"/>
      <c r="E423" s="7"/>
      <c r="F423" s="7"/>
      <c r="G423" s="7"/>
      <c r="H423" s="7"/>
      <c r="I423" s="8"/>
      <c r="J423" s="8"/>
      <c r="K423" s="8"/>
      <c r="L423" s="8"/>
      <c r="M423" s="20"/>
      <c r="N423" s="20"/>
      <c r="O423" s="20"/>
      <c r="P423" s="20"/>
      <c r="Q423" s="9"/>
      <c r="R423" s="9"/>
      <c r="S423" s="9"/>
      <c r="T423" s="9"/>
      <c r="U423" s="9"/>
      <c r="V423" s="13"/>
    </row>
    <row r="424" spans="2:22" x14ac:dyDescent="0.25">
      <c r="B424" s="75" t="s">
        <v>75</v>
      </c>
      <c r="C424" s="77">
        <v>0</v>
      </c>
      <c r="D424" s="77">
        <v>0</v>
      </c>
      <c r="E424" s="7"/>
      <c r="F424" s="7"/>
      <c r="G424" s="7"/>
      <c r="H424" s="7"/>
      <c r="I424" s="8"/>
      <c r="J424" s="8"/>
      <c r="K424" s="8"/>
      <c r="L424" s="8"/>
      <c r="M424" s="20"/>
      <c r="N424" s="20"/>
      <c r="O424" s="20"/>
      <c r="P424" s="20"/>
      <c r="Q424" s="9" t="s">
        <v>126</v>
      </c>
      <c r="R424" s="9" t="s">
        <v>219</v>
      </c>
      <c r="S424" s="9" t="s">
        <v>343</v>
      </c>
      <c r="T424" s="9" t="s">
        <v>200</v>
      </c>
      <c r="U424" s="9"/>
      <c r="V424" s="13" t="s">
        <v>186</v>
      </c>
    </row>
    <row r="425" spans="2:22" x14ac:dyDescent="0.25">
      <c r="B425" s="76"/>
      <c r="C425" s="78"/>
      <c r="D425" s="78"/>
      <c r="E425" s="7"/>
      <c r="F425" s="7"/>
      <c r="G425" s="7"/>
      <c r="H425" s="7"/>
      <c r="I425" s="8"/>
      <c r="J425" s="8"/>
      <c r="K425" s="8"/>
      <c r="L425" s="8"/>
      <c r="M425" s="20"/>
      <c r="N425" s="20"/>
      <c r="O425" s="20"/>
      <c r="P425" s="20"/>
      <c r="Q425" s="9"/>
      <c r="R425" s="9"/>
      <c r="S425" s="9"/>
      <c r="T425" s="9"/>
      <c r="U425" s="9"/>
      <c r="V425" s="13"/>
    </row>
    <row r="426" spans="2:22" x14ac:dyDescent="0.25">
      <c r="B426" s="75" t="s">
        <v>43</v>
      </c>
      <c r="C426" s="77">
        <v>4</v>
      </c>
      <c r="D426" s="77">
        <v>1</v>
      </c>
      <c r="E426" s="7" t="s">
        <v>214</v>
      </c>
      <c r="F426" s="7" t="s">
        <v>344</v>
      </c>
      <c r="G426" s="7" t="s">
        <v>366</v>
      </c>
      <c r="H426" s="7"/>
      <c r="I426" s="8"/>
      <c r="J426" s="8"/>
      <c r="K426" s="8"/>
      <c r="L426" s="8"/>
      <c r="M426" s="20"/>
      <c r="N426" s="20"/>
      <c r="O426" s="20"/>
      <c r="P426" s="20"/>
      <c r="Q426" s="9"/>
      <c r="R426" s="9"/>
      <c r="S426" s="9"/>
      <c r="T426" s="9"/>
      <c r="U426" s="9"/>
      <c r="V426" s="13"/>
    </row>
    <row r="427" spans="2:22" x14ac:dyDescent="0.25">
      <c r="B427" s="76"/>
      <c r="C427" s="78"/>
      <c r="D427" s="78"/>
      <c r="E427" s="7" t="s">
        <v>143</v>
      </c>
      <c r="F427" s="7"/>
      <c r="G427" s="7"/>
      <c r="H427" s="7"/>
      <c r="I427" s="8" t="s">
        <v>104</v>
      </c>
      <c r="J427" s="8"/>
      <c r="K427" s="8"/>
      <c r="L427" s="8"/>
      <c r="M427" s="20"/>
      <c r="N427" s="20"/>
      <c r="O427" s="20"/>
      <c r="P427" s="20"/>
      <c r="Q427" s="9"/>
      <c r="R427" s="9"/>
      <c r="S427" s="9"/>
      <c r="T427" s="9"/>
      <c r="U427" s="9"/>
      <c r="V427" s="13"/>
    </row>
    <row r="428" spans="2:22" x14ac:dyDescent="0.25">
      <c r="B428" s="75" t="s">
        <v>167</v>
      </c>
      <c r="C428" s="77">
        <v>1</v>
      </c>
      <c r="D428" s="77">
        <v>0</v>
      </c>
      <c r="E428" s="7" t="s">
        <v>142</v>
      </c>
      <c r="F428" s="7"/>
      <c r="G428" s="7"/>
      <c r="H428" s="7"/>
      <c r="I428" s="8"/>
      <c r="J428" s="8"/>
      <c r="K428" s="8"/>
      <c r="L428" s="8"/>
      <c r="M428" s="20" t="s">
        <v>383</v>
      </c>
      <c r="N428" s="20" t="s">
        <v>32</v>
      </c>
      <c r="O428" s="20" t="s">
        <v>66</v>
      </c>
      <c r="P428" s="20"/>
      <c r="Q428" s="9" t="s">
        <v>343</v>
      </c>
      <c r="R428" s="9" t="s">
        <v>219</v>
      </c>
      <c r="S428" s="9" t="s">
        <v>126</v>
      </c>
      <c r="T428" s="9" t="s">
        <v>139</v>
      </c>
      <c r="U428" s="9"/>
      <c r="V428" s="13" t="s">
        <v>186</v>
      </c>
    </row>
    <row r="429" spans="2:22" x14ac:dyDescent="0.25">
      <c r="B429" s="76"/>
      <c r="C429" s="78"/>
      <c r="D429" s="78"/>
      <c r="E429" s="7"/>
      <c r="F429" s="7"/>
      <c r="G429" s="7"/>
      <c r="H429" s="7"/>
      <c r="I429" s="8"/>
      <c r="J429" s="8"/>
      <c r="K429" s="8"/>
      <c r="L429" s="8"/>
      <c r="M429" s="20"/>
      <c r="N429" s="20"/>
      <c r="O429" s="20"/>
      <c r="P429" s="20"/>
      <c r="Q429" s="9"/>
      <c r="R429" s="9"/>
      <c r="S429" s="9"/>
      <c r="T429" s="9"/>
      <c r="U429" s="9"/>
      <c r="V429" s="13"/>
    </row>
    <row r="430" spans="2:22" x14ac:dyDescent="0.25">
      <c r="B430" s="2" t="s">
        <v>91</v>
      </c>
      <c r="C430" s="2">
        <f>SUM(C420:C429)</f>
        <v>10</v>
      </c>
      <c r="D430" s="2">
        <f>SUM(D420:D429)</f>
        <v>3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3" spans="2:22" x14ac:dyDescent="0.25">
      <c r="B433" s="11">
        <v>45967</v>
      </c>
      <c r="C433" s="10" t="s">
        <v>346</v>
      </c>
      <c r="D433" s="10" t="s">
        <v>347</v>
      </c>
      <c r="E433" s="80" t="s">
        <v>84</v>
      </c>
      <c r="F433" s="80"/>
      <c r="G433" s="80"/>
      <c r="H433" s="80"/>
      <c r="I433" s="81" t="s">
        <v>87</v>
      </c>
      <c r="J433" s="81"/>
      <c r="K433" s="81"/>
      <c r="L433" s="81"/>
      <c r="M433" s="82" t="s">
        <v>86</v>
      </c>
      <c r="N433" s="82"/>
      <c r="O433" s="82"/>
      <c r="P433" s="82"/>
      <c r="Q433" s="79" t="s">
        <v>80</v>
      </c>
      <c r="R433" s="79"/>
      <c r="S433" s="79"/>
      <c r="T433" s="79"/>
      <c r="U433" s="79"/>
      <c r="V433" s="79"/>
    </row>
    <row r="434" spans="2:22" x14ac:dyDescent="0.25">
      <c r="B434" s="75" t="s">
        <v>322</v>
      </c>
      <c r="C434" s="77">
        <v>1</v>
      </c>
      <c r="D434" s="77">
        <v>1</v>
      </c>
      <c r="E434" s="7" t="s">
        <v>218</v>
      </c>
      <c r="F434" s="7"/>
      <c r="G434" s="7"/>
      <c r="H434" s="7"/>
      <c r="I434" s="8" t="s">
        <v>120</v>
      </c>
      <c r="J434" s="8"/>
      <c r="K434" s="8"/>
      <c r="L434" s="8"/>
      <c r="M434" s="20"/>
      <c r="N434" s="20"/>
      <c r="O434" s="20"/>
      <c r="P434" s="20"/>
      <c r="Q434" s="9"/>
      <c r="R434" s="9"/>
      <c r="S434" s="9"/>
      <c r="T434" s="9"/>
      <c r="U434" s="9"/>
      <c r="V434" s="13"/>
    </row>
    <row r="435" spans="2:22" x14ac:dyDescent="0.25">
      <c r="B435" s="76"/>
      <c r="C435" s="78"/>
      <c r="D435" s="78"/>
      <c r="E435" s="7" t="s">
        <v>100</v>
      </c>
      <c r="F435" s="7"/>
      <c r="G435" s="7"/>
      <c r="H435" s="7"/>
      <c r="I435" s="8" t="s">
        <v>353</v>
      </c>
      <c r="J435" s="8"/>
      <c r="K435" s="8"/>
      <c r="L435" s="8"/>
      <c r="M435" s="20"/>
      <c r="N435" s="20"/>
      <c r="O435" s="20"/>
      <c r="P435" s="20"/>
      <c r="Q435" s="9"/>
      <c r="R435" s="9"/>
      <c r="S435" s="9"/>
      <c r="T435" s="9"/>
      <c r="U435" s="9"/>
      <c r="V435" s="13"/>
    </row>
    <row r="436" spans="2:22" x14ac:dyDescent="0.25">
      <c r="B436" s="75" t="s">
        <v>73</v>
      </c>
      <c r="C436" s="77">
        <v>0</v>
      </c>
      <c r="D436" s="77">
        <v>0</v>
      </c>
      <c r="E436" s="7"/>
      <c r="F436" s="7"/>
      <c r="G436" s="7"/>
      <c r="H436" s="7"/>
      <c r="I436" s="8"/>
      <c r="J436" s="8"/>
      <c r="K436" s="8"/>
      <c r="L436" s="8"/>
      <c r="M436" s="20"/>
      <c r="N436" s="20"/>
      <c r="O436" s="20"/>
      <c r="P436" s="20"/>
      <c r="Q436" s="9" t="s">
        <v>310</v>
      </c>
      <c r="R436" s="9" t="s">
        <v>126</v>
      </c>
      <c r="S436" s="9" t="s">
        <v>101</v>
      </c>
      <c r="T436" s="9" t="s">
        <v>110</v>
      </c>
      <c r="U436" s="9"/>
      <c r="V436" s="13" t="s">
        <v>376</v>
      </c>
    </row>
    <row r="437" spans="2:22" x14ac:dyDescent="0.25">
      <c r="B437" s="76"/>
      <c r="C437" s="78"/>
      <c r="D437" s="78"/>
      <c r="E437" s="7"/>
      <c r="F437" s="7"/>
      <c r="G437" s="7"/>
      <c r="H437" s="7"/>
      <c r="I437" s="8"/>
      <c r="J437" s="8"/>
      <c r="K437" s="8"/>
      <c r="L437" s="8"/>
      <c r="M437" s="20"/>
      <c r="N437" s="20"/>
      <c r="O437" s="20"/>
      <c r="P437" s="20"/>
      <c r="Q437" s="9" t="s">
        <v>140</v>
      </c>
      <c r="R437" s="9" t="s">
        <v>109</v>
      </c>
      <c r="S437" s="9" t="s">
        <v>106</v>
      </c>
      <c r="T437" s="9"/>
      <c r="U437" s="9"/>
      <c r="V437" s="13" t="s">
        <v>103</v>
      </c>
    </row>
    <row r="438" spans="2:22" x14ac:dyDescent="0.25">
      <c r="B438" s="75" t="s">
        <v>75</v>
      </c>
      <c r="C438" s="77">
        <v>0</v>
      </c>
      <c r="D438" s="77">
        <v>0</v>
      </c>
      <c r="E438" s="7"/>
      <c r="F438" s="7"/>
      <c r="G438" s="7"/>
      <c r="H438" s="7"/>
      <c r="I438" s="8"/>
      <c r="J438" s="8"/>
      <c r="K438" s="8"/>
      <c r="L438" s="8"/>
      <c r="M438" s="20"/>
      <c r="N438" s="20"/>
      <c r="O438" s="20"/>
      <c r="P438" s="20"/>
      <c r="Q438" s="9" t="s">
        <v>126</v>
      </c>
      <c r="R438" s="9" t="s">
        <v>120</v>
      </c>
      <c r="S438" s="9" t="s">
        <v>99</v>
      </c>
      <c r="T438" s="9" t="s">
        <v>101</v>
      </c>
      <c r="U438" s="9"/>
      <c r="V438" s="13" t="s">
        <v>376</v>
      </c>
    </row>
    <row r="439" spans="2:22" x14ac:dyDescent="0.25">
      <c r="B439" s="76"/>
      <c r="C439" s="78"/>
      <c r="D439" s="78"/>
      <c r="E439" s="7"/>
      <c r="F439" s="7"/>
      <c r="G439" s="7"/>
      <c r="H439" s="7"/>
      <c r="I439" s="8"/>
      <c r="J439" s="8"/>
      <c r="K439" s="8"/>
      <c r="L439" s="8"/>
      <c r="M439" s="20"/>
      <c r="N439" s="20"/>
      <c r="O439" s="20"/>
      <c r="P439" s="20"/>
      <c r="Q439" s="9" t="s">
        <v>140</v>
      </c>
      <c r="R439" s="9" t="s">
        <v>103</v>
      </c>
      <c r="S439" s="9" t="s">
        <v>106</v>
      </c>
      <c r="T439" s="9"/>
      <c r="U439" s="9"/>
      <c r="V439" s="13" t="s">
        <v>113</v>
      </c>
    </row>
    <row r="440" spans="2:22" x14ac:dyDescent="0.25">
      <c r="B440" s="75" t="s">
        <v>43</v>
      </c>
      <c r="C440" s="77">
        <v>0</v>
      </c>
      <c r="D440" s="77">
        <v>0</v>
      </c>
      <c r="E440" s="7"/>
      <c r="F440" s="7"/>
      <c r="G440" s="7"/>
      <c r="H440" s="7"/>
      <c r="I440" s="8"/>
      <c r="J440" s="8"/>
      <c r="K440" s="8"/>
      <c r="L440" s="8"/>
      <c r="M440" s="20"/>
      <c r="N440" s="20"/>
      <c r="O440" s="20"/>
      <c r="P440" s="20"/>
      <c r="Q440" s="9" t="s">
        <v>310</v>
      </c>
      <c r="R440" s="9" t="s">
        <v>126</v>
      </c>
      <c r="S440" s="9" t="s">
        <v>110</v>
      </c>
      <c r="T440" s="9" t="s">
        <v>120</v>
      </c>
      <c r="U440" s="9"/>
      <c r="V440" s="13" t="s">
        <v>376</v>
      </c>
    </row>
    <row r="441" spans="2:22" x14ac:dyDescent="0.25">
      <c r="B441" s="76"/>
      <c r="C441" s="78"/>
      <c r="D441" s="78"/>
      <c r="E441" s="7"/>
      <c r="F441" s="7"/>
      <c r="G441" s="7"/>
      <c r="H441" s="7"/>
      <c r="I441" s="8"/>
      <c r="J441" s="8"/>
      <c r="K441" s="8"/>
      <c r="L441" s="8"/>
      <c r="M441" s="20"/>
      <c r="N441" s="20"/>
      <c r="O441" s="20"/>
      <c r="P441" s="20"/>
      <c r="Q441" s="9" t="s">
        <v>140</v>
      </c>
      <c r="R441" s="9" t="s">
        <v>103</v>
      </c>
      <c r="S441" s="9" t="s">
        <v>109</v>
      </c>
      <c r="T441" s="9"/>
      <c r="U441" s="9"/>
      <c r="V441" s="13" t="s">
        <v>186</v>
      </c>
    </row>
    <row r="442" spans="2:22" x14ac:dyDescent="0.25">
      <c r="B442" s="2" t="s">
        <v>91</v>
      </c>
      <c r="C442" s="2">
        <f>SUM(C434:C441)</f>
        <v>1</v>
      </c>
      <c r="D442" s="2">
        <f>SUM(D434:D441)</f>
        <v>1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5" spans="2:22" x14ac:dyDescent="0.25">
      <c r="B445" s="11">
        <v>45974</v>
      </c>
      <c r="C445" s="10" t="s">
        <v>346</v>
      </c>
      <c r="D445" s="10" t="s">
        <v>347</v>
      </c>
      <c r="E445" s="80" t="s">
        <v>84</v>
      </c>
      <c r="F445" s="80"/>
      <c r="G445" s="80"/>
      <c r="H445" s="80"/>
      <c r="I445" s="81" t="s">
        <v>87</v>
      </c>
      <c r="J445" s="81"/>
      <c r="K445" s="81"/>
      <c r="L445" s="81"/>
      <c r="M445" s="82" t="s">
        <v>86</v>
      </c>
      <c r="N445" s="82"/>
      <c r="O445" s="82"/>
      <c r="P445" s="82"/>
      <c r="Q445" s="79" t="s">
        <v>80</v>
      </c>
      <c r="R445" s="79"/>
      <c r="S445" s="79"/>
      <c r="T445" s="79"/>
      <c r="U445" s="79"/>
      <c r="V445" s="79"/>
    </row>
    <row r="446" spans="2:22" x14ac:dyDescent="0.25">
      <c r="B446" s="75" t="s">
        <v>322</v>
      </c>
      <c r="C446" s="77">
        <v>1</v>
      </c>
      <c r="D446" s="77">
        <v>0</v>
      </c>
      <c r="E446" s="7" t="s">
        <v>223</v>
      </c>
      <c r="F446" s="7"/>
      <c r="G446" s="7"/>
      <c r="H446" s="7"/>
      <c r="I446" s="8"/>
      <c r="J446" s="8"/>
      <c r="K446" s="8"/>
      <c r="L446" s="8"/>
      <c r="M446" s="20" t="s">
        <v>218</v>
      </c>
      <c r="N446" s="20" t="s">
        <v>143</v>
      </c>
      <c r="O446" s="20" t="s">
        <v>105</v>
      </c>
      <c r="P446" s="20"/>
      <c r="Q446" s="9" t="s">
        <v>124</v>
      </c>
      <c r="R446" s="9" t="s">
        <v>120</v>
      </c>
      <c r="S446" s="9" t="s">
        <v>200</v>
      </c>
      <c r="T446" s="9" t="s">
        <v>388</v>
      </c>
      <c r="U446" s="9"/>
      <c r="V446" s="13" t="s">
        <v>112</v>
      </c>
    </row>
    <row r="447" spans="2:22" x14ac:dyDescent="0.25">
      <c r="B447" s="76"/>
      <c r="C447" s="78"/>
      <c r="D447" s="78"/>
      <c r="E447" s="7"/>
      <c r="F447" s="7"/>
      <c r="G447" s="7"/>
      <c r="H447" s="7"/>
      <c r="I447" s="8"/>
      <c r="J447" s="8"/>
      <c r="K447" s="8"/>
      <c r="L447" s="8"/>
      <c r="M447" s="20"/>
      <c r="N447" s="20"/>
      <c r="O447" s="20"/>
      <c r="P447" s="20"/>
      <c r="Q447" s="9"/>
      <c r="R447" s="9"/>
      <c r="S447" s="9"/>
      <c r="T447" s="9"/>
      <c r="U447" s="9"/>
      <c r="V447" s="13"/>
    </row>
    <row r="448" spans="2:22" x14ac:dyDescent="0.25">
      <c r="B448" s="75" t="s">
        <v>73</v>
      </c>
      <c r="C448" s="77">
        <v>1</v>
      </c>
      <c r="D448" s="77">
        <v>0</v>
      </c>
      <c r="E448" s="7" t="s">
        <v>99</v>
      </c>
      <c r="F448" s="7"/>
      <c r="G448" s="7"/>
      <c r="H448" s="7"/>
      <c r="I448" s="8" t="s">
        <v>206</v>
      </c>
      <c r="J448" s="8"/>
      <c r="K448" s="8"/>
      <c r="L448" s="8"/>
      <c r="M448" s="20" t="s">
        <v>208</v>
      </c>
      <c r="N448" s="20" t="s">
        <v>206</v>
      </c>
      <c r="O448" s="20" t="s">
        <v>99</v>
      </c>
      <c r="P448" s="20"/>
      <c r="Q448" s="9" t="s">
        <v>126</v>
      </c>
      <c r="R448" s="9" t="s">
        <v>101</v>
      </c>
      <c r="S448" s="9" t="s">
        <v>387</v>
      </c>
      <c r="T448" s="9" t="s">
        <v>140</v>
      </c>
      <c r="U448" s="9"/>
      <c r="V448" s="13" t="s">
        <v>327</v>
      </c>
    </row>
    <row r="449" spans="2:22" x14ac:dyDescent="0.25">
      <c r="B449" s="76"/>
      <c r="C449" s="78"/>
      <c r="D449" s="78"/>
      <c r="E449" s="7"/>
      <c r="F449" s="7"/>
      <c r="G449" s="7"/>
      <c r="H449" s="7"/>
      <c r="I449" s="8"/>
      <c r="J449" s="8"/>
      <c r="K449" s="8"/>
      <c r="L449" s="8"/>
      <c r="M449" s="20"/>
      <c r="N449" s="20"/>
      <c r="O449" s="20"/>
      <c r="P449" s="20"/>
      <c r="Q449" s="9"/>
      <c r="R449" s="9"/>
      <c r="S449" s="9"/>
      <c r="T449" s="9"/>
      <c r="U449" s="9"/>
      <c r="V449" s="13"/>
    </row>
    <row r="450" spans="2:22" x14ac:dyDescent="0.25">
      <c r="B450" s="75" t="s">
        <v>75</v>
      </c>
      <c r="C450" s="77">
        <v>2</v>
      </c>
      <c r="D450" s="77">
        <v>0</v>
      </c>
      <c r="E450" s="7" t="s">
        <v>140</v>
      </c>
      <c r="F450" s="7" t="s">
        <v>111</v>
      </c>
      <c r="G450" s="7"/>
      <c r="H450" s="7"/>
      <c r="I450" s="8" t="s">
        <v>101</v>
      </c>
      <c r="J450" s="8"/>
      <c r="K450" s="8"/>
      <c r="L450" s="8"/>
      <c r="M450" s="20" t="s">
        <v>327</v>
      </c>
      <c r="N450" s="20" t="s">
        <v>206</v>
      </c>
      <c r="O450" s="20" t="s">
        <v>208</v>
      </c>
      <c r="P450" s="20"/>
      <c r="Q450" s="9" t="s">
        <v>387</v>
      </c>
      <c r="R450" s="9" t="s">
        <v>106</v>
      </c>
      <c r="S450" s="9" t="s">
        <v>140</v>
      </c>
      <c r="T450" s="9" t="s">
        <v>310</v>
      </c>
      <c r="U450" s="9"/>
      <c r="V450" s="13" t="s">
        <v>179</v>
      </c>
    </row>
    <row r="451" spans="2:22" x14ac:dyDescent="0.25">
      <c r="B451" s="76"/>
      <c r="C451" s="78"/>
      <c r="D451" s="78"/>
      <c r="E451" s="7"/>
      <c r="F451" s="7"/>
      <c r="G451" s="7"/>
      <c r="H451" s="7"/>
      <c r="I451" s="8"/>
      <c r="J451" s="8"/>
      <c r="K451" s="8"/>
      <c r="L451" s="8"/>
      <c r="M451" s="20"/>
      <c r="N451" s="20"/>
      <c r="O451" s="20"/>
      <c r="P451" s="20"/>
      <c r="Q451" s="9"/>
      <c r="R451" s="9"/>
      <c r="S451" s="9"/>
      <c r="T451" s="9"/>
      <c r="U451" s="9"/>
      <c r="V451" s="13"/>
    </row>
    <row r="452" spans="2:22" x14ac:dyDescent="0.25">
      <c r="B452" s="75" t="s">
        <v>43</v>
      </c>
      <c r="C452" s="77">
        <v>3</v>
      </c>
      <c r="D452" s="77">
        <v>0</v>
      </c>
      <c r="E452" s="7" t="s">
        <v>111</v>
      </c>
      <c r="F452" s="7" t="s">
        <v>99</v>
      </c>
      <c r="G452" s="7" t="s">
        <v>366</v>
      </c>
      <c r="H452" s="7"/>
      <c r="I452" s="8"/>
      <c r="J452" s="8" t="s">
        <v>366</v>
      </c>
      <c r="K452" s="8" t="s">
        <v>99</v>
      </c>
      <c r="L452" s="8"/>
      <c r="M452" s="20" t="s">
        <v>99</v>
      </c>
      <c r="N452" s="20" t="s">
        <v>105</v>
      </c>
      <c r="O452" s="20" t="s">
        <v>208</v>
      </c>
      <c r="P452" s="20"/>
      <c r="Q452" s="9" t="s">
        <v>310</v>
      </c>
      <c r="R452" s="9" t="s">
        <v>115</v>
      </c>
      <c r="S452" s="9" t="s">
        <v>106</v>
      </c>
      <c r="T452" s="9" t="s">
        <v>387</v>
      </c>
      <c r="U452" s="9"/>
      <c r="V452" s="13" t="s">
        <v>388</v>
      </c>
    </row>
    <row r="453" spans="2:22" x14ac:dyDescent="0.25">
      <c r="B453" s="76"/>
      <c r="C453" s="78"/>
      <c r="D453" s="78"/>
      <c r="E453" s="7"/>
      <c r="F453" s="7"/>
      <c r="G453" s="7"/>
      <c r="H453" s="7"/>
      <c r="I453" s="8"/>
      <c r="J453" s="8"/>
      <c r="K453" s="8"/>
      <c r="L453" s="8"/>
      <c r="M453" s="20"/>
      <c r="N453" s="20"/>
      <c r="O453" s="20"/>
      <c r="P453" s="20"/>
      <c r="Q453" s="9"/>
      <c r="R453" s="9"/>
      <c r="S453" s="9"/>
      <c r="T453" s="9"/>
      <c r="U453" s="9"/>
      <c r="V453" s="13"/>
    </row>
    <row r="454" spans="2:22" x14ac:dyDescent="0.25">
      <c r="B454" s="2" t="s">
        <v>91</v>
      </c>
      <c r="C454" s="2">
        <f>SUM(C446:C453)</f>
        <v>7</v>
      </c>
      <c r="D454" s="2">
        <f>SUM(D446:D453)</f>
        <v>0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7" spans="2:22" x14ac:dyDescent="0.25">
      <c r="B457" s="11">
        <v>45981</v>
      </c>
      <c r="C457" s="10" t="s">
        <v>346</v>
      </c>
      <c r="D457" s="10" t="s">
        <v>347</v>
      </c>
      <c r="E457" s="80" t="s">
        <v>84</v>
      </c>
      <c r="F457" s="80"/>
      <c r="G457" s="80"/>
      <c r="H457" s="80"/>
      <c r="I457" s="81" t="s">
        <v>87</v>
      </c>
      <c r="J457" s="81"/>
      <c r="K457" s="81"/>
      <c r="L457" s="81"/>
      <c r="M457" s="82" t="s">
        <v>86</v>
      </c>
      <c r="N457" s="82"/>
      <c r="O457" s="82"/>
      <c r="P457" s="82"/>
      <c r="Q457" s="79" t="s">
        <v>80</v>
      </c>
      <c r="R457" s="79"/>
      <c r="S457" s="79"/>
      <c r="T457" s="79"/>
      <c r="U457" s="79"/>
      <c r="V457" s="79"/>
    </row>
    <row r="458" spans="2:22" x14ac:dyDescent="0.25">
      <c r="B458" s="75" t="s">
        <v>322</v>
      </c>
      <c r="C458" s="77">
        <v>1</v>
      </c>
      <c r="D458" s="77">
        <v>2</v>
      </c>
      <c r="E458" s="7" t="s">
        <v>218</v>
      </c>
      <c r="F458" s="7"/>
      <c r="G458" s="7"/>
      <c r="H458" s="7"/>
      <c r="I458" s="8" t="s">
        <v>223</v>
      </c>
      <c r="J458" s="8"/>
      <c r="K458" s="8"/>
      <c r="L458" s="8"/>
      <c r="M458" s="20"/>
      <c r="N458" s="20"/>
      <c r="O458" s="20"/>
      <c r="P458" s="20"/>
      <c r="Q458" s="9"/>
      <c r="R458" s="9"/>
      <c r="S458" s="9"/>
      <c r="T458" s="9"/>
      <c r="U458" s="9"/>
      <c r="V458" s="13"/>
    </row>
    <row r="459" spans="2:22" x14ac:dyDescent="0.25">
      <c r="B459" s="76"/>
      <c r="C459" s="78"/>
      <c r="D459" s="78"/>
      <c r="E459" s="7" t="s">
        <v>355</v>
      </c>
      <c r="F459" s="7" t="s">
        <v>355</v>
      </c>
      <c r="G459" s="7"/>
      <c r="H459" s="7"/>
      <c r="I459" s="8" t="s">
        <v>243</v>
      </c>
      <c r="J459" s="8" t="s">
        <v>243</v>
      </c>
      <c r="K459" s="8"/>
      <c r="L459" s="8"/>
      <c r="M459" s="20"/>
      <c r="N459" s="20"/>
      <c r="O459" s="20"/>
      <c r="P459" s="20"/>
      <c r="Q459" s="9"/>
      <c r="R459" s="9"/>
      <c r="S459" s="9"/>
      <c r="T459" s="9"/>
      <c r="U459" s="9"/>
      <c r="V459" s="13"/>
    </row>
    <row r="460" spans="2:22" x14ac:dyDescent="0.25">
      <c r="B460" s="75" t="s">
        <v>73</v>
      </c>
      <c r="C460" s="77">
        <v>1</v>
      </c>
      <c r="D460" s="77">
        <v>1</v>
      </c>
      <c r="E460" s="7" t="s">
        <v>218</v>
      </c>
      <c r="F460" s="7"/>
      <c r="G460" s="7"/>
      <c r="H460" s="7"/>
      <c r="I460" s="8" t="s">
        <v>138</v>
      </c>
      <c r="J460" s="8"/>
      <c r="K460" s="8"/>
      <c r="L460" s="8"/>
      <c r="M460" s="20"/>
      <c r="N460" s="20"/>
      <c r="O460" s="20"/>
      <c r="P460" s="20"/>
      <c r="Q460" s="9"/>
      <c r="R460" s="9"/>
      <c r="S460" s="9"/>
      <c r="T460" s="9"/>
      <c r="U460" s="9"/>
      <c r="V460" s="13"/>
    </row>
    <row r="461" spans="2:22" x14ac:dyDescent="0.25">
      <c r="B461" s="76"/>
      <c r="C461" s="78"/>
      <c r="D461" s="78"/>
      <c r="E461" s="7" t="s">
        <v>355</v>
      </c>
      <c r="F461" s="7"/>
      <c r="G461" s="7"/>
      <c r="H461" s="7"/>
      <c r="I461" s="8" t="s">
        <v>390</v>
      </c>
      <c r="J461" s="8"/>
      <c r="K461" s="8"/>
      <c r="L461" s="8"/>
      <c r="M461" s="20"/>
      <c r="N461" s="20"/>
      <c r="O461" s="20"/>
      <c r="P461" s="20"/>
      <c r="Q461" s="9"/>
      <c r="R461" s="9"/>
      <c r="S461" s="9"/>
      <c r="T461" s="9"/>
      <c r="U461" s="9"/>
      <c r="V461" s="13"/>
    </row>
    <row r="462" spans="2:22" x14ac:dyDescent="0.25">
      <c r="B462" s="75" t="s">
        <v>75</v>
      </c>
      <c r="C462" s="77">
        <v>0</v>
      </c>
      <c r="D462" s="77">
        <v>0</v>
      </c>
      <c r="E462" s="7"/>
      <c r="F462" s="7"/>
      <c r="G462" s="7"/>
      <c r="H462" s="7"/>
      <c r="I462" s="8"/>
      <c r="J462" s="8"/>
      <c r="K462" s="8"/>
      <c r="L462" s="8"/>
      <c r="M462" s="20"/>
      <c r="N462" s="20"/>
      <c r="O462" s="20"/>
      <c r="P462" s="20"/>
      <c r="Q462" s="9" t="s">
        <v>120</v>
      </c>
      <c r="R462" s="9" t="s">
        <v>106</v>
      </c>
      <c r="S462" s="9" t="s">
        <v>241</v>
      </c>
      <c r="T462" s="9" t="s">
        <v>309</v>
      </c>
      <c r="U462" s="9"/>
      <c r="V462" s="13" t="s">
        <v>206</v>
      </c>
    </row>
    <row r="463" spans="2:22" x14ac:dyDescent="0.25">
      <c r="B463" s="76"/>
      <c r="C463" s="78"/>
      <c r="D463" s="78"/>
      <c r="E463" s="7"/>
      <c r="F463" s="7"/>
      <c r="G463" s="7"/>
      <c r="H463" s="7"/>
      <c r="I463" s="8"/>
      <c r="J463" s="8"/>
      <c r="K463" s="8"/>
      <c r="L463" s="8"/>
      <c r="M463" s="20"/>
      <c r="N463" s="20"/>
      <c r="O463" s="20"/>
      <c r="P463" s="20"/>
      <c r="Q463" s="9" t="s">
        <v>103</v>
      </c>
      <c r="R463" s="9" t="s">
        <v>310</v>
      </c>
      <c r="S463" s="9" t="s">
        <v>219</v>
      </c>
      <c r="T463" s="9" t="s">
        <v>223</v>
      </c>
      <c r="U463" s="9" t="s">
        <v>126</v>
      </c>
      <c r="V463" s="13" t="s">
        <v>325</v>
      </c>
    </row>
    <row r="464" spans="2:22" x14ac:dyDescent="0.25">
      <c r="B464" s="75" t="s">
        <v>43</v>
      </c>
      <c r="C464" s="77">
        <v>2</v>
      </c>
      <c r="D464" s="77">
        <v>0</v>
      </c>
      <c r="E464" s="7" t="s">
        <v>138</v>
      </c>
      <c r="F464" s="7" t="s">
        <v>113</v>
      </c>
      <c r="G464" s="7"/>
      <c r="H464" s="7"/>
      <c r="I464" s="8" t="s">
        <v>219</v>
      </c>
      <c r="J464" s="8" t="s">
        <v>218</v>
      </c>
      <c r="K464" s="8"/>
      <c r="L464" s="8"/>
      <c r="M464" s="20" t="s">
        <v>321</v>
      </c>
      <c r="N464" s="20" t="s">
        <v>208</v>
      </c>
      <c r="O464" s="20"/>
      <c r="P464" s="20"/>
      <c r="Q464" s="9" t="s">
        <v>223</v>
      </c>
      <c r="R464" s="9" t="s">
        <v>219</v>
      </c>
      <c r="S464" s="9" t="s">
        <v>103</v>
      </c>
      <c r="T464" s="9" t="s">
        <v>325</v>
      </c>
      <c r="U464" s="9" t="s">
        <v>310</v>
      </c>
      <c r="V464" s="13" t="s">
        <v>97</v>
      </c>
    </row>
    <row r="465" spans="2:22" x14ac:dyDescent="0.25">
      <c r="B465" s="76"/>
      <c r="C465" s="78"/>
      <c r="D465" s="78"/>
      <c r="E465" s="7"/>
      <c r="F465" s="7"/>
      <c r="G465" s="7"/>
      <c r="H465" s="7"/>
      <c r="I465" s="8"/>
      <c r="J465" s="8"/>
      <c r="K465" s="8"/>
      <c r="L465" s="8"/>
      <c r="M465" s="20"/>
      <c r="N465" s="20"/>
      <c r="O465" s="20"/>
      <c r="P465" s="20"/>
      <c r="Q465" s="9"/>
      <c r="R465" s="9"/>
      <c r="S465" s="9"/>
      <c r="T465" s="9"/>
      <c r="U465" s="9"/>
      <c r="V465" s="13"/>
    </row>
    <row r="466" spans="2:22" x14ac:dyDescent="0.25">
      <c r="B466" s="2" t="s">
        <v>91</v>
      </c>
      <c r="C466" s="2">
        <f>SUM(C458:C465)</f>
        <v>4</v>
      </c>
      <c r="D466" s="2">
        <f>SUM(D458:D465)</f>
        <v>3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9" spans="2:22" x14ac:dyDescent="0.25">
      <c r="B469" s="11">
        <v>45988</v>
      </c>
      <c r="C469" s="10" t="s">
        <v>346</v>
      </c>
      <c r="D469" s="10" t="s">
        <v>347</v>
      </c>
      <c r="E469" s="80" t="s">
        <v>84</v>
      </c>
      <c r="F469" s="80"/>
      <c r="G469" s="80"/>
      <c r="H469" s="80"/>
      <c r="I469" s="81" t="s">
        <v>87</v>
      </c>
      <c r="J469" s="81"/>
      <c r="K469" s="81"/>
      <c r="L469" s="81"/>
      <c r="M469" s="82" t="s">
        <v>86</v>
      </c>
      <c r="N469" s="82"/>
      <c r="O469" s="82"/>
      <c r="P469" s="82"/>
      <c r="Q469" s="79" t="s">
        <v>80</v>
      </c>
      <c r="R469" s="79"/>
      <c r="S469" s="79"/>
      <c r="T469" s="79"/>
      <c r="U469" s="79"/>
      <c r="V469" s="79"/>
    </row>
    <row r="470" spans="2:22" x14ac:dyDescent="0.25">
      <c r="B470" s="75" t="s">
        <v>322</v>
      </c>
      <c r="C470" s="77">
        <v>1</v>
      </c>
      <c r="D470" s="77">
        <v>0</v>
      </c>
      <c r="E470" s="7" t="s">
        <v>206</v>
      </c>
      <c r="F470" s="7"/>
      <c r="G470" s="7"/>
      <c r="H470" s="7"/>
      <c r="I470" s="8" t="s">
        <v>331</v>
      </c>
      <c r="J470" s="8"/>
      <c r="K470" s="8"/>
      <c r="L470" s="8"/>
      <c r="M470" s="20" t="s">
        <v>208</v>
      </c>
      <c r="N470" s="20" t="s">
        <v>97</v>
      </c>
      <c r="O470" s="20"/>
      <c r="P470" s="20"/>
      <c r="Q470" s="9" t="s">
        <v>310</v>
      </c>
      <c r="R470" s="9" t="s">
        <v>200</v>
      </c>
      <c r="S470" s="9" t="s">
        <v>387</v>
      </c>
      <c r="T470" s="9"/>
      <c r="U470" s="9"/>
      <c r="V470" s="13" t="s">
        <v>243</v>
      </c>
    </row>
    <row r="471" spans="2:22" x14ac:dyDescent="0.25">
      <c r="B471" s="76"/>
      <c r="C471" s="78"/>
      <c r="D471" s="78"/>
      <c r="E471" s="7"/>
      <c r="F471" s="7"/>
      <c r="G471" s="7"/>
      <c r="H471" s="7"/>
      <c r="I471" s="8"/>
      <c r="J471" s="8"/>
      <c r="K471" s="8"/>
      <c r="L471" s="8"/>
      <c r="M471" s="20"/>
      <c r="N471" s="20"/>
      <c r="O471" s="20"/>
      <c r="P471" s="20"/>
      <c r="Q471" s="9"/>
      <c r="R471" s="9"/>
      <c r="S471" s="9"/>
      <c r="T471" s="9"/>
      <c r="U471" s="9"/>
      <c r="V471" s="13"/>
    </row>
    <row r="472" spans="2:22" x14ac:dyDescent="0.25">
      <c r="B472" s="75" t="s">
        <v>73</v>
      </c>
      <c r="C472" s="77">
        <v>0</v>
      </c>
      <c r="D472" s="77">
        <v>1</v>
      </c>
      <c r="E472" s="7"/>
      <c r="F472" s="7"/>
      <c r="G472" s="7"/>
      <c r="H472" s="7"/>
      <c r="I472" s="8"/>
      <c r="J472" s="8"/>
      <c r="K472" s="8"/>
      <c r="L472" s="8"/>
      <c r="M472" s="20"/>
      <c r="N472" s="20"/>
      <c r="O472" s="20"/>
      <c r="P472" s="20"/>
      <c r="Q472" s="9"/>
      <c r="R472" s="9"/>
      <c r="S472" s="9"/>
      <c r="T472" s="9"/>
      <c r="U472" s="9"/>
      <c r="V472" s="13"/>
    </row>
    <row r="473" spans="2:22" x14ac:dyDescent="0.25">
      <c r="B473" s="76"/>
      <c r="C473" s="78"/>
      <c r="D473" s="78"/>
      <c r="E473" s="7" t="s">
        <v>100</v>
      </c>
      <c r="F473" s="7"/>
      <c r="G473" s="7"/>
      <c r="H473" s="7"/>
      <c r="I473" s="8"/>
      <c r="J473" s="8"/>
      <c r="K473" s="8"/>
      <c r="L473" s="8"/>
      <c r="M473" s="20" t="s">
        <v>218</v>
      </c>
      <c r="N473" s="20" t="s">
        <v>243</v>
      </c>
      <c r="O473" s="20" t="s">
        <v>244</v>
      </c>
      <c r="P473" s="20"/>
      <c r="Q473" s="9" t="s">
        <v>120</v>
      </c>
      <c r="R473" s="9" t="s">
        <v>306</v>
      </c>
      <c r="S473" s="9" t="s">
        <v>388</v>
      </c>
      <c r="T473" s="9" t="s">
        <v>357</v>
      </c>
      <c r="U473" s="9"/>
      <c r="V473" s="13" t="s">
        <v>309</v>
      </c>
    </row>
    <row r="474" spans="2:22" x14ac:dyDescent="0.25">
      <c r="B474" s="75" t="s">
        <v>75</v>
      </c>
      <c r="C474" s="77">
        <v>0</v>
      </c>
      <c r="D474" s="77">
        <v>0</v>
      </c>
      <c r="E474" s="7"/>
      <c r="F474" s="7"/>
      <c r="G474" s="7"/>
      <c r="H474" s="7"/>
      <c r="I474" s="8"/>
      <c r="J474" s="8"/>
      <c r="K474" s="8"/>
      <c r="L474" s="8"/>
      <c r="M474" s="20"/>
      <c r="N474" s="20"/>
      <c r="O474" s="20"/>
      <c r="P474" s="20"/>
      <c r="Q474" s="9" t="s">
        <v>120</v>
      </c>
      <c r="R474" s="9" t="s">
        <v>321</v>
      </c>
      <c r="S474" s="9" t="s">
        <v>200</v>
      </c>
      <c r="T474" s="9"/>
      <c r="U474" s="9"/>
      <c r="V474" s="13" t="s">
        <v>331</v>
      </c>
    </row>
    <row r="475" spans="2:22" x14ac:dyDescent="0.25">
      <c r="B475" s="76"/>
      <c r="C475" s="78"/>
      <c r="D475" s="78"/>
      <c r="E475" s="7"/>
      <c r="F475" s="7"/>
      <c r="G475" s="7"/>
      <c r="H475" s="7"/>
      <c r="I475" s="8"/>
      <c r="J475" s="8"/>
      <c r="K475" s="8"/>
      <c r="L475" s="8"/>
      <c r="M475" s="20"/>
      <c r="N475" s="20"/>
      <c r="O475" s="20"/>
      <c r="P475" s="20"/>
      <c r="Q475" s="9" t="s">
        <v>357</v>
      </c>
      <c r="R475" s="9" t="s">
        <v>388</v>
      </c>
      <c r="S475" s="9" t="s">
        <v>207</v>
      </c>
      <c r="T475" s="9" t="s">
        <v>120</v>
      </c>
      <c r="U475" s="9"/>
      <c r="V475" s="13" t="s">
        <v>353</v>
      </c>
    </row>
    <row r="476" spans="2:22" x14ac:dyDescent="0.25">
      <c r="B476" s="75" t="s">
        <v>43</v>
      </c>
      <c r="C476" s="77">
        <v>1</v>
      </c>
      <c r="D476" s="77">
        <v>1</v>
      </c>
      <c r="E476" s="7" t="s">
        <v>107</v>
      </c>
      <c r="F476" s="7"/>
      <c r="G476" s="7"/>
      <c r="H476" s="7"/>
      <c r="I476" s="8" t="s">
        <v>208</v>
      </c>
      <c r="J476" s="8"/>
      <c r="K476" s="8"/>
      <c r="L476" s="8"/>
      <c r="M476" s="20"/>
      <c r="N476" s="20"/>
      <c r="O476" s="20"/>
      <c r="P476" s="20"/>
      <c r="Q476" s="9"/>
      <c r="R476" s="9"/>
      <c r="S476" s="9"/>
      <c r="T476" s="9"/>
      <c r="U476" s="9"/>
      <c r="V476" s="13"/>
    </row>
    <row r="477" spans="2:22" x14ac:dyDescent="0.25">
      <c r="B477" s="76"/>
      <c r="C477" s="78"/>
      <c r="D477" s="78"/>
      <c r="E477" s="7"/>
      <c r="F477" s="7"/>
      <c r="G477" s="7"/>
      <c r="H477" s="7"/>
      <c r="I477" s="8"/>
      <c r="J477" s="8"/>
      <c r="K477" s="8"/>
      <c r="L477" s="8"/>
      <c r="M477" s="20"/>
      <c r="N477" s="20"/>
      <c r="O477" s="20"/>
      <c r="P477" s="20"/>
      <c r="Q477" s="9"/>
      <c r="R477" s="9"/>
      <c r="S477" s="9"/>
      <c r="T477" s="9"/>
      <c r="U477" s="9"/>
      <c r="V477" s="13"/>
    </row>
    <row r="478" spans="2:22" x14ac:dyDescent="0.25">
      <c r="B478" s="2" t="s">
        <v>91</v>
      </c>
      <c r="C478" s="2">
        <f>SUM(C470:C477)</f>
        <v>2</v>
      </c>
      <c r="D478" s="2">
        <f>SUM(D470:D477)</f>
        <v>2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</sheetData>
  <mergeCells count="639">
    <mergeCell ref="B474:B475"/>
    <mergeCell ref="C474:C475"/>
    <mergeCell ref="D474:D475"/>
    <mergeCell ref="B476:B477"/>
    <mergeCell ref="C476:C477"/>
    <mergeCell ref="D476:D477"/>
    <mergeCell ref="E469:H469"/>
    <mergeCell ref="I469:L469"/>
    <mergeCell ref="M469:P469"/>
    <mergeCell ref="D440:D441"/>
    <mergeCell ref="Q469:V469"/>
    <mergeCell ref="B470:B471"/>
    <mergeCell ref="C470:C471"/>
    <mergeCell ref="D470:D471"/>
    <mergeCell ref="B472:B473"/>
    <mergeCell ref="C472:C473"/>
    <mergeCell ref="D472:D473"/>
    <mergeCell ref="B450:B451"/>
    <mergeCell ref="C450:C451"/>
    <mergeCell ref="D450:D451"/>
    <mergeCell ref="B452:B453"/>
    <mergeCell ref="C452:C453"/>
    <mergeCell ref="D452:D453"/>
    <mergeCell ref="Q457:V457"/>
    <mergeCell ref="B458:B459"/>
    <mergeCell ref="C458:C459"/>
    <mergeCell ref="D458:D459"/>
    <mergeCell ref="B460:B461"/>
    <mergeCell ref="C460:C461"/>
    <mergeCell ref="D460:D461"/>
    <mergeCell ref="B464:B465"/>
    <mergeCell ref="C464:C465"/>
    <mergeCell ref="D464:D465"/>
    <mergeCell ref="I383:L383"/>
    <mergeCell ref="M383:P383"/>
    <mergeCell ref="E407:H407"/>
    <mergeCell ref="I407:L407"/>
    <mergeCell ref="M407:P407"/>
    <mergeCell ref="Q407:V407"/>
    <mergeCell ref="B408:B409"/>
    <mergeCell ref="C408:C409"/>
    <mergeCell ref="D408:D409"/>
    <mergeCell ref="E395:H395"/>
    <mergeCell ref="E383:H383"/>
    <mergeCell ref="B400:B401"/>
    <mergeCell ref="C400:C401"/>
    <mergeCell ref="D400:D401"/>
    <mergeCell ref="B402:B403"/>
    <mergeCell ref="C402:C403"/>
    <mergeCell ref="D402:D403"/>
    <mergeCell ref="I395:L395"/>
    <mergeCell ref="M395:P395"/>
    <mergeCell ref="Q395:V395"/>
    <mergeCell ref="B396:B397"/>
    <mergeCell ref="C396:C397"/>
    <mergeCell ref="D396:D397"/>
    <mergeCell ref="B398:B399"/>
    <mergeCell ref="C372:C373"/>
    <mergeCell ref="D372:D373"/>
    <mergeCell ref="B374:B375"/>
    <mergeCell ref="B388:B389"/>
    <mergeCell ref="C388:C389"/>
    <mergeCell ref="D388:D389"/>
    <mergeCell ref="B390:B391"/>
    <mergeCell ref="C390:C391"/>
    <mergeCell ref="D390:D391"/>
    <mergeCell ref="C374:C375"/>
    <mergeCell ref="D374:D375"/>
    <mergeCell ref="B376:B377"/>
    <mergeCell ref="C376:C377"/>
    <mergeCell ref="D376:D377"/>
    <mergeCell ref="B378:B379"/>
    <mergeCell ref="C378:C379"/>
    <mergeCell ref="D378:D379"/>
    <mergeCell ref="B386:B387"/>
    <mergeCell ref="C386:C387"/>
    <mergeCell ref="D386:D387"/>
    <mergeCell ref="B358:B359"/>
    <mergeCell ref="C358:C359"/>
    <mergeCell ref="D358:D359"/>
    <mergeCell ref="B360:B361"/>
    <mergeCell ref="C360:C361"/>
    <mergeCell ref="D360:D361"/>
    <mergeCell ref="Q383:V383"/>
    <mergeCell ref="B384:B385"/>
    <mergeCell ref="C384:C385"/>
    <mergeCell ref="D384:D385"/>
    <mergeCell ref="B362:B363"/>
    <mergeCell ref="C362:C363"/>
    <mergeCell ref="D362:D363"/>
    <mergeCell ref="B364:B365"/>
    <mergeCell ref="C364:C365"/>
    <mergeCell ref="D364:D365"/>
    <mergeCell ref="E369:H369"/>
    <mergeCell ref="I369:L369"/>
    <mergeCell ref="M369:P369"/>
    <mergeCell ref="Q369:V369"/>
    <mergeCell ref="B370:B371"/>
    <mergeCell ref="C370:C371"/>
    <mergeCell ref="D370:D371"/>
    <mergeCell ref="B372:B373"/>
    <mergeCell ref="M341:P341"/>
    <mergeCell ref="Q341:V341"/>
    <mergeCell ref="B342:B343"/>
    <mergeCell ref="C342:C343"/>
    <mergeCell ref="D342:D343"/>
    <mergeCell ref="E357:H357"/>
    <mergeCell ref="I357:L357"/>
    <mergeCell ref="M357:P357"/>
    <mergeCell ref="Q357:V357"/>
    <mergeCell ref="C344:C345"/>
    <mergeCell ref="D344:D345"/>
    <mergeCell ref="B352:B353"/>
    <mergeCell ref="C352:C353"/>
    <mergeCell ref="D352:D353"/>
    <mergeCell ref="B346:B347"/>
    <mergeCell ref="E325:H325"/>
    <mergeCell ref="I325:L325"/>
    <mergeCell ref="B350:B351"/>
    <mergeCell ref="C350:C351"/>
    <mergeCell ref="D350:D351"/>
    <mergeCell ref="B336:B337"/>
    <mergeCell ref="C336:C337"/>
    <mergeCell ref="D336:D337"/>
    <mergeCell ref="E341:H341"/>
    <mergeCell ref="I341:L341"/>
    <mergeCell ref="M325:P325"/>
    <mergeCell ref="Q325:V325"/>
    <mergeCell ref="B326:B327"/>
    <mergeCell ref="C326:C327"/>
    <mergeCell ref="D326:D327"/>
    <mergeCell ref="B328:B329"/>
    <mergeCell ref="C328:C329"/>
    <mergeCell ref="D328:D329"/>
    <mergeCell ref="B304:B305"/>
    <mergeCell ref="C304:C305"/>
    <mergeCell ref="D304:D305"/>
    <mergeCell ref="E309:H309"/>
    <mergeCell ref="I309:L309"/>
    <mergeCell ref="M309:P309"/>
    <mergeCell ref="Q309:V309"/>
    <mergeCell ref="B310:B311"/>
    <mergeCell ref="C310:C311"/>
    <mergeCell ref="D310:D311"/>
    <mergeCell ref="B312:B313"/>
    <mergeCell ref="C312:C313"/>
    <mergeCell ref="D312:D313"/>
    <mergeCell ref="B314:B315"/>
    <mergeCell ref="C314:C315"/>
    <mergeCell ref="D314:D315"/>
    <mergeCell ref="B298:B299"/>
    <mergeCell ref="C298:C299"/>
    <mergeCell ref="D298:D299"/>
    <mergeCell ref="B300:B301"/>
    <mergeCell ref="C300:C301"/>
    <mergeCell ref="D300:D301"/>
    <mergeCell ref="B302:B303"/>
    <mergeCell ref="C302:C303"/>
    <mergeCell ref="D302:D303"/>
    <mergeCell ref="E293:H293"/>
    <mergeCell ref="I293:L293"/>
    <mergeCell ref="M293:P293"/>
    <mergeCell ref="Q293:V293"/>
    <mergeCell ref="B294:B295"/>
    <mergeCell ref="C294:C295"/>
    <mergeCell ref="D294:D295"/>
    <mergeCell ref="B296:B297"/>
    <mergeCell ref="C296:C297"/>
    <mergeCell ref="D296:D297"/>
    <mergeCell ref="C256:C257"/>
    <mergeCell ref="D256:D257"/>
    <mergeCell ref="B264:B265"/>
    <mergeCell ref="B274:B275"/>
    <mergeCell ref="C274:C275"/>
    <mergeCell ref="D274:D275"/>
    <mergeCell ref="B276:B277"/>
    <mergeCell ref="C276:C277"/>
    <mergeCell ref="D276:D277"/>
    <mergeCell ref="B258:B259"/>
    <mergeCell ref="C258:C259"/>
    <mergeCell ref="D258:D259"/>
    <mergeCell ref="B260:B261"/>
    <mergeCell ref="C260:C261"/>
    <mergeCell ref="D260:D261"/>
    <mergeCell ref="B262:B263"/>
    <mergeCell ref="C262:C263"/>
    <mergeCell ref="D262:D263"/>
    <mergeCell ref="B244:B245"/>
    <mergeCell ref="C244:C245"/>
    <mergeCell ref="D244:D245"/>
    <mergeCell ref="Q269:V269"/>
    <mergeCell ref="B270:B271"/>
    <mergeCell ref="C270:C271"/>
    <mergeCell ref="D270:D271"/>
    <mergeCell ref="B272:B273"/>
    <mergeCell ref="C272:C273"/>
    <mergeCell ref="D272:D273"/>
    <mergeCell ref="B246:B247"/>
    <mergeCell ref="C246:C247"/>
    <mergeCell ref="D246:D247"/>
    <mergeCell ref="B248:B249"/>
    <mergeCell ref="C248:C249"/>
    <mergeCell ref="D248:D249"/>
    <mergeCell ref="E253:H253"/>
    <mergeCell ref="I253:L253"/>
    <mergeCell ref="M253:P253"/>
    <mergeCell ref="Q253:V253"/>
    <mergeCell ref="B254:B255"/>
    <mergeCell ref="C254:C255"/>
    <mergeCell ref="D254:D255"/>
    <mergeCell ref="B256:B257"/>
    <mergeCell ref="Q205:V205"/>
    <mergeCell ref="B206:B207"/>
    <mergeCell ref="C206:C207"/>
    <mergeCell ref="D206:D207"/>
    <mergeCell ref="B208:B209"/>
    <mergeCell ref="C208:C209"/>
    <mergeCell ref="E205:H205"/>
    <mergeCell ref="I205:L205"/>
    <mergeCell ref="M205:P205"/>
    <mergeCell ref="E241:H241"/>
    <mergeCell ref="I241:L241"/>
    <mergeCell ref="M241:P241"/>
    <mergeCell ref="Q241:V241"/>
    <mergeCell ref="B242:B243"/>
    <mergeCell ref="C242:C243"/>
    <mergeCell ref="D242:D243"/>
    <mergeCell ref="B210:B211"/>
    <mergeCell ref="C210:C211"/>
    <mergeCell ref="D210:D211"/>
    <mergeCell ref="E217:H217"/>
    <mergeCell ref="I217:L217"/>
    <mergeCell ref="M217:P217"/>
    <mergeCell ref="Q217:V217"/>
    <mergeCell ref="B218:B219"/>
    <mergeCell ref="C218:C219"/>
    <mergeCell ref="D218:D219"/>
    <mergeCell ref="B220:B221"/>
    <mergeCell ref="C220:C221"/>
    <mergeCell ref="D220:D221"/>
    <mergeCell ref="B222:B223"/>
    <mergeCell ref="C222:C223"/>
    <mergeCell ref="D222:D223"/>
    <mergeCell ref="B224:B225"/>
    <mergeCell ref="C140:C141"/>
    <mergeCell ref="D140:D141"/>
    <mergeCell ref="B142:B143"/>
    <mergeCell ref="C142:C143"/>
    <mergeCell ref="D142:D143"/>
    <mergeCell ref="B146:B147"/>
    <mergeCell ref="C146:C147"/>
    <mergeCell ref="D146:D147"/>
    <mergeCell ref="C194:C195"/>
    <mergeCell ref="D194:D195"/>
    <mergeCell ref="B170:B171"/>
    <mergeCell ref="C170:C171"/>
    <mergeCell ref="D170:D171"/>
    <mergeCell ref="B172:B173"/>
    <mergeCell ref="C172:C173"/>
    <mergeCell ref="D172:D173"/>
    <mergeCell ref="B182:B183"/>
    <mergeCell ref="C182:C183"/>
    <mergeCell ref="D182:D183"/>
    <mergeCell ref="B184:B185"/>
    <mergeCell ref="C184:C185"/>
    <mergeCell ref="D184:D185"/>
    <mergeCell ref="B186:B187"/>
    <mergeCell ref="C186:C187"/>
    <mergeCell ref="B106:B107"/>
    <mergeCell ref="C106:C107"/>
    <mergeCell ref="D106:D107"/>
    <mergeCell ref="B108:B109"/>
    <mergeCell ref="C108:C109"/>
    <mergeCell ref="D108:D109"/>
    <mergeCell ref="B86:B87"/>
    <mergeCell ref="C86:C87"/>
    <mergeCell ref="D86:D87"/>
    <mergeCell ref="B88:B89"/>
    <mergeCell ref="C88:C89"/>
    <mergeCell ref="D88:D89"/>
    <mergeCell ref="B90:B91"/>
    <mergeCell ref="C90:C91"/>
    <mergeCell ref="D90:D91"/>
    <mergeCell ref="B92:B93"/>
    <mergeCell ref="C92:C93"/>
    <mergeCell ref="D92:D93"/>
    <mergeCell ref="B94:B95"/>
    <mergeCell ref="C94:C95"/>
    <mergeCell ref="D94:D95"/>
    <mergeCell ref="B104:B105"/>
    <mergeCell ref="C104:C105"/>
    <mergeCell ref="D104:D105"/>
    <mergeCell ref="E85:H85"/>
    <mergeCell ref="I85:L85"/>
    <mergeCell ref="M85:P85"/>
    <mergeCell ref="Q85:V85"/>
    <mergeCell ref="B72:B73"/>
    <mergeCell ref="C72:C73"/>
    <mergeCell ref="D72:D73"/>
    <mergeCell ref="B80:B81"/>
    <mergeCell ref="C80:C81"/>
    <mergeCell ref="D80:D81"/>
    <mergeCell ref="B42:B43"/>
    <mergeCell ref="C42:C43"/>
    <mergeCell ref="D42:D43"/>
    <mergeCell ref="B44:B45"/>
    <mergeCell ref="C44:C45"/>
    <mergeCell ref="D44:D45"/>
    <mergeCell ref="B50:B51"/>
    <mergeCell ref="C50:C51"/>
    <mergeCell ref="D50:D51"/>
    <mergeCell ref="B46:B47"/>
    <mergeCell ref="C46:C47"/>
    <mergeCell ref="D46:D47"/>
    <mergeCell ref="B48:B49"/>
    <mergeCell ref="C48:C49"/>
    <mergeCell ref="D48:D49"/>
    <mergeCell ref="B7:B8"/>
    <mergeCell ref="C7:C8"/>
    <mergeCell ref="D7:D8"/>
    <mergeCell ref="B9:B10"/>
    <mergeCell ref="C9:C10"/>
    <mergeCell ref="D9:D10"/>
    <mergeCell ref="B11:B12"/>
    <mergeCell ref="C11:C12"/>
    <mergeCell ref="D11:D12"/>
    <mergeCell ref="E2:H2"/>
    <mergeCell ref="I2:L2"/>
    <mergeCell ref="M2:P2"/>
    <mergeCell ref="Q2:V2"/>
    <mergeCell ref="B3:B4"/>
    <mergeCell ref="C3:C4"/>
    <mergeCell ref="D3:D4"/>
    <mergeCell ref="B5:B6"/>
    <mergeCell ref="C5:C6"/>
    <mergeCell ref="D5:D6"/>
    <mergeCell ref="B40:B41"/>
    <mergeCell ref="E16:H16"/>
    <mergeCell ref="I16:L16"/>
    <mergeCell ref="Q16:V16"/>
    <mergeCell ref="M16:P16"/>
    <mergeCell ref="B30:B31"/>
    <mergeCell ref="C30:C31"/>
    <mergeCell ref="D30:D31"/>
    <mergeCell ref="E25:H25"/>
    <mergeCell ref="I25:L25"/>
    <mergeCell ref="B26:B27"/>
    <mergeCell ref="C26:C27"/>
    <mergeCell ref="D26:D27"/>
    <mergeCell ref="B28:B29"/>
    <mergeCell ref="C28:C29"/>
    <mergeCell ref="D28:D29"/>
    <mergeCell ref="C40:C41"/>
    <mergeCell ref="D40:D41"/>
    <mergeCell ref="M25:P25"/>
    <mergeCell ref="Q25:V25"/>
    <mergeCell ref="B32:B33"/>
    <mergeCell ref="C32:C33"/>
    <mergeCell ref="D32:D33"/>
    <mergeCell ref="B34:B35"/>
    <mergeCell ref="C34:C35"/>
    <mergeCell ref="D34:D35"/>
    <mergeCell ref="E39:H39"/>
    <mergeCell ref="I39:L39"/>
    <mergeCell ref="M39:P39"/>
    <mergeCell ref="Q39:V39"/>
    <mergeCell ref="E71:H71"/>
    <mergeCell ref="I71:L71"/>
    <mergeCell ref="M71:P71"/>
    <mergeCell ref="Q71:V71"/>
    <mergeCell ref="C64:C65"/>
    <mergeCell ref="D64:D65"/>
    <mergeCell ref="C66:C67"/>
    <mergeCell ref="D66:D67"/>
    <mergeCell ref="B52:B53"/>
    <mergeCell ref="C52:C53"/>
    <mergeCell ref="D52:D53"/>
    <mergeCell ref="E57:H57"/>
    <mergeCell ref="I57:L57"/>
    <mergeCell ref="M57:P57"/>
    <mergeCell ref="Q57:V57"/>
    <mergeCell ref="B58:B59"/>
    <mergeCell ref="C58:C59"/>
    <mergeCell ref="D58:D59"/>
    <mergeCell ref="B60:B61"/>
    <mergeCell ref="C60:C61"/>
    <mergeCell ref="D60:D61"/>
    <mergeCell ref="B62:B63"/>
    <mergeCell ref="C62:C63"/>
    <mergeCell ref="D62:D63"/>
    <mergeCell ref="B64:B65"/>
    <mergeCell ref="B78:B79"/>
    <mergeCell ref="C78:C79"/>
    <mergeCell ref="D78:D79"/>
    <mergeCell ref="B74:B75"/>
    <mergeCell ref="C74:C75"/>
    <mergeCell ref="D74:D75"/>
    <mergeCell ref="B76:B77"/>
    <mergeCell ref="C76:C77"/>
    <mergeCell ref="D76:D77"/>
    <mergeCell ref="B66:B67"/>
    <mergeCell ref="E99:H99"/>
    <mergeCell ref="I99:L99"/>
    <mergeCell ref="M99:P99"/>
    <mergeCell ref="Q99:V99"/>
    <mergeCell ref="B100:B101"/>
    <mergeCell ref="C100:C101"/>
    <mergeCell ref="D100:D101"/>
    <mergeCell ref="B102:B103"/>
    <mergeCell ref="C102:C103"/>
    <mergeCell ref="D102:D103"/>
    <mergeCell ref="E113:H113"/>
    <mergeCell ref="I113:L113"/>
    <mergeCell ref="M113:P113"/>
    <mergeCell ref="Q113:V113"/>
    <mergeCell ref="B114:B115"/>
    <mergeCell ref="C114:C115"/>
    <mergeCell ref="D114:D115"/>
    <mergeCell ref="B116:B117"/>
    <mergeCell ref="C116:C117"/>
    <mergeCell ref="D116:D117"/>
    <mergeCell ref="B118:B119"/>
    <mergeCell ref="C118:C119"/>
    <mergeCell ref="D118:D119"/>
    <mergeCell ref="B120:B121"/>
    <mergeCell ref="C120:C121"/>
    <mergeCell ref="D120:D121"/>
    <mergeCell ref="B122:B123"/>
    <mergeCell ref="C122:C123"/>
    <mergeCell ref="D122:D123"/>
    <mergeCell ref="E127:H127"/>
    <mergeCell ref="I127:L127"/>
    <mergeCell ref="M127:P127"/>
    <mergeCell ref="Q127:V127"/>
    <mergeCell ref="B128:B129"/>
    <mergeCell ref="C128:C129"/>
    <mergeCell ref="D128:D129"/>
    <mergeCell ref="B130:B131"/>
    <mergeCell ref="B144:B145"/>
    <mergeCell ref="C144:C145"/>
    <mergeCell ref="D144:D145"/>
    <mergeCell ref="E139:H139"/>
    <mergeCell ref="I139:L139"/>
    <mergeCell ref="M139:P139"/>
    <mergeCell ref="C130:C131"/>
    <mergeCell ref="D130:D131"/>
    <mergeCell ref="B132:B133"/>
    <mergeCell ref="C132:C133"/>
    <mergeCell ref="D132:D133"/>
    <mergeCell ref="B134:B135"/>
    <mergeCell ref="C134:C135"/>
    <mergeCell ref="D134:D135"/>
    <mergeCell ref="Q139:V139"/>
    <mergeCell ref="B140:B141"/>
    <mergeCell ref="E151:H151"/>
    <mergeCell ref="I151:L151"/>
    <mergeCell ref="M151:P151"/>
    <mergeCell ref="Q151:V151"/>
    <mergeCell ref="B152:B153"/>
    <mergeCell ref="C152:C153"/>
    <mergeCell ref="D152:D153"/>
    <mergeCell ref="B154:B155"/>
    <mergeCell ref="C154:C155"/>
    <mergeCell ref="D154:D155"/>
    <mergeCell ref="Q165:V165"/>
    <mergeCell ref="B166:B167"/>
    <mergeCell ref="C166:C167"/>
    <mergeCell ref="D166:D167"/>
    <mergeCell ref="B168:B169"/>
    <mergeCell ref="C168:C169"/>
    <mergeCell ref="D168:D169"/>
    <mergeCell ref="B156:B157"/>
    <mergeCell ref="C156:C157"/>
    <mergeCell ref="D156:D157"/>
    <mergeCell ref="B158:B159"/>
    <mergeCell ref="C158:C159"/>
    <mergeCell ref="D158:D159"/>
    <mergeCell ref="B160:B161"/>
    <mergeCell ref="C160:C161"/>
    <mergeCell ref="D160:D161"/>
    <mergeCell ref="E165:H165"/>
    <mergeCell ref="I165:L165"/>
    <mergeCell ref="M165:P165"/>
    <mergeCell ref="E177:H177"/>
    <mergeCell ref="I177:L177"/>
    <mergeCell ref="M177:P177"/>
    <mergeCell ref="Q177:V177"/>
    <mergeCell ref="B178:B179"/>
    <mergeCell ref="C178:C179"/>
    <mergeCell ref="D178:D179"/>
    <mergeCell ref="B180:B181"/>
    <mergeCell ref="C180:C181"/>
    <mergeCell ref="D180:D181"/>
    <mergeCell ref="D186:D187"/>
    <mergeCell ref="E191:H191"/>
    <mergeCell ref="I191:L191"/>
    <mergeCell ref="M191:P191"/>
    <mergeCell ref="Q191:V191"/>
    <mergeCell ref="B192:B193"/>
    <mergeCell ref="C192:C193"/>
    <mergeCell ref="D192:D193"/>
    <mergeCell ref="B194:B195"/>
    <mergeCell ref="B196:B197"/>
    <mergeCell ref="C196:C197"/>
    <mergeCell ref="D196:D197"/>
    <mergeCell ref="B198:B199"/>
    <mergeCell ref="C198:C199"/>
    <mergeCell ref="D198:D199"/>
    <mergeCell ref="B212:B213"/>
    <mergeCell ref="C212:C213"/>
    <mergeCell ref="D212:D213"/>
    <mergeCell ref="B200:B201"/>
    <mergeCell ref="C200:C201"/>
    <mergeCell ref="D200:D201"/>
    <mergeCell ref="D208:D209"/>
    <mergeCell ref="C224:C225"/>
    <mergeCell ref="D224:D225"/>
    <mergeCell ref="E229:H229"/>
    <mergeCell ref="I229:L229"/>
    <mergeCell ref="M229:P229"/>
    <mergeCell ref="B236:B237"/>
    <mergeCell ref="C236:C237"/>
    <mergeCell ref="D236:D237"/>
    <mergeCell ref="Q229:V229"/>
    <mergeCell ref="B230:B231"/>
    <mergeCell ref="C230:C231"/>
    <mergeCell ref="D230:D231"/>
    <mergeCell ref="B232:B233"/>
    <mergeCell ref="C232:C233"/>
    <mergeCell ref="D232:D233"/>
    <mergeCell ref="B234:B235"/>
    <mergeCell ref="C234:C235"/>
    <mergeCell ref="D234:D235"/>
    <mergeCell ref="Q281:V281"/>
    <mergeCell ref="B282:B283"/>
    <mergeCell ref="C282:C283"/>
    <mergeCell ref="D282:D283"/>
    <mergeCell ref="B284:B285"/>
    <mergeCell ref="C284:C285"/>
    <mergeCell ref="D284:D285"/>
    <mergeCell ref="C264:C265"/>
    <mergeCell ref="D264:D265"/>
    <mergeCell ref="E269:H269"/>
    <mergeCell ref="I269:L269"/>
    <mergeCell ref="M269:P269"/>
    <mergeCell ref="B286:B287"/>
    <mergeCell ref="C286:C287"/>
    <mergeCell ref="D286:D287"/>
    <mergeCell ref="B288:B289"/>
    <mergeCell ref="C288:C289"/>
    <mergeCell ref="D288:D289"/>
    <mergeCell ref="E281:H281"/>
    <mergeCell ref="I281:L281"/>
    <mergeCell ref="M281:P281"/>
    <mergeCell ref="B316:B317"/>
    <mergeCell ref="C316:C317"/>
    <mergeCell ref="D316:D317"/>
    <mergeCell ref="B318:B319"/>
    <mergeCell ref="C318:C319"/>
    <mergeCell ref="D318:D319"/>
    <mergeCell ref="C346:C347"/>
    <mergeCell ref="D346:D347"/>
    <mergeCell ref="B348:B349"/>
    <mergeCell ref="C348:C349"/>
    <mergeCell ref="D348:D349"/>
    <mergeCell ref="B320:B321"/>
    <mergeCell ref="C320:C321"/>
    <mergeCell ref="D320:D321"/>
    <mergeCell ref="B330:B331"/>
    <mergeCell ref="C330:C331"/>
    <mergeCell ref="D330:D331"/>
    <mergeCell ref="B332:B333"/>
    <mergeCell ref="C332:C333"/>
    <mergeCell ref="D332:D333"/>
    <mergeCell ref="B334:B335"/>
    <mergeCell ref="C334:C335"/>
    <mergeCell ref="D334:D335"/>
    <mergeCell ref="B344:B345"/>
    <mergeCell ref="C398:C399"/>
    <mergeCell ref="D398:D399"/>
    <mergeCell ref="E419:H419"/>
    <mergeCell ref="I419:L419"/>
    <mergeCell ref="M419:P419"/>
    <mergeCell ref="Q419:V419"/>
    <mergeCell ref="B420:B421"/>
    <mergeCell ref="C420:C421"/>
    <mergeCell ref="D420:D421"/>
    <mergeCell ref="B410:B411"/>
    <mergeCell ref="C410:C411"/>
    <mergeCell ref="D410:D411"/>
    <mergeCell ref="B412:B413"/>
    <mergeCell ref="C412:C413"/>
    <mergeCell ref="D412:D413"/>
    <mergeCell ref="B414:B415"/>
    <mergeCell ref="C414:C415"/>
    <mergeCell ref="D414:D415"/>
    <mergeCell ref="B422:B423"/>
    <mergeCell ref="C422:C423"/>
    <mergeCell ref="D422:D423"/>
    <mergeCell ref="B424:B425"/>
    <mergeCell ref="C424:C425"/>
    <mergeCell ref="D424:D425"/>
    <mergeCell ref="B426:B427"/>
    <mergeCell ref="C426:C427"/>
    <mergeCell ref="D426:D427"/>
    <mergeCell ref="B428:B429"/>
    <mergeCell ref="C428:C429"/>
    <mergeCell ref="D428:D429"/>
    <mergeCell ref="E433:H433"/>
    <mergeCell ref="I433:L433"/>
    <mergeCell ref="M433:P433"/>
    <mergeCell ref="Q433:V433"/>
    <mergeCell ref="B434:B435"/>
    <mergeCell ref="C434:C435"/>
    <mergeCell ref="D434:D435"/>
    <mergeCell ref="B436:B437"/>
    <mergeCell ref="C436:C437"/>
    <mergeCell ref="D436:D437"/>
    <mergeCell ref="Q445:V445"/>
    <mergeCell ref="B446:B447"/>
    <mergeCell ref="C446:C447"/>
    <mergeCell ref="D446:D447"/>
    <mergeCell ref="B462:B463"/>
    <mergeCell ref="C462:C463"/>
    <mergeCell ref="D462:D463"/>
    <mergeCell ref="E457:H457"/>
    <mergeCell ref="I457:L457"/>
    <mergeCell ref="M457:P457"/>
    <mergeCell ref="E445:H445"/>
    <mergeCell ref="I445:L445"/>
    <mergeCell ref="M445:P445"/>
    <mergeCell ref="B448:B449"/>
    <mergeCell ref="C448:C449"/>
    <mergeCell ref="D448:D449"/>
    <mergeCell ref="B438:B439"/>
    <mergeCell ref="C438:C439"/>
    <mergeCell ref="D438:D439"/>
    <mergeCell ref="B440:B441"/>
    <mergeCell ref="C440:C441"/>
  </mergeCells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2:CW116"/>
  <sheetViews>
    <sheetView showGridLines="0" zoomScaleNormal="125" workbookViewId="0">
      <selection activeCell="R4" sqref="R4:S10"/>
    </sheetView>
  </sheetViews>
  <sheetFormatPr defaultColWidth="8.8984375" defaultRowHeight="15.6" x14ac:dyDescent="0.25"/>
  <cols>
    <col min="1" max="1" width="4.19921875" style="1" bestFit="1" customWidth="1"/>
    <col min="2" max="2" width="6.296875" style="1" customWidth="1"/>
    <col min="3" max="3" width="9.3984375" style="1" bestFit="1" customWidth="1"/>
    <col min="4" max="8" width="10.796875" style="1" customWidth="1"/>
    <col min="9" max="9" width="4.796875" style="17" customWidth="1"/>
    <col min="10" max="10" width="4.796875" style="1" customWidth="1"/>
    <col min="11" max="11" width="7.796875" style="1" customWidth="1"/>
    <col min="12" max="12" width="8.09765625" style="1" customWidth="1"/>
    <col min="13" max="13" width="4.69921875" style="1" customWidth="1"/>
    <col min="14" max="14" width="8.09765625" style="1" customWidth="1"/>
    <col min="15" max="15" width="4.69921875" style="1" customWidth="1"/>
    <col min="16" max="16" width="8.09765625" style="1" customWidth="1"/>
    <col min="17" max="17" width="4.69921875" style="1" customWidth="1"/>
    <col min="18" max="18" width="8.09765625" style="1" customWidth="1"/>
    <col min="19" max="19" width="4.69921875" style="1" customWidth="1"/>
    <col min="20" max="20" width="8.09765625" style="1" customWidth="1"/>
    <col min="21" max="21" width="4.69921875" style="1" customWidth="1"/>
    <col min="22" max="32" width="7.796875" style="1" customWidth="1"/>
    <col min="33" max="33" width="4.796875" style="1" customWidth="1"/>
    <col min="34" max="85" width="4.796875" style="3" customWidth="1"/>
    <col min="86" max="101" width="8.8984375" style="3"/>
  </cols>
  <sheetData>
    <row r="2" spans="1:33" x14ac:dyDescent="0.25">
      <c r="D2" s="15">
        <f>SUM(D4:D95)</f>
        <v>183</v>
      </c>
      <c r="E2" s="15">
        <f>SUM(E4:E95)</f>
        <v>131</v>
      </c>
      <c r="F2" s="15">
        <f>SUM(F4:F95)</f>
        <v>185</v>
      </c>
      <c r="G2" s="15">
        <f>SUM(G4:G95)</f>
        <v>395</v>
      </c>
      <c r="H2" s="15">
        <f>SUM(H4:H95)</f>
        <v>92</v>
      </c>
    </row>
    <row r="3" spans="1:33" x14ac:dyDescent="0.25">
      <c r="A3" s="2" t="s">
        <v>246</v>
      </c>
      <c r="B3" s="2" t="s">
        <v>6</v>
      </c>
      <c r="C3" s="2" t="s">
        <v>78</v>
      </c>
      <c r="D3" s="2" t="s">
        <v>82</v>
      </c>
      <c r="E3" s="2" t="s">
        <v>1</v>
      </c>
      <c r="F3" s="2" t="s">
        <v>2</v>
      </c>
      <c r="G3" s="4" t="s">
        <v>0</v>
      </c>
      <c r="H3" s="4" t="s">
        <v>132</v>
      </c>
      <c r="I3" s="4" t="s">
        <v>116</v>
      </c>
      <c r="J3" s="16"/>
      <c r="K3" s="4" t="s">
        <v>51</v>
      </c>
      <c r="L3" s="21" t="s">
        <v>84</v>
      </c>
      <c r="M3" s="21"/>
      <c r="N3" s="22" t="s">
        <v>87</v>
      </c>
      <c r="O3" s="22"/>
      <c r="P3" s="23" t="s">
        <v>86</v>
      </c>
      <c r="Q3" s="23"/>
      <c r="R3" s="24" t="s">
        <v>90</v>
      </c>
      <c r="S3" s="24"/>
      <c r="T3" s="25" t="s">
        <v>83</v>
      </c>
      <c r="U3" s="25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x14ac:dyDescent="0.25">
      <c r="A4" s="2">
        <f>종합Sheet!A4</f>
        <v>1</v>
      </c>
      <c r="B4" s="2" t="str">
        <f>종합Sheet!B4</f>
        <v>김인혁</v>
      </c>
      <c r="C4" s="2">
        <f t="shared" ref="C4:C35" si="0">((D4+E4+G4+H4)*0.2)+((F4)*0.3)</f>
        <v>1.6</v>
      </c>
      <c r="D4" s="14">
        <f>COUNTIF(경기기록Sheet!$E:$H,B4)</f>
        <v>1</v>
      </c>
      <c r="E4" s="14">
        <f>COUNTIF(경기기록Sheet!$I:$L,B4)</f>
        <v>1</v>
      </c>
      <c r="F4" s="14">
        <f>COUNTIF(경기기록Sheet!$M:$P,B4)</f>
        <v>0</v>
      </c>
      <c r="G4" s="14">
        <f>COUNTIF(경기기록Sheet!$Q:$U,B4)</f>
        <v>5</v>
      </c>
      <c r="H4" s="14">
        <f>COUNTIF(경기기록Sheet!$V:$V,B4)</f>
        <v>1</v>
      </c>
      <c r="I4" s="14">
        <f t="shared" ref="I4:I35" si="1">SUM(D4:H4)</f>
        <v>8</v>
      </c>
      <c r="J4" s="15"/>
      <c r="K4" s="2">
        <v>1</v>
      </c>
      <c r="L4" s="32" t="s">
        <v>316</v>
      </c>
      <c r="M4" s="21">
        <f t="shared" ref="M4:M13" si="2">VLOOKUP(L4,$B$4:$H$143,3,FALSE)</f>
        <v>16</v>
      </c>
      <c r="N4" s="34" t="s">
        <v>231</v>
      </c>
      <c r="O4" s="22">
        <f t="shared" ref="O4:O13" si="3">VLOOKUP(N4,$B$4:$H$143,4,FALSE)</f>
        <v>11</v>
      </c>
      <c r="P4" s="35" t="s">
        <v>55</v>
      </c>
      <c r="Q4" s="23">
        <f t="shared" ref="Q4:Q13" si="4">VLOOKUP(P4,$B$4:$H$143,5,FALSE)</f>
        <v>19</v>
      </c>
      <c r="R4" s="36" t="s">
        <v>239</v>
      </c>
      <c r="S4" s="57">
        <f t="shared" ref="S4:S13" si="5">VLOOKUP(R4,$B$4:$H$143,6,FALSE)</f>
        <v>38</v>
      </c>
      <c r="T4" s="37" t="s">
        <v>44</v>
      </c>
      <c r="U4" s="58">
        <f t="shared" ref="U4:U13" si="6">VLOOKUP(T4,$B$4:$H$143,7,FALSE)</f>
        <v>19</v>
      </c>
    </row>
    <row r="5" spans="1:33" x14ac:dyDescent="0.25">
      <c r="A5" s="2">
        <f>종합Sheet!A5</f>
        <v>2</v>
      </c>
      <c r="B5" s="2" t="str">
        <f>종합Sheet!B5</f>
        <v>신재경</v>
      </c>
      <c r="C5" s="2">
        <f t="shared" si="0"/>
        <v>5.2</v>
      </c>
      <c r="D5" s="14">
        <f>COUNTIF(경기기록Sheet!$E:$H,B5)</f>
        <v>4</v>
      </c>
      <c r="E5" s="14">
        <f>COUNTIF(경기기록Sheet!$I:$L,B5)</f>
        <v>4</v>
      </c>
      <c r="F5" s="14">
        <f>COUNTIF(경기기록Sheet!$M:$P,B5)</f>
        <v>8</v>
      </c>
      <c r="G5" s="14">
        <f>COUNTIF(경기기록Sheet!$Q:$U,B5)</f>
        <v>5</v>
      </c>
      <c r="H5" s="14">
        <f>COUNTIF(경기기록Sheet!$V:$V,B5)</f>
        <v>1</v>
      </c>
      <c r="I5" s="14">
        <f t="shared" si="1"/>
        <v>22</v>
      </c>
      <c r="J5" s="15"/>
      <c r="K5" s="2">
        <v>2</v>
      </c>
      <c r="L5" s="32" t="s">
        <v>230</v>
      </c>
      <c r="M5" s="21">
        <f t="shared" si="2"/>
        <v>15</v>
      </c>
      <c r="N5" s="34" t="s">
        <v>7</v>
      </c>
      <c r="O5" s="22">
        <f t="shared" si="3"/>
        <v>10</v>
      </c>
      <c r="P5" s="35" t="s">
        <v>312</v>
      </c>
      <c r="Q5" s="23">
        <f t="shared" si="4"/>
        <v>18</v>
      </c>
      <c r="R5" s="36" t="s">
        <v>236</v>
      </c>
      <c r="S5" s="57">
        <f t="shared" si="5"/>
        <v>34</v>
      </c>
      <c r="T5" s="37" t="s">
        <v>235</v>
      </c>
      <c r="U5" s="58">
        <f t="shared" si="6"/>
        <v>10</v>
      </c>
    </row>
    <row r="6" spans="1:33" x14ac:dyDescent="0.25">
      <c r="A6" s="2">
        <f>종합Sheet!A6</f>
        <v>3</v>
      </c>
      <c r="B6" s="2" t="str">
        <f>종합Sheet!B6</f>
        <v>정효태</v>
      </c>
      <c r="C6" s="2">
        <f t="shared" si="0"/>
        <v>0.5</v>
      </c>
      <c r="D6" s="14">
        <f>COUNTIF(경기기록Sheet!$E:$H,B6)</f>
        <v>0</v>
      </c>
      <c r="E6" s="14">
        <f>COUNTIF(경기기록Sheet!$I:$L,B6)</f>
        <v>1</v>
      </c>
      <c r="F6" s="14">
        <f>COUNTIF(경기기록Sheet!$M:$P,B6)</f>
        <v>1</v>
      </c>
      <c r="G6" s="14">
        <f>COUNTIF(경기기록Sheet!$Q:$U,B6)</f>
        <v>0</v>
      </c>
      <c r="H6" s="14">
        <f>COUNTIF(경기기록Sheet!$V:$V,B6)</f>
        <v>0</v>
      </c>
      <c r="I6" s="14">
        <f t="shared" si="1"/>
        <v>2</v>
      </c>
      <c r="J6" s="15"/>
      <c r="K6" s="2">
        <v>3</v>
      </c>
      <c r="L6" s="32" t="s">
        <v>252</v>
      </c>
      <c r="M6" s="21">
        <f t="shared" si="2"/>
        <v>12</v>
      </c>
      <c r="N6" s="34" t="s">
        <v>230</v>
      </c>
      <c r="O6" s="22">
        <f t="shared" si="3"/>
        <v>8</v>
      </c>
      <c r="P6" s="35" t="s">
        <v>66</v>
      </c>
      <c r="Q6" s="23">
        <f t="shared" si="4"/>
        <v>17</v>
      </c>
      <c r="R6" s="36" t="s">
        <v>77</v>
      </c>
      <c r="S6" s="57">
        <f t="shared" si="5"/>
        <v>30</v>
      </c>
      <c r="T6" s="37" t="s">
        <v>230</v>
      </c>
      <c r="U6" s="58">
        <f t="shared" si="6"/>
        <v>6</v>
      </c>
    </row>
    <row r="7" spans="1:33" x14ac:dyDescent="0.25">
      <c r="A7" s="2">
        <f>종합Sheet!A7</f>
        <v>4</v>
      </c>
      <c r="B7" s="2" t="str">
        <f>종합Sheet!B7</f>
        <v>이승민</v>
      </c>
      <c r="C7" s="2">
        <f t="shared" si="0"/>
        <v>0</v>
      </c>
      <c r="D7" s="14">
        <f>COUNTIF(경기기록Sheet!$E:$H,B7)</f>
        <v>0</v>
      </c>
      <c r="E7" s="14">
        <f>COUNTIF(경기기록Sheet!$I:$L,B7)</f>
        <v>0</v>
      </c>
      <c r="F7" s="14">
        <f>COUNTIF(경기기록Sheet!$M:$P,B7)</f>
        <v>0</v>
      </c>
      <c r="G7" s="14">
        <f>COUNTIF(경기기록Sheet!$Q:$U,B7)</f>
        <v>0</v>
      </c>
      <c r="H7" s="14">
        <f>COUNTIF(경기기록Sheet!$V:$V,B7)</f>
        <v>0</v>
      </c>
      <c r="I7" s="14">
        <f t="shared" si="1"/>
        <v>0</v>
      </c>
      <c r="J7" s="15"/>
      <c r="K7" s="2">
        <v>4</v>
      </c>
      <c r="L7" s="32" t="s">
        <v>350</v>
      </c>
      <c r="M7" s="21">
        <f t="shared" si="2"/>
        <v>12</v>
      </c>
      <c r="N7" s="34" t="s">
        <v>252</v>
      </c>
      <c r="O7" s="22">
        <f t="shared" si="3"/>
        <v>7</v>
      </c>
      <c r="P7" s="35" t="s">
        <v>231</v>
      </c>
      <c r="Q7" s="23">
        <f t="shared" si="4"/>
        <v>17</v>
      </c>
      <c r="R7" s="36" t="s">
        <v>378</v>
      </c>
      <c r="S7" s="57">
        <f t="shared" si="5"/>
        <v>29</v>
      </c>
      <c r="T7" s="37" t="s">
        <v>231</v>
      </c>
      <c r="U7" s="58">
        <f t="shared" si="6"/>
        <v>6</v>
      </c>
    </row>
    <row r="8" spans="1:33" x14ac:dyDescent="0.25">
      <c r="A8" s="2">
        <f>종합Sheet!A8</f>
        <v>5</v>
      </c>
      <c r="B8" s="2" t="str">
        <f>종합Sheet!B8</f>
        <v>이정석</v>
      </c>
      <c r="C8" s="2">
        <f t="shared" si="0"/>
        <v>0</v>
      </c>
      <c r="D8" s="14">
        <f>COUNTIF(경기기록Sheet!$E:$H,B8)</f>
        <v>0</v>
      </c>
      <c r="E8" s="14">
        <f>COUNTIF(경기기록Sheet!$I:$L,B8)</f>
        <v>0</v>
      </c>
      <c r="F8" s="14">
        <f>COUNTIF(경기기록Sheet!$M:$P,B8)</f>
        <v>0</v>
      </c>
      <c r="G8" s="14">
        <f>COUNTIF(경기기록Sheet!$Q:$U,B8)</f>
        <v>0</v>
      </c>
      <c r="H8" s="14">
        <f>COUNTIF(경기기록Sheet!$V:$V,B8)</f>
        <v>0</v>
      </c>
      <c r="I8" s="14">
        <f t="shared" si="1"/>
        <v>0</v>
      </c>
      <c r="J8" s="15"/>
      <c r="K8" s="2">
        <v>5</v>
      </c>
      <c r="L8" s="32" t="s">
        <v>235</v>
      </c>
      <c r="M8" s="21">
        <f t="shared" si="2"/>
        <v>11</v>
      </c>
      <c r="N8" s="34" t="s">
        <v>360</v>
      </c>
      <c r="O8" s="22">
        <f t="shared" si="3"/>
        <v>6</v>
      </c>
      <c r="P8" s="35" t="s">
        <v>370</v>
      </c>
      <c r="Q8" s="23">
        <f t="shared" si="4"/>
        <v>16</v>
      </c>
      <c r="R8" s="36" t="s">
        <v>379</v>
      </c>
      <c r="S8" s="57">
        <f t="shared" si="5"/>
        <v>28</v>
      </c>
      <c r="T8" s="37" t="s">
        <v>350</v>
      </c>
      <c r="U8" s="58">
        <f t="shared" si="6"/>
        <v>6</v>
      </c>
    </row>
    <row r="9" spans="1:33" x14ac:dyDescent="0.25">
      <c r="A9" s="2">
        <f>종합Sheet!A9</f>
        <v>6</v>
      </c>
      <c r="B9" s="2" t="str">
        <f>종합Sheet!B9</f>
        <v>강종찬</v>
      </c>
      <c r="C9" s="2">
        <f t="shared" si="0"/>
        <v>5.4</v>
      </c>
      <c r="D9" s="14">
        <f>COUNTIF(경기기록Sheet!$E:$H,B9)</f>
        <v>0</v>
      </c>
      <c r="E9" s="14">
        <f>COUNTIF(경기기록Sheet!$I:$L,B9)</f>
        <v>0</v>
      </c>
      <c r="F9" s="14">
        <f>COUNTIF(경기기록Sheet!$M:$P,B9)</f>
        <v>0</v>
      </c>
      <c r="G9" s="14">
        <f>COUNTIF(경기기록Sheet!$Q:$U,B9)</f>
        <v>25</v>
      </c>
      <c r="H9" s="14">
        <f>COUNTIF(경기기록Sheet!$V:$V,B9)</f>
        <v>2</v>
      </c>
      <c r="I9" s="14">
        <f t="shared" si="1"/>
        <v>27</v>
      </c>
      <c r="J9" s="15"/>
      <c r="K9" s="2">
        <v>6</v>
      </c>
      <c r="L9" s="32" t="s">
        <v>7</v>
      </c>
      <c r="M9" s="21">
        <f t="shared" si="2"/>
        <v>10</v>
      </c>
      <c r="N9" s="34" t="s">
        <v>316</v>
      </c>
      <c r="O9" s="22">
        <f t="shared" si="3"/>
        <v>5</v>
      </c>
      <c r="P9" s="35" t="s">
        <v>340</v>
      </c>
      <c r="Q9" s="23">
        <f t="shared" si="4"/>
        <v>14</v>
      </c>
      <c r="R9" s="36" t="s">
        <v>336</v>
      </c>
      <c r="S9" s="57">
        <f t="shared" si="5"/>
        <v>28</v>
      </c>
      <c r="T9" s="37" t="s">
        <v>381</v>
      </c>
      <c r="U9" s="58">
        <f t="shared" si="6"/>
        <v>5</v>
      </c>
    </row>
    <row r="10" spans="1:33" x14ac:dyDescent="0.25">
      <c r="A10" s="2">
        <f>종합Sheet!A10</f>
        <v>7</v>
      </c>
      <c r="B10" s="2" t="str">
        <f>종합Sheet!B10</f>
        <v>강관석</v>
      </c>
      <c r="C10" s="2">
        <f t="shared" si="0"/>
        <v>8.1999999999999993</v>
      </c>
      <c r="D10" s="14">
        <f>COUNTIF(경기기록Sheet!$E:$H,B10)</f>
        <v>7</v>
      </c>
      <c r="E10" s="14">
        <f>COUNTIF(경기기록Sheet!$I:$L,B10)</f>
        <v>4</v>
      </c>
      <c r="F10" s="14">
        <f>COUNTIF(경기기록Sheet!$M:$P,B10)</f>
        <v>18</v>
      </c>
      <c r="G10" s="14">
        <f>COUNTIF(경기기록Sheet!$Q:$U,B10)</f>
        <v>1</v>
      </c>
      <c r="H10" s="14">
        <f>COUNTIF(경기기록Sheet!$V:$V,B10)</f>
        <v>2</v>
      </c>
      <c r="I10" s="14">
        <f t="shared" si="1"/>
        <v>32</v>
      </c>
      <c r="J10" s="15"/>
      <c r="K10" s="2">
        <v>7</v>
      </c>
      <c r="L10" s="32" t="s">
        <v>349</v>
      </c>
      <c r="M10" s="21">
        <f t="shared" si="2"/>
        <v>10</v>
      </c>
      <c r="N10" s="34" t="s">
        <v>228</v>
      </c>
      <c r="O10" s="22">
        <f t="shared" si="3"/>
        <v>5</v>
      </c>
      <c r="P10" s="35" t="s">
        <v>316</v>
      </c>
      <c r="Q10" s="23">
        <f t="shared" si="4"/>
        <v>13</v>
      </c>
      <c r="R10" s="36" t="s">
        <v>50</v>
      </c>
      <c r="S10" s="57">
        <f t="shared" si="5"/>
        <v>25</v>
      </c>
      <c r="T10" s="37" t="s">
        <v>364</v>
      </c>
      <c r="U10" s="58">
        <f t="shared" si="6"/>
        <v>5</v>
      </c>
    </row>
    <row r="11" spans="1:33" x14ac:dyDescent="0.25">
      <c r="A11" s="2">
        <f>종합Sheet!A11</f>
        <v>8</v>
      </c>
      <c r="B11" s="2" t="str">
        <f>종합Sheet!B11</f>
        <v>강기혁</v>
      </c>
      <c r="C11" s="2">
        <f t="shared" si="0"/>
        <v>7.1</v>
      </c>
      <c r="D11" s="14">
        <f>COUNTIF(경기기록Sheet!$E:$H,B11)</f>
        <v>15</v>
      </c>
      <c r="E11" s="14">
        <f>COUNTIF(경기기록Sheet!$I:$L,B11)</f>
        <v>8</v>
      </c>
      <c r="F11" s="14">
        <f>COUNTIF(경기기록Sheet!$M:$P,B11)</f>
        <v>3</v>
      </c>
      <c r="G11" s="14">
        <f>COUNTIF(경기기록Sheet!$Q:$U,B11)</f>
        <v>2</v>
      </c>
      <c r="H11" s="14">
        <f>COUNTIF(경기기록Sheet!$V:$V,B11)</f>
        <v>6</v>
      </c>
      <c r="I11" s="14">
        <f t="shared" si="1"/>
        <v>34</v>
      </c>
      <c r="J11" s="15"/>
      <c r="K11" s="2">
        <v>8</v>
      </c>
      <c r="L11" s="32" t="s">
        <v>228</v>
      </c>
      <c r="M11" s="21">
        <f t="shared" si="2"/>
        <v>8</v>
      </c>
      <c r="N11" s="34" t="s">
        <v>235</v>
      </c>
      <c r="O11" s="22">
        <f t="shared" si="3"/>
        <v>5</v>
      </c>
      <c r="P11" s="35" t="s">
        <v>228</v>
      </c>
      <c r="Q11" s="23">
        <f t="shared" si="4"/>
        <v>10</v>
      </c>
      <c r="R11" s="36" t="s">
        <v>380</v>
      </c>
      <c r="S11" s="57">
        <f t="shared" si="5"/>
        <v>22</v>
      </c>
      <c r="T11" s="37" t="s">
        <v>315</v>
      </c>
      <c r="U11" s="58">
        <f t="shared" si="6"/>
        <v>5</v>
      </c>
    </row>
    <row r="12" spans="1:33" x14ac:dyDescent="0.25">
      <c r="A12" s="2">
        <f>종합Sheet!A12</f>
        <v>9</v>
      </c>
      <c r="B12" s="2" t="str">
        <f>종합Sheet!B12</f>
        <v>강도일</v>
      </c>
      <c r="C12" s="2">
        <f t="shared" si="0"/>
        <v>0</v>
      </c>
      <c r="D12" s="14">
        <f>COUNTIF(경기기록Sheet!$E:$H,B12)</f>
        <v>0</v>
      </c>
      <c r="E12" s="14">
        <f>COUNTIF(경기기록Sheet!$I:$L,B12)</f>
        <v>0</v>
      </c>
      <c r="F12" s="14">
        <f>COUNTIF(경기기록Sheet!$M:$P,B12)</f>
        <v>0</v>
      </c>
      <c r="G12" s="14">
        <f>COUNTIF(경기기록Sheet!$Q:$U,B12)</f>
        <v>0</v>
      </c>
      <c r="H12" s="14">
        <f>COUNTIF(경기기록Sheet!$V:$V,B12)</f>
        <v>0</v>
      </c>
      <c r="I12" s="14">
        <f t="shared" si="1"/>
        <v>0</v>
      </c>
      <c r="J12" s="15"/>
      <c r="K12" s="2">
        <v>9</v>
      </c>
      <c r="L12" s="32" t="s">
        <v>312</v>
      </c>
      <c r="M12" s="21">
        <f t="shared" si="2"/>
        <v>7</v>
      </c>
      <c r="N12" s="34" t="s">
        <v>340</v>
      </c>
      <c r="O12" s="22">
        <f t="shared" si="3"/>
        <v>5</v>
      </c>
      <c r="P12" s="35" t="s">
        <v>7</v>
      </c>
      <c r="Q12" s="23">
        <f t="shared" si="4"/>
        <v>10</v>
      </c>
      <c r="R12" s="36" t="s">
        <v>72</v>
      </c>
      <c r="S12" s="57">
        <f t="shared" si="5"/>
        <v>21</v>
      </c>
      <c r="T12" s="37" t="s">
        <v>360</v>
      </c>
      <c r="U12" s="58">
        <f t="shared" si="6"/>
        <v>4</v>
      </c>
    </row>
    <row r="13" spans="1:33" x14ac:dyDescent="0.25">
      <c r="A13" s="2">
        <f>종합Sheet!A13</f>
        <v>10</v>
      </c>
      <c r="B13" s="2" t="str">
        <f>종합Sheet!B13</f>
        <v>강일수</v>
      </c>
      <c r="C13" s="2">
        <f t="shared" si="0"/>
        <v>0</v>
      </c>
      <c r="D13" s="14">
        <f>COUNTIF(경기기록Sheet!$E:$H,B13)</f>
        <v>0</v>
      </c>
      <c r="E13" s="14">
        <f>COUNTIF(경기기록Sheet!$I:$L,B13)</f>
        <v>0</v>
      </c>
      <c r="F13" s="14">
        <f>COUNTIF(경기기록Sheet!$M:$P,B13)</f>
        <v>0</v>
      </c>
      <c r="G13" s="14">
        <f>COUNTIF(경기기록Sheet!$Q:$U,B13)</f>
        <v>0</v>
      </c>
      <c r="H13" s="14">
        <f>COUNTIF(경기기록Sheet!$V:$V,B13)</f>
        <v>0</v>
      </c>
      <c r="I13" s="14">
        <f t="shared" si="1"/>
        <v>0</v>
      </c>
      <c r="J13" s="15"/>
      <c r="K13" s="2">
        <v>10</v>
      </c>
      <c r="L13" s="32" t="s">
        <v>227</v>
      </c>
      <c r="M13" s="21">
        <f t="shared" si="2"/>
        <v>7</v>
      </c>
      <c r="N13" s="34" t="s">
        <v>41</v>
      </c>
      <c r="O13" s="22">
        <f t="shared" si="3"/>
        <v>4</v>
      </c>
      <c r="P13" s="35" t="s">
        <v>315</v>
      </c>
      <c r="Q13" s="23">
        <f t="shared" si="4"/>
        <v>9</v>
      </c>
      <c r="R13" s="36" t="s">
        <v>237</v>
      </c>
      <c r="S13" s="57">
        <f t="shared" si="5"/>
        <v>21</v>
      </c>
      <c r="T13" s="37" t="s">
        <v>316</v>
      </c>
      <c r="U13" s="58">
        <f t="shared" si="6"/>
        <v>3</v>
      </c>
    </row>
    <row r="14" spans="1:33" x14ac:dyDescent="0.25">
      <c r="A14" s="2">
        <f>종합Sheet!A14</f>
        <v>11</v>
      </c>
      <c r="B14" s="2" t="str">
        <f>종합Sheet!B14</f>
        <v>구교훈</v>
      </c>
      <c r="C14" s="2">
        <f t="shared" si="0"/>
        <v>0</v>
      </c>
      <c r="D14" s="14">
        <f>COUNTIF(경기기록Sheet!$E:$H,B14)</f>
        <v>0</v>
      </c>
      <c r="E14" s="14">
        <f>COUNTIF(경기기록Sheet!$I:$L,B14)</f>
        <v>0</v>
      </c>
      <c r="F14" s="14">
        <f>COUNTIF(경기기록Sheet!$M:$P,B14)</f>
        <v>0</v>
      </c>
      <c r="G14" s="14">
        <f>COUNTIF(경기기록Sheet!$Q:$U,B14)</f>
        <v>0</v>
      </c>
      <c r="H14" s="14">
        <f>COUNTIF(경기기록Sheet!$V:$V,B14)</f>
        <v>0</v>
      </c>
      <c r="I14" s="14">
        <f t="shared" si="1"/>
        <v>0</v>
      </c>
      <c r="J14" s="15"/>
      <c r="L14" s="1" t="s">
        <v>231</v>
      </c>
      <c r="N14" s="33" t="s">
        <v>312</v>
      </c>
      <c r="P14" s="33"/>
      <c r="T14" s="33" t="s">
        <v>228</v>
      </c>
    </row>
    <row r="15" spans="1:33" x14ac:dyDescent="0.25">
      <c r="A15" s="2">
        <f>종합Sheet!A15</f>
        <v>12</v>
      </c>
      <c r="B15" s="2" t="str">
        <f>종합Sheet!B15</f>
        <v>권민석</v>
      </c>
      <c r="C15" s="2">
        <f t="shared" si="0"/>
        <v>0</v>
      </c>
      <c r="D15" s="14">
        <f>COUNTIF(경기기록Sheet!$E:$H,B15)</f>
        <v>0</v>
      </c>
      <c r="E15" s="14">
        <f>COUNTIF(경기기록Sheet!$I:$L,B15)</f>
        <v>0</v>
      </c>
      <c r="F15" s="14">
        <f>COUNTIF(경기기록Sheet!$M:$P,B15)</f>
        <v>0</v>
      </c>
      <c r="G15" s="14">
        <f>COUNTIF(경기기록Sheet!$Q:$U,B15)</f>
        <v>0</v>
      </c>
      <c r="H15" s="14">
        <f>COUNTIF(경기기록Sheet!$V:$V,B15)</f>
        <v>0</v>
      </c>
      <c r="I15" s="14">
        <f t="shared" si="1"/>
        <v>0</v>
      </c>
      <c r="J15" s="15"/>
      <c r="L15" s="1" t="s">
        <v>362</v>
      </c>
      <c r="N15" s="1" t="s">
        <v>285</v>
      </c>
      <c r="T15" s="1" t="s">
        <v>389</v>
      </c>
    </row>
    <row r="16" spans="1:33" x14ac:dyDescent="0.25">
      <c r="A16" s="2">
        <f>종합Sheet!A16</f>
        <v>13</v>
      </c>
      <c r="B16" s="2" t="str">
        <f>종합Sheet!B16</f>
        <v>권주용</v>
      </c>
      <c r="C16" s="2">
        <f t="shared" si="0"/>
        <v>0.2</v>
      </c>
      <c r="D16" s="14">
        <f>COUNTIF(경기기록Sheet!$E:$H,B16)</f>
        <v>0</v>
      </c>
      <c r="E16" s="14">
        <f>COUNTIF(경기기록Sheet!$I:$L,B16)</f>
        <v>0</v>
      </c>
      <c r="F16" s="14">
        <f>COUNTIF(경기기록Sheet!$M:$P,B16)</f>
        <v>0</v>
      </c>
      <c r="G16" s="14">
        <f>COUNTIF(경기기록Sheet!$Q:$U,B16)</f>
        <v>1</v>
      </c>
      <c r="H16" s="14">
        <f>COUNTIF(경기기록Sheet!$V:$V,B16)</f>
        <v>0</v>
      </c>
      <c r="I16" s="14">
        <f t="shared" si="1"/>
        <v>1</v>
      </c>
      <c r="J16" s="15"/>
      <c r="N16" s="1" t="s">
        <v>55</v>
      </c>
      <c r="T16" s="1" t="s">
        <v>252</v>
      </c>
    </row>
    <row r="17" spans="1:20" x14ac:dyDescent="0.25">
      <c r="A17" s="2">
        <f>종합Sheet!A17</f>
        <v>14</v>
      </c>
      <c r="B17" s="2" t="str">
        <f>종합Sheet!B17</f>
        <v>김기문</v>
      </c>
      <c r="C17" s="2">
        <f t="shared" si="0"/>
        <v>8.9</v>
      </c>
      <c r="D17" s="14">
        <f>COUNTIF(경기기록Sheet!$E:$H,B17)</f>
        <v>16</v>
      </c>
      <c r="E17" s="14">
        <f>COUNTIF(경기기록Sheet!$I:$L,B17)</f>
        <v>5</v>
      </c>
      <c r="F17" s="14">
        <f>COUNTIF(경기기록Sheet!$M:$P,B17)</f>
        <v>13</v>
      </c>
      <c r="G17" s="14">
        <f>COUNTIF(경기기록Sheet!$Q:$U,B17)</f>
        <v>1</v>
      </c>
      <c r="H17" s="14">
        <f>COUNTIF(경기기록Sheet!$V:$V,B17)</f>
        <v>3</v>
      </c>
      <c r="I17" s="14">
        <f t="shared" si="1"/>
        <v>38</v>
      </c>
      <c r="J17" s="15"/>
      <c r="N17" s="1" t="s">
        <v>237</v>
      </c>
      <c r="T17" s="1" t="s">
        <v>348</v>
      </c>
    </row>
    <row r="18" spans="1:20" x14ac:dyDescent="0.25">
      <c r="A18" s="2">
        <f>종합Sheet!A18</f>
        <v>15</v>
      </c>
      <c r="B18" s="2" t="str">
        <f>종합Sheet!B18</f>
        <v>김덕준</v>
      </c>
      <c r="C18" s="2">
        <f t="shared" si="0"/>
        <v>2.7</v>
      </c>
      <c r="D18" s="14">
        <f>COUNTIF(경기기록Sheet!$E:$H,B18)</f>
        <v>1</v>
      </c>
      <c r="E18" s="14">
        <f>COUNTIF(경기기록Sheet!$I:$L,B18)</f>
        <v>2</v>
      </c>
      <c r="F18" s="14">
        <f>COUNTIF(경기기록Sheet!$M:$P,B18)</f>
        <v>1</v>
      </c>
      <c r="G18" s="14">
        <f>COUNTIF(경기기록Sheet!$Q:$U,B18)</f>
        <v>8</v>
      </c>
      <c r="H18" s="14">
        <f>COUNTIF(경기기록Sheet!$V:$V,B18)</f>
        <v>1</v>
      </c>
      <c r="I18" s="14">
        <f t="shared" si="1"/>
        <v>13</v>
      </c>
      <c r="J18" s="15"/>
      <c r="N18" s="1" t="s">
        <v>362</v>
      </c>
      <c r="T18" s="1" t="s">
        <v>237</v>
      </c>
    </row>
    <row r="19" spans="1:20" x14ac:dyDescent="0.25">
      <c r="A19" s="2">
        <f>종합Sheet!A19</f>
        <v>16</v>
      </c>
      <c r="B19" s="2" t="str">
        <f>종합Sheet!B19</f>
        <v>김동인</v>
      </c>
      <c r="C19" s="2">
        <f t="shared" si="0"/>
        <v>0.4</v>
      </c>
      <c r="D19" s="14">
        <f>COUNTIF(경기기록Sheet!$E:$H,B19)</f>
        <v>2</v>
      </c>
      <c r="E19" s="14">
        <f>COUNTIF(경기기록Sheet!$I:$L,B19)</f>
        <v>0</v>
      </c>
      <c r="F19" s="14">
        <f>COUNTIF(경기기록Sheet!$M:$P,B19)</f>
        <v>0</v>
      </c>
      <c r="G19" s="14">
        <f>COUNTIF(경기기록Sheet!$Q:$U,B19)</f>
        <v>0</v>
      </c>
      <c r="H19" s="14">
        <f>COUNTIF(경기기록Sheet!$V:$V,B19)</f>
        <v>0</v>
      </c>
      <c r="I19" s="14">
        <f t="shared" si="1"/>
        <v>2</v>
      </c>
      <c r="J19" s="15"/>
      <c r="N19" s="1" t="s">
        <v>44</v>
      </c>
      <c r="T19" s="1" t="s">
        <v>382</v>
      </c>
    </row>
    <row r="20" spans="1:20" x14ac:dyDescent="0.25">
      <c r="A20" s="2">
        <f>종합Sheet!A20</f>
        <v>17</v>
      </c>
      <c r="B20" s="2" t="str">
        <f>종합Sheet!B20</f>
        <v>김민섭</v>
      </c>
      <c r="C20" s="2">
        <f t="shared" si="0"/>
        <v>1.6</v>
      </c>
      <c r="D20" s="14">
        <f>COUNTIF(경기기록Sheet!$E:$H,B20)</f>
        <v>4</v>
      </c>
      <c r="E20" s="14">
        <f>COUNTIF(경기기록Sheet!$I:$L,B20)</f>
        <v>4</v>
      </c>
      <c r="F20" s="14">
        <f>COUNTIF(경기기록Sheet!$M:$P,B20)</f>
        <v>0</v>
      </c>
      <c r="G20" s="14">
        <f>COUNTIF(경기기록Sheet!$Q:$U,B20)</f>
        <v>0</v>
      </c>
      <c r="H20" s="14">
        <f>COUNTIF(경기기록Sheet!$V:$V,B20)</f>
        <v>0</v>
      </c>
      <c r="I20" s="14">
        <f t="shared" si="1"/>
        <v>8</v>
      </c>
      <c r="J20" s="15"/>
    </row>
    <row r="21" spans="1:20" x14ac:dyDescent="0.25">
      <c r="A21" s="2">
        <f>종합Sheet!A21</f>
        <v>18</v>
      </c>
      <c r="B21" s="2" t="str">
        <f>종합Sheet!B21</f>
        <v>김민준</v>
      </c>
      <c r="C21" s="2">
        <f t="shared" si="0"/>
        <v>0</v>
      </c>
      <c r="D21" s="14">
        <f>COUNTIF(경기기록Sheet!$E:$H,B21)</f>
        <v>0</v>
      </c>
      <c r="E21" s="14">
        <f>COUNTIF(경기기록Sheet!$I:$L,B21)</f>
        <v>0</v>
      </c>
      <c r="F21" s="14">
        <f>COUNTIF(경기기록Sheet!$M:$P,B21)</f>
        <v>0</v>
      </c>
      <c r="G21" s="14">
        <f>COUNTIF(경기기록Sheet!$Q:$U,B21)</f>
        <v>0</v>
      </c>
      <c r="H21" s="14">
        <f>COUNTIF(경기기록Sheet!$V:$V,B21)</f>
        <v>0</v>
      </c>
      <c r="I21" s="14">
        <f t="shared" si="1"/>
        <v>0</v>
      </c>
      <c r="J21" s="15"/>
    </row>
    <row r="22" spans="1:20" x14ac:dyDescent="0.25">
      <c r="A22" s="2">
        <f>종합Sheet!A22</f>
        <v>19</v>
      </c>
      <c r="B22" s="2" t="str">
        <f>종합Sheet!B22</f>
        <v>김범기</v>
      </c>
      <c r="C22" s="2">
        <f t="shared" si="0"/>
        <v>0</v>
      </c>
      <c r="D22" s="14">
        <f>COUNTIF(경기기록Sheet!$E:$H,B22)</f>
        <v>0</v>
      </c>
      <c r="E22" s="14">
        <f>COUNTIF(경기기록Sheet!$I:$L,B22)</f>
        <v>0</v>
      </c>
      <c r="F22" s="14">
        <f>COUNTIF(경기기록Sheet!$M:$P,B22)</f>
        <v>0</v>
      </c>
      <c r="G22" s="14">
        <f>COUNTIF(경기기록Sheet!$Q:$U,B22)</f>
        <v>0</v>
      </c>
      <c r="H22" s="14">
        <f>COUNTIF(경기기록Sheet!$V:$V,B22)</f>
        <v>0</v>
      </c>
      <c r="I22" s="14">
        <f t="shared" si="1"/>
        <v>0</v>
      </c>
      <c r="J22" s="15"/>
    </row>
    <row r="23" spans="1:20" x14ac:dyDescent="0.25">
      <c r="A23" s="2">
        <f>종합Sheet!A23</f>
        <v>20</v>
      </c>
      <c r="B23" s="2" t="str">
        <f>종합Sheet!B23</f>
        <v>김병준</v>
      </c>
      <c r="C23" s="2">
        <f t="shared" si="0"/>
        <v>3</v>
      </c>
      <c r="D23" s="14">
        <f>COUNTIF(경기기록Sheet!$E:$H,B23)</f>
        <v>0</v>
      </c>
      <c r="E23" s="14">
        <f>COUNTIF(경기기록Sheet!$I:$L,B23)</f>
        <v>1</v>
      </c>
      <c r="F23" s="14">
        <f>COUNTIF(경기기록Sheet!$M:$P,B23)</f>
        <v>0</v>
      </c>
      <c r="G23" s="14">
        <f>COUNTIF(경기기록Sheet!$Q:$U,B23)</f>
        <v>13</v>
      </c>
      <c r="H23" s="14">
        <f>COUNTIF(경기기록Sheet!$V:$V,B23)</f>
        <v>1</v>
      </c>
      <c r="I23" s="14">
        <f t="shared" si="1"/>
        <v>15</v>
      </c>
      <c r="J23" s="15"/>
    </row>
    <row r="24" spans="1:20" x14ac:dyDescent="0.25">
      <c r="A24" s="2">
        <f>종합Sheet!A24</f>
        <v>21</v>
      </c>
      <c r="B24" s="2" t="str">
        <f>종합Sheet!B24</f>
        <v>김부건</v>
      </c>
      <c r="C24" s="2">
        <f t="shared" si="0"/>
        <v>2.2999999999999998</v>
      </c>
      <c r="D24" s="14">
        <f>COUNTIF(경기기록Sheet!$E:$H,B24)</f>
        <v>3</v>
      </c>
      <c r="E24" s="14">
        <f>COUNTIF(경기기록Sheet!$I:$L,B24)</f>
        <v>3</v>
      </c>
      <c r="F24" s="14">
        <f>COUNTIF(경기기록Sheet!$M:$P,B24)</f>
        <v>3</v>
      </c>
      <c r="G24" s="14">
        <f>COUNTIF(경기기록Sheet!$Q:$U,B24)</f>
        <v>1</v>
      </c>
      <c r="H24" s="14">
        <f>COUNTIF(경기기록Sheet!$V:$V,B24)</f>
        <v>0</v>
      </c>
      <c r="I24" s="14">
        <f t="shared" si="1"/>
        <v>10</v>
      </c>
      <c r="J24" s="15"/>
    </row>
    <row r="25" spans="1:20" x14ac:dyDescent="0.25">
      <c r="A25" s="2">
        <f>종합Sheet!A25</f>
        <v>22</v>
      </c>
      <c r="B25" s="2" t="str">
        <f>종합Sheet!B25</f>
        <v>김성수</v>
      </c>
      <c r="C25" s="2">
        <f t="shared" si="0"/>
        <v>3.1</v>
      </c>
      <c r="D25" s="14">
        <f>COUNTIF(경기기록Sheet!$E:$H,B25)</f>
        <v>4</v>
      </c>
      <c r="E25" s="14">
        <f>COUNTIF(경기기록Sheet!$I:$L,B25)</f>
        <v>3</v>
      </c>
      <c r="F25" s="14">
        <f>COUNTIF(경기기록Sheet!$M:$P,B25)</f>
        <v>5</v>
      </c>
      <c r="G25" s="14">
        <f>COUNTIF(경기기록Sheet!$Q:$U,B25)</f>
        <v>1</v>
      </c>
      <c r="H25" s="14">
        <f>COUNTIF(경기기록Sheet!$V:$V,B25)</f>
        <v>0</v>
      </c>
      <c r="I25" s="14">
        <f t="shared" si="1"/>
        <v>13</v>
      </c>
      <c r="J25" s="15"/>
    </row>
    <row r="26" spans="1:20" x14ac:dyDescent="0.25">
      <c r="A26" s="2">
        <f>종합Sheet!A26</f>
        <v>23</v>
      </c>
      <c r="B26" s="2" t="str">
        <f>종합Sheet!B26</f>
        <v>김성준</v>
      </c>
      <c r="C26" s="2">
        <f t="shared" si="0"/>
        <v>8.1999999999999993</v>
      </c>
      <c r="D26" s="14">
        <f>COUNTIF(경기기록Sheet!$E:$H,B26)</f>
        <v>8</v>
      </c>
      <c r="E26" s="14">
        <f>COUNTIF(경기기록Sheet!$I:$L,B26)</f>
        <v>5</v>
      </c>
      <c r="F26" s="14">
        <f>COUNTIF(경기기록Sheet!$M:$P,B26)</f>
        <v>10</v>
      </c>
      <c r="G26" s="14">
        <f>COUNTIF(경기기록Sheet!$Q:$U,B26)</f>
        <v>10</v>
      </c>
      <c r="H26" s="14">
        <f>COUNTIF(경기기록Sheet!$V:$V,B26)</f>
        <v>3</v>
      </c>
      <c r="I26" s="14">
        <f t="shared" si="1"/>
        <v>36</v>
      </c>
      <c r="J26" s="15"/>
    </row>
    <row r="27" spans="1:20" x14ac:dyDescent="0.25">
      <c r="A27" s="2">
        <f>종합Sheet!A27</f>
        <v>24</v>
      </c>
      <c r="B27" s="2" t="str">
        <f>종합Sheet!B27</f>
        <v>김송환</v>
      </c>
      <c r="C27" s="2">
        <f t="shared" si="0"/>
        <v>6.3</v>
      </c>
      <c r="D27" s="14">
        <f>COUNTIF(경기기록Sheet!$E:$H,B27)</f>
        <v>1</v>
      </c>
      <c r="E27" s="14">
        <f>COUNTIF(경기기록Sheet!$I:$L,B27)</f>
        <v>2</v>
      </c>
      <c r="F27" s="14">
        <f>COUNTIF(경기기록Sheet!$M:$P,B27)</f>
        <v>17</v>
      </c>
      <c r="G27" s="14">
        <f>COUNTIF(경기기록Sheet!$Q:$U,B27)</f>
        <v>2</v>
      </c>
      <c r="H27" s="14">
        <f>COUNTIF(경기기록Sheet!$V:$V,B27)</f>
        <v>1</v>
      </c>
      <c r="I27" s="14">
        <f t="shared" si="1"/>
        <v>23</v>
      </c>
      <c r="J27" s="15"/>
    </row>
    <row r="28" spans="1:20" x14ac:dyDescent="0.25">
      <c r="A28" s="2">
        <f>종합Sheet!A28</f>
        <v>25</v>
      </c>
      <c r="B28" s="2" t="str">
        <f>종합Sheet!B28</f>
        <v>김승철</v>
      </c>
      <c r="C28" s="2">
        <f t="shared" si="0"/>
        <v>1.7000000000000002</v>
      </c>
      <c r="D28" s="14">
        <f>COUNTIF(경기기록Sheet!$E:$H,B28)</f>
        <v>5</v>
      </c>
      <c r="E28" s="14">
        <f>COUNTIF(경기기록Sheet!$I:$L,B28)</f>
        <v>1</v>
      </c>
      <c r="F28" s="14">
        <f>COUNTIF(경기기록Sheet!$M:$P,B28)</f>
        <v>1</v>
      </c>
      <c r="G28" s="14">
        <f>COUNTIF(경기기록Sheet!$Q:$U,B28)</f>
        <v>1</v>
      </c>
      <c r="H28" s="14">
        <f>COUNTIF(경기기록Sheet!$V:$V,B28)</f>
        <v>0</v>
      </c>
      <c r="I28" s="14">
        <f t="shared" si="1"/>
        <v>8</v>
      </c>
      <c r="J28" s="15"/>
    </row>
    <row r="29" spans="1:20" x14ac:dyDescent="0.25">
      <c r="A29" s="2">
        <f>종합Sheet!A29</f>
        <v>26</v>
      </c>
      <c r="B29" s="2" t="str">
        <f>종합Sheet!B29</f>
        <v>김영태</v>
      </c>
      <c r="C29" s="2">
        <f t="shared" si="0"/>
        <v>0</v>
      </c>
      <c r="D29" s="14">
        <f>COUNTIF(경기기록Sheet!$E:$H,B29)</f>
        <v>0</v>
      </c>
      <c r="E29" s="14">
        <f>COUNTIF(경기기록Sheet!$I:$L,B29)</f>
        <v>0</v>
      </c>
      <c r="F29" s="14">
        <f>COUNTIF(경기기록Sheet!$M:$P,B29)</f>
        <v>0</v>
      </c>
      <c r="G29" s="14">
        <f>COUNTIF(경기기록Sheet!$Q:$U,B29)</f>
        <v>0</v>
      </c>
      <c r="H29" s="14">
        <f>COUNTIF(경기기록Sheet!$V:$V,B29)</f>
        <v>0</v>
      </c>
      <c r="I29" s="14">
        <f t="shared" si="1"/>
        <v>0</v>
      </c>
      <c r="J29" s="15"/>
    </row>
    <row r="30" spans="1:20" x14ac:dyDescent="0.25">
      <c r="A30" s="2">
        <f>종합Sheet!A30</f>
        <v>27</v>
      </c>
      <c r="B30" s="2" t="str">
        <f>종합Sheet!B30</f>
        <v>김용만</v>
      </c>
      <c r="C30" s="2">
        <f t="shared" si="0"/>
        <v>0.60000000000000009</v>
      </c>
      <c r="D30" s="14">
        <f>COUNTIF(경기기록Sheet!$E:$H,B30)</f>
        <v>0</v>
      </c>
      <c r="E30" s="14">
        <f>COUNTIF(경기기록Sheet!$I:$L,B30)</f>
        <v>0</v>
      </c>
      <c r="F30" s="14">
        <f>COUNTIF(경기기록Sheet!$M:$P,B30)</f>
        <v>0</v>
      </c>
      <c r="G30" s="14">
        <f>COUNTIF(경기기록Sheet!$Q:$U,B30)</f>
        <v>0</v>
      </c>
      <c r="H30" s="14">
        <f>COUNTIF(경기기록Sheet!$V:$V,B30)</f>
        <v>3</v>
      </c>
      <c r="I30" s="14">
        <f t="shared" si="1"/>
        <v>3</v>
      </c>
      <c r="J30" s="15"/>
    </row>
    <row r="31" spans="1:20" x14ac:dyDescent="0.25">
      <c r="A31" s="2">
        <f>종합Sheet!A31</f>
        <v>28</v>
      </c>
      <c r="B31" s="2" t="str">
        <f>종합Sheet!B31</f>
        <v>김용빈</v>
      </c>
      <c r="C31" s="2">
        <f t="shared" si="0"/>
        <v>0.2</v>
      </c>
      <c r="D31" s="14">
        <f>COUNTIF(경기기록Sheet!$E:$H,B31)</f>
        <v>0</v>
      </c>
      <c r="E31" s="14">
        <f>COUNTIF(경기기록Sheet!$I:$L,B31)</f>
        <v>0</v>
      </c>
      <c r="F31" s="14">
        <f>COUNTIF(경기기록Sheet!$M:$P,B31)</f>
        <v>0</v>
      </c>
      <c r="G31" s="14">
        <f>COUNTIF(경기기록Sheet!$Q:$U,B31)</f>
        <v>1</v>
      </c>
      <c r="H31" s="14">
        <f>COUNTIF(경기기록Sheet!$V:$V,B31)</f>
        <v>0</v>
      </c>
      <c r="I31" s="14">
        <f t="shared" si="1"/>
        <v>1</v>
      </c>
      <c r="J31" s="15"/>
    </row>
    <row r="32" spans="1:20" x14ac:dyDescent="0.25">
      <c r="A32" s="2">
        <f>종합Sheet!A32</f>
        <v>29</v>
      </c>
      <c r="B32" s="2" t="str">
        <f>종합Sheet!B32</f>
        <v>김용현</v>
      </c>
      <c r="C32" s="2">
        <f t="shared" si="0"/>
        <v>8.1000000000000014</v>
      </c>
      <c r="D32" s="14">
        <f>COUNTIF(경기기록Sheet!$E:$H,B32)</f>
        <v>4</v>
      </c>
      <c r="E32" s="14">
        <f>COUNTIF(경기기록Sheet!$I:$L,B32)</f>
        <v>4</v>
      </c>
      <c r="F32" s="14">
        <f>COUNTIF(경기기록Sheet!$M:$P,B32)</f>
        <v>19</v>
      </c>
      <c r="G32" s="14">
        <f>COUNTIF(경기기록Sheet!$Q:$U,B32)</f>
        <v>3</v>
      </c>
      <c r="H32" s="14">
        <f>COUNTIF(경기기록Sheet!$V:$V,B32)</f>
        <v>1</v>
      </c>
      <c r="I32" s="14">
        <f t="shared" si="1"/>
        <v>31</v>
      </c>
      <c r="J32" s="15"/>
    </row>
    <row r="33" spans="1:10" x14ac:dyDescent="0.25">
      <c r="A33" s="2">
        <f>종합Sheet!A33</f>
        <v>30</v>
      </c>
      <c r="B33" s="2" t="str">
        <f>종합Sheet!B33</f>
        <v>김우인</v>
      </c>
      <c r="C33" s="2">
        <f t="shared" si="0"/>
        <v>6.3</v>
      </c>
      <c r="D33" s="14">
        <f>COUNTIF(경기기록Sheet!$E:$H,B33)</f>
        <v>11</v>
      </c>
      <c r="E33" s="14">
        <f>COUNTIF(경기기록Sheet!$I:$L,B33)</f>
        <v>5</v>
      </c>
      <c r="F33" s="14">
        <f>COUNTIF(경기기록Sheet!$M:$P,B33)</f>
        <v>1</v>
      </c>
      <c r="G33" s="14">
        <f>COUNTIF(경기기록Sheet!$Q:$U,B33)</f>
        <v>4</v>
      </c>
      <c r="H33" s="14">
        <f>COUNTIF(경기기록Sheet!$V:$V,B33)</f>
        <v>10</v>
      </c>
      <c r="I33" s="14">
        <f t="shared" si="1"/>
        <v>31</v>
      </c>
      <c r="J33" s="15"/>
    </row>
    <row r="34" spans="1:10" x14ac:dyDescent="0.25">
      <c r="A34" s="2">
        <f>종합Sheet!A34</f>
        <v>31</v>
      </c>
      <c r="B34" s="2" t="str">
        <f>종합Sheet!B34</f>
        <v>김종준</v>
      </c>
      <c r="C34" s="2">
        <f t="shared" si="0"/>
        <v>2.5</v>
      </c>
      <c r="D34" s="14">
        <f>COUNTIF(경기기록Sheet!$E:$H,B34)</f>
        <v>0</v>
      </c>
      <c r="E34" s="14">
        <f>COUNTIF(경기기록Sheet!$I:$L,B34)</f>
        <v>0</v>
      </c>
      <c r="F34" s="14">
        <f>COUNTIF(경기기록Sheet!$M:$P,B34)</f>
        <v>1</v>
      </c>
      <c r="G34" s="14">
        <f>COUNTIF(경기기록Sheet!$Q:$U,B34)</f>
        <v>10</v>
      </c>
      <c r="H34" s="14">
        <f>COUNTIF(경기기록Sheet!$V:$V,B34)</f>
        <v>1</v>
      </c>
      <c r="I34" s="14">
        <f t="shared" si="1"/>
        <v>12</v>
      </c>
      <c r="J34" s="15"/>
    </row>
    <row r="35" spans="1:10" x14ac:dyDescent="0.25">
      <c r="A35" s="2">
        <f>종합Sheet!A35</f>
        <v>32</v>
      </c>
      <c r="B35" s="2" t="str">
        <f>종합Sheet!B35</f>
        <v>김종혁</v>
      </c>
      <c r="C35" s="2">
        <f t="shared" si="0"/>
        <v>1.8</v>
      </c>
      <c r="D35" s="14">
        <f>COUNTIF(경기기록Sheet!$E:$H,B35)</f>
        <v>5</v>
      </c>
      <c r="E35" s="14">
        <f>COUNTIF(경기기록Sheet!$I:$L,B35)</f>
        <v>3</v>
      </c>
      <c r="F35" s="14">
        <f>COUNTIF(경기기록Sheet!$M:$P,B35)</f>
        <v>0</v>
      </c>
      <c r="G35" s="14">
        <f>COUNTIF(경기기록Sheet!$Q:$U,B35)</f>
        <v>1</v>
      </c>
      <c r="H35" s="14">
        <f>COUNTIF(경기기록Sheet!$V:$V,B35)</f>
        <v>0</v>
      </c>
      <c r="I35" s="14">
        <f t="shared" si="1"/>
        <v>9</v>
      </c>
      <c r="J35" s="15"/>
    </row>
    <row r="36" spans="1:10" x14ac:dyDescent="0.25">
      <c r="A36" s="2">
        <f>종합Sheet!A36</f>
        <v>33</v>
      </c>
      <c r="B36" s="2" t="str">
        <f>종합Sheet!B36</f>
        <v>김준영</v>
      </c>
      <c r="C36" s="2">
        <f t="shared" ref="C36:C67" si="7">((D36+E36+G36+H36)*0.2)+((F36)*0.3)</f>
        <v>0.2</v>
      </c>
      <c r="D36" s="14">
        <f>COUNTIF(경기기록Sheet!$E:$H,B36)</f>
        <v>1</v>
      </c>
      <c r="E36" s="14">
        <f>COUNTIF(경기기록Sheet!$I:$L,B36)</f>
        <v>0</v>
      </c>
      <c r="F36" s="14">
        <f>COUNTIF(경기기록Sheet!$M:$P,B36)</f>
        <v>0</v>
      </c>
      <c r="G36" s="14">
        <f>COUNTIF(경기기록Sheet!$Q:$U,B36)</f>
        <v>0</v>
      </c>
      <c r="H36" s="14">
        <f>COUNTIF(경기기록Sheet!$V:$V,B36)</f>
        <v>0</v>
      </c>
      <c r="I36" s="14">
        <f t="shared" ref="I36:I67" si="8">SUM(D36:H36)</f>
        <v>1</v>
      </c>
      <c r="J36" s="15"/>
    </row>
    <row r="37" spans="1:10" x14ac:dyDescent="0.25">
      <c r="A37" s="2">
        <f>종합Sheet!A37</f>
        <v>34</v>
      </c>
      <c r="B37" s="2" t="str">
        <f>종합Sheet!B37</f>
        <v>김진호</v>
      </c>
      <c r="C37" s="2">
        <f t="shared" si="7"/>
        <v>1.6</v>
      </c>
      <c r="D37" s="14">
        <f>COUNTIF(경기기록Sheet!$E:$H,B37)</f>
        <v>2</v>
      </c>
      <c r="E37" s="14">
        <f>COUNTIF(경기기록Sheet!$I:$L,B37)</f>
        <v>3</v>
      </c>
      <c r="F37" s="14">
        <f>COUNTIF(경기기록Sheet!$M:$P,B37)</f>
        <v>0</v>
      </c>
      <c r="G37" s="14">
        <f>COUNTIF(경기기록Sheet!$Q:$U,B37)</f>
        <v>1</v>
      </c>
      <c r="H37" s="14">
        <f>COUNTIF(경기기록Sheet!$V:$V,B37)</f>
        <v>2</v>
      </c>
      <c r="I37" s="14">
        <f t="shared" si="8"/>
        <v>8</v>
      </c>
      <c r="J37" s="15"/>
    </row>
    <row r="38" spans="1:10" x14ac:dyDescent="0.25">
      <c r="A38" s="2">
        <f>종합Sheet!A38</f>
        <v>35</v>
      </c>
      <c r="B38" s="2" t="str">
        <f>종합Sheet!B38</f>
        <v>김태관</v>
      </c>
      <c r="C38" s="2">
        <f t="shared" si="7"/>
        <v>0</v>
      </c>
      <c r="D38" s="14">
        <f>COUNTIF(경기기록Sheet!$E:$H,B38)</f>
        <v>0</v>
      </c>
      <c r="E38" s="14">
        <f>COUNTIF(경기기록Sheet!$I:$L,B38)</f>
        <v>0</v>
      </c>
      <c r="F38" s="14">
        <f>COUNTIF(경기기록Sheet!$M:$P,B38)</f>
        <v>0</v>
      </c>
      <c r="G38" s="14">
        <f>COUNTIF(경기기록Sheet!$Q:$U,B38)</f>
        <v>0</v>
      </c>
      <c r="H38" s="14">
        <f>COUNTIF(경기기록Sheet!$V:$V,B38)</f>
        <v>0</v>
      </c>
      <c r="I38" s="14">
        <f t="shared" si="8"/>
        <v>0</v>
      </c>
      <c r="J38" s="15"/>
    </row>
    <row r="39" spans="1:10" x14ac:dyDescent="0.25">
      <c r="A39" s="2">
        <f>종합Sheet!A39</f>
        <v>36</v>
      </c>
      <c r="B39" s="2" t="str">
        <f>종합Sheet!B39</f>
        <v>김태성</v>
      </c>
      <c r="C39" s="2">
        <f t="shared" si="7"/>
        <v>0.60000000000000009</v>
      </c>
      <c r="D39" s="14">
        <f>COUNTIF(경기기록Sheet!$E:$H,B39)</f>
        <v>2</v>
      </c>
      <c r="E39" s="14">
        <f>COUNTIF(경기기록Sheet!$I:$L,B39)</f>
        <v>0</v>
      </c>
      <c r="F39" s="14">
        <f>COUNTIF(경기기록Sheet!$M:$P,B39)</f>
        <v>0</v>
      </c>
      <c r="G39" s="14">
        <f>COUNTIF(경기기록Sheet!$Q:$U,B39)</f>
        <v>1</v>
      </c>
      <c r="H39" s="14">
        <f>COUNTIF(경기기록Sheet!$V:$V,B39)</f>
        <v>0</v>
      </c>
      <c r="I39" s="14">
        <f t="shared" si="8"/>
        <v>3</v>
      </c>
      <c r="J39" s="15"/>
    </row>
    <row r="40" spans="1:10" x14ac:dyDescent="0.25">
      <c r="A40" s="2">
        <f>종합Sheet!A40</f>
        <v>37</v>
      </c>
      <c r="B40" s="2" t="str">
        <f>종합Sheet!B40</f>
        <v>김태양</v>
      </c>
      <c r="C40" s="2">
        <f t="shared" si="7"/>
        <v>0</v>
      </c>
      <c r="D40" s="14">
        <f>COUNTIF(경기기록Sheet!$E:$H,B40)</f>
        <v>0</v>
      </c>
      <c r="E40" s="14">
        <f>COUNTIF(경기기록Sheet!$I:$L,B40)</f>
        <v>0</v>
      </c>
      <c r="F40" s="14">
        <f>COUNTIF(경기기록Sheet!$M:$P,B40)</f>
        <v>0</v>
      </c>
      <c r="G40" s="14">
        <f>COUNTIF(경기기록Sheet!$Q:$U,B40)</f>
        <v>0</v>
      </c>
      <c r="H40" s="14">
        <f>COUNTIF(경기기록Sheet!$V:$V,B40)</f>
        <v>0</v>
      </c>
      <c r="I40" s="14">
        <f t="shared" si="8"/>
        <v>0</v>
      </c>
      <c r="J40" s="15"/>
    </row>
    <row r="41" spans="1:10" x14ac:dyDescent="0.25">
      <c r="A41" s="2">
        <f>종합Sheet!A41</f>
        <v>38</v>
      </c>
      <c r="B41" s="2" t="str">
        <f>종합Sheet!B41</f>
        <v>김태완</v>
      </c>
      <c r="C41" s="2">
        <f t="shared" si="7"/>
        <v>2</v>
      </c>
      <c r="D41" s="14">
        <f>COUNTIF(경기기록Sheet!$E:$H,B41)</f>
        <v>0</v>
      </c>
      <c r="E41" s="14">
        <f>COUNTIF(경기기록Sheet!$I:$L,B41)</f>
        <v>1</v>
      </c>
      <c r="F41" s="14">
        <f>COUNTIF(경기기록Sheet!$M:$P,B41)</f>
        <v>0</v>
      </c>
      <c r="G41" s="14">
        <f>COUNTIF(경기기록Sheet!$Q:$U,B41)</f>
        <v>8</v>
      </c>
      <c r="H41" s="14">
        <f>COUNTIF(경기기록Sheet!$V:$V,B41)</f>
        <v>1</v>
      </c>
      <c r="I41" s="14">
        <f t="shared" si="8"/>
        <v>10</v>
      </c>
      <c r="J41" s="15"/>
    </row>
    <row r="42" spans="1:10" x14ac:dyDescent="0.25">
      <c r="A42" s="2">
        <f>종합Sheet!A42</f>
        <v>39</v>
      </c>
      <c r="B42" s="2" t="str">
        <f>종합Sheet!B42</f>
        <v>김태호</v>
      </c>
      <c r="C42" s="2">
        <f t="shared" si="7"/>
        <v>0</v>
      </c>
      <c r="D42" s="14">
        <f>COUNTIF(경기기록Sheet!$E:$H,B42)</f>
        <v>0</v>
      </c>
      <c r="E42" s="14">
        <f>COUNTIF(경기기록Sheet!$I:$L,B42)</f>
        <v>0</v>
      </c>
      <c r="F42" s="14">
        <f>COUNTIF(경기기록Sheet!$M:$P,B42)</f>
        <v>0</v>
      </c>
      <c r="G42" s="14">
        <f>COUNTIF(경기기록Sheet!$Q:$U,B42)</f>
        <v>0</v>
      </c>
      <c r="H42" s="14">
        <f>COUNTIF(경기기록Sheet!$V:$V,B42)</f>
        <v>0</v>
      </c>
      <c r="I42" s="14">
        <f t="shared" si="8"/>
        <v>0</v>
      </c>
      <c r="J42" s="15"/>
    </row>
    <row r="43" spans="1:10" x14ac:dyDescent="0.25">
      <c r="A43" s="2">
        <f>종합Sheet!A43</f>
        <v>40</v>
      </c>
      <c r="B43" s="2" t="str">
        <f>종합Sheet!B43</f>
        <v>김형원</v>
      </c>
      <c r="C43" s="2">
        <f t="shared" si="7"/>
        <v>2.4000000000000004</v>
      </c>
      <c r="D43" s="14">
        <f>COUNTIF(경기기록Sheet!$E:$H,B43)</f>
        <v>1</v>
      </c>
      <c r="E43" s="14">
        <f>COUNTIF(경기기록Sheet!$I:$L,B43)</f>
        <v>1</v>
      </c>
      <c r="F43" s="14">
        <f>COUNTIF(경기기록Sheet!$M:$P,B43)</f>
        <v>0</v>
      </c>
      <c r="G43" s="14">
        <f>COUNTIF(경기기록Sheet!$Q:$U,B43)</f>
        <v>10</v>
      </c>
      <c r="H43" s="14">
        <f>COUNTIF(경기기록Sheet!$V:$V,B43)</f>
        <v>0</v>
      </c>
      <c r="I43" s="14">
        <f t="shared" si="8"/>
        <v>12</v>
      </c>
      <c r="J43" s="15"/>
    </row>
    <row r="44" spans="1:10" x14ac:dyDescent="0.25">
      <c r="A44" s="2">
        <f>종합Sheet!A44</f>
        <v>41</v>
      </c>
      <c r="B44" s="2" t="str">
        <f>종합Sheet!B44</f>
        <v>김호경</v>
      </c>
      <c r="C44" s="2">
        <f t="shared" si="7"/>
        <v>0.60000000000000009</v>
      </c>
      <c r="D44" s="14">
        <f>COUNTIF(경기기록Sheet!$E:$H,B44)</f>
        <v>0</v>
      </c>
      <c r="E44" s="14">
        <f>COUNTIF(경기기록Sheet!$I:$L,B44)</f>
        <v>0</v>
      </c>
      <c r="F44" s="14">
        <f>COUNTIF(경기기록Sheet!$M:$P,B44)</f>
        <v>0</v>
      </c>
      <c r="G44" s="14">
        <f>COUNTIF(경기기록Sheet!$Q:$U,B44)</f>
        <v>2</v>
      </c>
      <c r="H44" s="14">
        <f>COUNTIF(경기기록Sheet!$V:$V,B44)</f>
        <v>1</v>
      </c>
      <c r="I44" s="14">
        <f t="shared" si="8"/>
        <v>3</v>
      </c>
      <c r="J44" s="15"/>
    </row>
    <row r="45" spans="1:10" x14ac:dyDescent="0.25">
      <c r="A45" s="2">
        <f>종합Sheet!A45</f>
        <v>42</v>
      </c>
      <c r="B45" s="2" t="str">
        <f>종합Sheet!B45</f>
        <v>노민준</v>
      </c>
      <c r="C45" s="2">
        <f t="shared" si="7"/>
        <v>5</v>
      </c>
      <c r="D45" s="14">
        <f>COUNTIF(경기기록Sheet!$E:$H,B45)</f>
        <v>0</v>
      </c>
      <c r="E45" s="14">
        <f>COUNTIF(경기기록Sheet!$I:$L,B45)</f>
        <v>0</v>
      </c>
      <c r="F45" s="14">
        <f>COUNTIF(경기기록Sheet!$M:$P,B45)</f>
        <v>0</v>
      </c>
      <c r="G45" s="14">
        <f>COUNTIF(경기기록Sheet!$Q:$U,B45)</f>
        <v>20</v>
      </c>
      <c r="H45" s="14">
        <f>COUNTIF(경기기록Sheet!$V:$V,B45)</f>
        <v>5</v>
      </c>
      <c r="I45" s="14">
        <f t="shared" si="8"/>
        <v>25</v>
      </c>
      <c r="J45" s="15"/>
    </row>
    <row r="46" spans="1:10" x14ac:dyDescent="0.25">
      <c r="A46" s="2">
        <f>종합Sheet!A46</f>
        <v>43</v>
      </c>
      <c r="B46" s="2" t="str">
        <f>종합Sheet!B46</f>
        <v>문준수</v>
      </c>
      <c r="C46" s="2">
        <f t="shared" si="7"/>
        <v>8.4</v>
      </c>
      <c r="D46" s="14">
        <f>COUNTIF(경기기록Sheet!$E:$H,B46)</f>
        <v>1</v>
      </c>
      <c r="E46" s="14">
        <f>COUNTIF(경기기록Sheet!$I:$L,B46)</f>
        <v>3</v>
      </c>
      <c r="F46" s="14">
        <f>COUNTIF(경기기록Sheet!$M:$P,B46)</f>
        <v>0</v>
      </c>
      <c r="G46" s="14">
        <f>COUNTIF(경기기록Sheet!$Q:$U,B46)</f>
        <v>38</v>
      </c>
      <c r="H46" s="14">
        <f>COUNTIF(경기기록Sheet!$V:$V,B46)</f>
        <v>0</v>
      </c>
      <c r="I46" s="14">
        <f t="shared" si="8"/>
        <v>42</v>
      </c>
      <c r="J46" s="15"/>
    </row>
    <row r="47" spans="1:10" x14ac:dyDescent="0.25">
      <c r="A47" s="2">
        <f>종합Sheet!A47</f>
        <v>44</v>
      </c>
      <c r="B47" s="2" t="str">
        <f>종합Sheet!B47</f>
        <v>민건호</v>
      </c>
      <c r="C47" s="2">
        <f t="shared" si="7"/>
        <v>0</v>
      </c>
      <c r="D47" s="14">
        <f>COUNTIF(경기기록Sheet!$E:$H,B47)</f>
        <v>0</v>
      </c>
      <c r="E47" s="14">
        <f>COUNTIF(경기기록Sheet!$I:$L,B47)</f>
        <v>0</v>
      </c>
      <c r="F47" s="14">
        <f>COUNTIF(경기기록Sheet!$M:$P,B47)</f>
        <v>0</v>
      </c>
      <c r="G47" s="14">
        <f>COUNTIF(경기기록Sheet!$Q:$U,B47)</f>
        <v>0</v>
      </c>
      <c r="H47" s="14">
        <f>COUNTIF(경기기록Sheet!$V:$V,B47)</f>
        <v>0</v>
      </c>
      <c r="I47" s="14">
        <f t="shared" si="8"/>
        <v>0</v>
      </c>
      <c r="J47" s="15"/>
    </row>
    <row r="48" spans="1:10" x14ac:dyDescent="0.25">
      <c r="A48" s="2">
        <f>종합Sheet!A48</f>
        <v>45</v>
      </c>
      <c r="B48" s="2" t="str">
        <f>종합Sheet!B48</f>
        <v>박정호</v>
      </c>
      <c r="C48" s="2">
        <f t="shared" si="7"/>
        <v>0.4</v>
      </c>
      <c r="D48" s="14">
        <f>COUNTIF(경기기록Sheet!$E:$H,B48)</f>
        <v>0</v>
      </c>
      <c r="E48" s="14">
        <f>COUNTIF(경기기록Sheet!$I:$L,B48)</f>
        <v>0</v>
      </c>
      <c r="F48" s="14">
        <f>COUNTIF(경기기록Sheet!$M:$P,B48)</f>
        <v>0</v>
      </c>
      <c r="G48" s="14">
        <f>COUNTIF(경기기록Sheet!$Q:$U,B48)</f>
        <v>2</v>
      </c>
      <c r="H48" s="14">
        <f>COUNTIF(경기기록Sheet!$V:$V,B48)</f>
        <v>0</v>
      </c>
      <c r="I48" s="14">
        <f t="shared" si="8"/>
        <v>2</v>
      </c>
      <c r="J48" s="15"/>
    </row>
    <row r="49" spans="1:10" x14ac:dyDescent="0.25">
      <c r="A49" s="2">
        <f>종합Sheet!A49</f>
        <v>46</v>
      </c>
      <c r="B49" s="2" t="str">
        <f>종합Sheet!B49</f>
        <v>박주연</v>
      </c>
      <c r="C49" s="2">
        <f t="shared" si="7"/>
        <v>6.6000000000000005</v>
      </c>
      <c r="D49" s="14">
        <f>COUNTIF(경기기록Sheet!$E:$H,B49)</f>
        <v>12</v>
      </c>
      <c r="E49" s="14">
        <f>COUNTIF(경기기록Sheet!$I:$L,B49)</f>
        <v>7</v>
      </c>
      <c r="F49" s="14">
        <f>COUNTIF(경기기록Sheet!$M:$P,B49)</f>
        <v>0</v>
      </c>
      <c r="G49" s="14">
        <f>COUNTIF(경기기록Sheet!$Q:$U,B49)</f>
        <v>11</v>
      </c>
      <c r="H49" s="14">
        <f>COUNTIF(경기기록Sheet!$V:$V,B49)</f>
        <v>3</v>
      </c>
      <c r="I49" s="14">
        <f t="shared" si="8"/>
        <v>33</v>
      </c>
      <c r="J49" s="15"/>
    </row>
    <row r="50" spans="1:10" x14ac:dyDescent="0.25">
      <c r="A50" s="2">
        <f>종합Sheet!A50</f>
        <v>47</v>
      </c>
      <c r="B50" s="2" t="str">
        <f>종합Sheet!B50</f>
        <v>박주현</v>
      </c>
      <c r="C50" s="2">
        <f t="shared" si="7"/>
        <v>0</v>
      </c>
      <c r="D50" s="14">
        <f>COUNTIF(경기기록Sheet!$E:$H,B50)</f>
        <v>0</v>
      </c>
      <c r="E50" s="14">
        <f>COUNTIF(경기기록Sheet!$I:$L,B50)</f>
        <v>0</v>
      </c>
      <c r="F50" s="14">
        <f>COUNTIF(경기기록Sheet!$M:$P,B50)</f>
        <v>0</v>
      </c>
      <c r="G50" s="14">
        <f>COUNTIF(경기기록Sheet!$Q:$U,B50)</f>
        <v>0</v>
      </c>
      <c r="H50" s="14">
        <f>COUNTIF(경기기록Sheet!$V:$V,B50)</f>
        <v>0</v>
      </c>
      <c r="I50" s="14">
        <f t="shared" si="8"/>
        <v>0</v>
      </c>
      <c r="J50" s="15"/>
    </row>
    <row r="51" spans="1:10" x14ac:dyDescent="0.25">
      <c r="A51" s="2">
        <f>종합Sheet!A51</f>
        <v>48</v>
      </c>
      <c r="B51" s="2" t="str">
        <f>종합Sheet!B51</f>
        <v>박하빈</v>
      </c>
      <c r="C51" s="2">
        <f t="shared" si="7"/>
        <v>0</v>
      </c>
      <c r="D51" s="14">
        <f>COUNTIF(경기기록Sheet!$E:$H,B51)</f>
        <v>0</v>
      </c>
      <c r="E51" s="14">
        <f>COUNTIF(경기기록Sheet!$I:$L,B51)</f>
        <v>0</v>
      </c>
      <c r="F51" s="14">
        <f>COUNTIF(경기기록Sheet!$M:$P,B51)</f>
        <v>0</v>
      </c>
      <c r="G51" s="14">
        <f>COUNTIF(경기기록Sheet!$Q:$U,B51)</f>
        <v>0</v>
      </c>
      <c r="H51" s="14">
        <f>COUNTIF(경기기록Sheet!$V:$V,B51)</f>
        <v>0</v>
      </c>
      <c r="I51" s="14">
        <f t="shared" si="8"/>
        <v>0</v>
      </c>
      <c r="J51" s="15"/>
    </row>
    <row r="52" spans="1:10" x14ac:dyDescent="0.25">
      <c r="A52" s="2">
        <f>종합Sheet!A52</f>
        <v>49</v>
      </c>
      <c r="B52" s="2" t="str">
        <f>종합Sheet!B52</f>
        <v>박형기</v>
      </c>
      <c r="C52" s="2">
        <f t="shared" si="7"/>
        <v>0</v>
      </c>
      <c r="D52" s="14">
        <f>COUNTIF(경기기록Sheet!$E:$H,B52)</f>
        <v>0</v>
      </c>
      <c r="E52" s="14">
        <f>COUNTIF(경기기록Sheet!$I:$L,B52)</f>
        <v>0</v>
      </c>
      <c r="F52" s="14">
        <f>COUNTIF(경기기록Sheet!$M:$P,B52)</f>
        <v>0</v>
      </c>
      <c r="G52" s="14">
        <f>COUNTIF(경기기록Sheet!$Q:$U,B52)</f>
        <v>0</v>
      </c>
      <c r="H52" s="14">
        <f>COUNTIF(경기기록Sheet!$V:$V,B52)</f>
        <v>0</v>
      </c>
      <c r="I52" s="14">
        <f t="shared" si="8"/>
        <v>0</v>
      </c>
      <c r="J52" s="15"/>
    </row>
    <row r="53" spans="1:10" x14ac:dyDescent="0.25">
      <c r="A53" s="2">
        <f>종합Sheet!A53</f>
        <v>50</v>
      </c>
      <c r="B53" s="2" t="str">
        <f>종합Sheet!B53</f>
        <v>서셈</v>
      </c>
      <c r="C53" s="2">
        <f t="shared" si="7"/>
        <v>0</v>
      </c>
      <c r="D53" s="14">
        <f>COUNTIF(경기기록Sheet!$E:$H,B53)</f>
        <v>0</v>
      </c>
      <c r="E53" s="14">
        <f>COUNTIF(경기기록Sheet!$I:$L,B53)</f>
        <v>0</v>
      </c>
      <c r="F53" s="14">
        <f>COUNTIF(경기기록Sheet!$M:$P,B53)</f>
        <v>0</v>
      </c>
      <c r="G53" s="14">
        <f>COUNTIF(경기기록Sheet!$Q:$U,B53)</f>
        <v>0</v>
      </c>
      <c r="H53" s="14">
        <f>COUNTIF(경기기록Sheet!$V:$V,B53)</f>
        <v>0</v>
      </c>
      <c r="I53" s="14">
        <f t="shared" si="8"/>
        <v>0</v>
      </c>
      <c r="J53" s="15"/>
    </row>
    <row r="54" spans="1:10" x14ac:dyDescent="0.25">
      <c r="A54" s="2">
        <f>종합Sheet!A54</f>
        <v>51</v>
      </c>
      <c r="B54" s="2" t="str">
        <f>종합Sheet!B54</f>
        <v>손경호</v>
      </c>
      <c r="C54" s="2">
        <f t="shared" si="7"/>
        <v>3</v>
      </c>
      <c r="D54" s="14">
        <f>COUNTIF(경기기록Sheet!$E:$H,B54)</f>
        <v>7</v>
      </c>
      <c r="E54" s="14">
        <f>COUNTIF(경기기록Sheet!$I:$L,B54)</f>
        <v>2</v>
      </c>
      <c r="F54" s="14">
        <f>COUNTIF(경기기록Sheet!$M:$P,B54)</f>
        <v>0</v>
      </c>
      <c r="G54" s="14">
        <f>COUNTIF(경기기록Sheet!$Q:$U,B54)</f>
        <v>4</v>
      </c>
      <c r="H54" s="14">
        <f>COUNTIF(경기기록Sheet!$V:$V,B54)</f>
        <v>2</v>
      </c>
      <c r="I54" s="14">
        <f t="shared" si="8"/>
        <v>15</v>
      </c>
      <c r="J54" s="15"/>
    </row>
    <row r="55" spans="1:10" x14ac:dyDescent="0.25">
      <c r="A55" s="2">
        <f>종합Sheet!A55</f>
        <v>52</v>
      </c>
      <c r="B55" s="2" t="str">
        <f>종합Sheet!B55</f>
        <v>손동범</v>
      </c>
      <c r="C55" s="2">
        <f t="shared" si="7"/>
        <v>0</v>
      </c>
      <c r="D55" s="14">
        <f>COUNTIF(경기기록Sheet!$E:$H,B55)</f>
        <v>0</v>
      </c>
      <c r="E55" s="14">
        <f>COUNTIF(경기기록Sheet!$I:$L,B55)</f>
        <v>0</v>
      </c>
      <c r="F55" s="14">
        <f>COUNTIF(경기기록Sheet!$M:$P,B55)</f>
        <v>0</v>
      </c>
      <c r="G55" s="14">
        <f>COUNTIF(경기기록Sheet!$Q:$U,B55)</f>
        <v>0</v>
      </c>
      <c r="H55" s="14">
        <f>COUNTIF(경기기록Sheet!$V:$V,B55)</f>
        <v>0</v>
      </c>
      <c r="I55" s="14">
        <f t="shared" si="8"/>
        <v>0</v>
      </c>
      <c r="J55" s="15"/>
    </row>
    <row r="56" spans="1:10" x14ac:dyDescent="0.25">
      <c r="A56" s="2">
        <f>종합Sheet!A56</f>
        <v>53</v>
      </c>
      <c r="B56" s="2" t="str">
        <f>종합Sheet!B56</f>
        <v>송윤상</v>
      </c>
      <c r="C56" s="2">
        <f t="shared" si="7"/>
        <v>1.2999999999999998</v>
      </c>
      <c r="D56" s="14">
        <f>COUNTIF(경기기록Sheet!$E:$H,B56)</f>
        <v>0</v>
      </c>
      <c r="E56" s="14">
        <f>COUNTIF(경기기록Sheet!$I:$L,B56)</f>
        <v>1</v>
      </c>
      <c r="F56" s="14">
        <f>COUNTIF(경기기록Sheet!$M:$P,B56)</f>
        <v>3</v>
      </c>
      <c r="G56" s="14">
        <f>COUNTIF(경기기록Sheet!$Q:$U,B56)</f>
        <v>1</v>
      </c>
      <c r="H56" s="14">
        <f>COUNTIF(경기기록Sheet!$V:$V,B56)</f>
        <v>0</v>
      </c>
      <c r="I56" s="14">
        <f t="shared" si="8"/>
        <v>5</v>
      </c>
      <c r="J56" s="15"/>
    </row>
    <row r="57" spans="1:10" x14ac:dyDescent="0.25">
      <c r="A57" s="2">
        <f>종합Sheet!A57</f>
        <v>54</v>
      </c>
      <c r="B57" s="2" t="str">
        <f>종합Sheet!B57</f>
        <v>송인호</v>
      </c>
      <c r="C57" s="2">
        <f t="shared" si="7"/>
        <v>0.2</v>
      </c>
      <c r="D57" s="14">
        <f>COUNTIF(경기기록Sheet!$E:$H,B57)</f>
        <v>0</v>
      </c>
      <c r="E57" s="14">
        <f>COUNTIF(경기기록Sheet!$I:$L,B57)</f>
        <v>0</v>
      </c>
      <c r="F57" s="14">
        <f>COUNTIF(경기기록Sheet!$M:$P,B57)</f>
        <v>0</v>
      </c>
      <c r="G57" s="14">
        <f>COUNTIF(경기기록Sheet!$Q:$U,B57)</f>
        <v>1</v>
      </c>
      <c r="H57" s="14">
        <f>COUNTIF(경기기록Sheet!$V:$V,B57)</f>
        <v>0</v>
      </c>
      <c r="I57" s="14">
        <f t="shared" si="8"/>
        <v>1</v>
      </c>
      <c r="J57" s="15"/>
    </row>
    <row r="58" spans="1:10" x14ac:dyDescent="0.25">
      <c r="A58" s="2">
        <f>종합Sheet!A58</f>
        <v>55</v>
      </c>
      <c r="B58" s="2" t="str">
        <f>종합Sheet!B58</f>
        <v>신종훈</v>
      </c>
      <c r="C58" s="2">
        <f t="shared" si="7"/>
        <v>0.60000000000000009</v>
      </c>
      <c r="D58" s="14">
        <f>COUNTIF(경기기록Sheet!$E:$H,B58)</f>
        <v>0</v>
      </c>
      <c r="E58" s="14">
        <f>COUNTIF(경기기록Sheet!$I:$L,B58)</f>
        <v>0</v>
      </c>
      <c r="F58" s="14">
        <f>COUNTIF(경기기록Sheet!$M:$P,B58)</f>
        <v>0</v>
      </c>
      <c r="G58" s="14">
        <f>COUNTIF(경기기록Sheet!$Q:$U,B58)</f>
        <v>3</v>
      </c>
      <c r="H58" s="14">
        <f>COUNTIF(경기기록Sheet!$V:$V,B58)</f>
        <v>0</v>
      </c>
      <c r="I58" s="14">
        <f t="shared" si="8"/>
        <v>3</v>
      </c>
      <c r="J58" s="15"/>
    </row>
    <row r="59" spans="1:10" x14ac:dyDescent="0.25">
      <c r="A59" s="2">
        <f>종합Sheet!A59</f>
        <v>56</v>
      </c>
      <c r="B59" s="2" t="str">
        <f>종합Sheet!B59</f>
        <v>안진혁</v>
      </c>
      <c r="C59" s="2">
        <f t="shared" si="7"/>
        <v>3</v>
      </c>
      <c r="D59" s="14">
        <f>COUNTIF(경기기록Sheet!$E:$H,B59)</f>
        <v>0</v>
      </c>
      <c r="E59" s="14">
        <f>COUNTIF(경기기록Sheet!$I:$L,B59)</f>
        <v>1</v>
      </c>
      <c r="F59" s="14">
        <f>COUNTIF(경기기록Sheet!$M:$P,B59)</f>
        <v>0</v>
      </c>
      <c r="G59" s="14">
        <f>COUNTIF(경기기록Sheet!$Q:$U,B59)</f>
        <v>14</v>
      </c>
      <c r="H59" s="14">
        <f>COUNTIF(경기기록Sheet!$V:$V,B59)</f>
        <v>0</v>
      </c>
      <c r="I59" s="14">
        <f t="shared" si="8"/>
        <v>15</v>
      </c>
      <c r="J59" s="15"/>
    </row>
    <row r="60" spans="1:10" x14ac:dyDescent="0.25">
      <c r="A60" s="2">
        <f>종합Sheet!A60</f>
        <v>57</v>
      </c>
      <c r="B60" s="2" t="str">
        <f>종합Sheet!B60</f>
        <v>양근수</v>
      </c>
      <c r="C60" s="2">
        <f t="shared" si="7"/>
        <v>1.2000000000000002</v>
      </c>
      <c r="D60" s="14">
        <f>COUNTIF(경기기록Sheet!$E:$H,B60)</f>
        <v>3</v>
      </c>
      <c r="E60" s="14">
        <f>COUNTIF(경기기록Sheet!$I:$L,B60)</f>
        <v>0</v>
      </c>
      <c r="F60" s="14">
        <f>COUNTIF(경기기록Sheet!$M:$P,B60)</f>
        <v>0</v>
      </c>
      <c r="G60" s="14">
        <f>COUNTIF(경기기록Sheet!$Q:$U,B60)</f>
        <v>1</v>
      </c>
      <c r="H60" s="14">
        <f>COUNTIF(경기기록Sheet!$V:$V,B60)</f>
        <v>2</v>
      </c>
      <c r="I60" s="14">
        <f t="shared" si="8"/>
        <v>6</v>
      </c>
      <c r="J60" s="15"/>
    </row>
    <row r="61" spans="1:10" x14ac:dyDescent="0.25">
      <c r="A61" s="2">
        <f>종합Sheet!A61</f>
        <v>58</v>
      </c>
      <c r="B61" s="2" t="str">
        <f>종합Sheet!B61</f>
        <v>양진웅</v>
      </c>
      <c r="C61" s="2">
        <f t="shared" si="7"/>
        <v>7.2</v>
      </c>
      <c r="D61" s="14">
        <f>COUNTIF(경기기록Sheet!$E:$H,B61)</f>
        <v>3</v>
      </c>
      <c r="E61" s="14">
        <f>COUNTIF(경기기록Sheet!$I:$L,B61)</f>
        <v>1</v>
      </c>
      <c r="F61" s="14">
        <f>COUNTIF(경기기록Sheet!$M:$P,B61)</f>
        <v>16</v>
      </c>
      <c r="G61" s="14">
        <f>COUNTIF(경기기록Sheet!$Q:$U,B61)</f>
        <v>8</v>
      </c>
      <c r="H61" s="14">
        <f>COUNTIF(경기기록Sheet!$V:$V,B61)</f>
        <v>0</v>
      </c>
      <c r="I61" s="14">
        <f t="shared" si="8"/>
        <v>28</v>
      </c>
      <c r="J61" s="15"/>
    </row>
    <row r="62" spans="1:10" x14ac:dyDescent="0.25">
      <c r="A62" s="2">
        <f>종합Sheet!A62</f>
        <v>59</v>
      </c>
      <c r="B62" s="2" t="str">
        <f>종합Sheet!B62</f>
        <v>오우영</v>
      </c>
      <c r="C62" s="2">
        <f t="shared" si="7"/>
        <v>3.5</v>
      </c>
      <c r="D62" s="14">
        <f>COUNTIF(경기기록Sheet!$E:$H,B62)</f>
        <v>2</v>
      </c>
      <c r="E62" s="14">
        <f>COUNTIF(경기기록Sheet!$I:$L,B62)</f>
        <v>6</v>
      </c>
      <c r="F62" s="14">
        <f>COUNTIF(경기기록Sheet!$M:$P,B62)</f>
        <v>3</v>
      </c>
      <c r="G62" s="14">
        <f>COUNTIF(경기기록Sheet!$Q:$U,B62)</f>
        <v>1</v>
      </c>
      <c r="H62" s="14">
        <f>COUNTIF(경기기록Sheet!$V:$V,B62)</f>
        <v>4</v>
      </c>
      <c r="I62" s="14">
        <f t="shared" si="8"/>
        <v>16</v>
      </c>
      <c r="J62" s="15"/>
    </row>
    <row r="63" spans="1:10" x14ac:dyDescent="0.25">
      <c r="A63" s="2">
        <f>종합Sheet!A63</f>
        <v>60</v>
      </c>
      <c r="B63" s="2" t="str">
        <f>종합Sheet!B63</f>
        <v>오운용</v>
      </c>
      <c r="C63" s="2">
        <f t="shared" si="7"/>
        <v>0</v>
      </c>
      <c r="D63" s="14">
        <f>COUNTIF(경기기록Sheet!$E:$H,B63)</f>
        <v>0</v>
      </c>
      <c r="E63" s="14">
        <f>COUNTIF(경기기록Sheet!$I:$L,B63)</f>
        <v>0</v>
      </c>
      <c r="F63" s="14">
        <f>COUNTIF(경기기록Sheet!$M:$P,B63)</f>
        <v>0</v>
      </c>
      <c r="G63" s="14">
        <f>COUNTIF(경기기록Sheet!$Q:$U,B63)</f>
        <v>0</v>
      </c>
      <c r="H63" s="14">
        <f>COUNTIF(경기기록Sheet!$V:$V,B63)</f>
        <v>0</v>
      </c>
      <c r="I63" s="14">
        <f t="shared" si="8"/>
        <v>0</v>
      </c>
      <c r="J63" s="15"/>
    </row>
    <row r="64" spans="1:10" x14ac:dyDescent="0.25">
      <c r="A64" s="2">
        <f>종합Sheet!A64</f>
        <v>61</v>
      </c>
      <c r="B64" s="2" t="str">
        <f>종합Sheet!B64</f>
        <v>오진환</v>
      </c>
      <c r="C64" s="2">
        <f t="shared" si="7"/>
        <v>0.2</v>
      </c>
      <c r="D64" s="14">
        <f>COUNTIF(경기기록Sheet!$E:$H,B64)</f>
        <v>0</v>
      </c>
      <c r="E64" s="14">
        <f>COUNTIF(경기기록Sheet!$I:$L,B64)</f>
        <v>0</v>
      </c>
      <c r="F64" s="14">
        <f>COUNTIF(경기기록Sheet!$M:$P,B64)</f>
        <v>0</v>
      </c>
      <c r="G64" s="14">
        <f>COUNTIF(경기기록Sheet!$Q:$U,B64)</f>
        <v>1</v>
      </c>
      <c r="H64" s="14">
        <f>COUNTIF(경기기록Sheet!$V:$V,B64)</f>
        <v>0</v>
      </c>
      <c r="I64" s="14">
        <f t="shared" si="8"/>
        <v>1</v>
      </c>
      <c r="J64" s="15"/>
    </row>
    <row r="65" spans="1:10" x14ac:dyDescent="0.25">
      <c r="A65" s="2">
        <f>종합Sheet!A65</f>
        <v>62</v>
      </c>
      <c r="B65" s="2" t="str">
        <f>종합Sheet!B65</f>
        <v>유상근</v>
      </c>
      <c r="C65" s="2">
        <f t="shared" si="7"/>
        <v>7.2</v>
      </c>
      <c r="D65" s="14">
        <f>COUNTIF(경기기록Sheet!$E:$H,B65)</f>
        <v>0</v>
      </c>
      <c r="E65" s="14">
        <f>COUNTIF(경기기록Sheet!$I:$L,B65)</f>
        <v>0</v>
      </c>
      <c r="F65" s="14">
        <f>COUNTIF(경기기록Sheet!$M:$P,B65)</f>
        <v>4</v>
      </c>
      <c r="G65" s="14">
        <f>COUNTIF(경기기록Sheet!$Q:$U,B65)</f>
        <v>28</v>
      </c>
      <c r="H65" s="14">
        <f>COUNTIF(경기기록Sheet!$V:$V,B65)</f>
        <v>2</v>
      </c>
      <c r="I65" s="14">
        <f t="shared" si="8"/>
        <v>34</v>
      </c>
      <c r="J65" s="15"/>
    </row>
    <row r="66" spans="1:10" x14ac:dyDescent="0.25">
      <c r="A66" s="2">
        <f>종합Sheet!A66</f>
        <v>63</v>
      </c>
      <c r="B66" s="2" t="str">
        <f>종합Sheet!B66</f>
        <v>유인상</v>
      </c>
      <c r="C66" s="2">
        <f t="shared" si="7"/>
        <v>3.2</v>
      </c>
      <c r="D66" s="14">
        <f>COUNTIF(경기기록Sheet!$E:$H,B66)</f>
        <v>3</v>
      </c>
      <c r="E66" s="14">
        <f>COUNTIF(경기기록Sheet!$I:$L,B66)</f>
        <v>2</v>
      </c>
      <c r="F66" s="14">
        <f>COUNTIF(경기기록Sheet!$M:$P,B66)</f>
        <v>6</v>
      </c>
      <c r="G66" s="14">
        <f>COUNTIF(경기기록Sheet!$Q:$U,B66)</f>
        <v>2</v>
      </c>
      <c r="H66" s="14">
        <f>COUNTIF(경기기록Sheet!$V:$V,B66)</f>
        <v>0</v>
      </c>
      <c r="I66" s="14">
        <f t="shared" si="8"/>
        <v>13</v>
      </c>
      <c r="J66" s="15"/>
    </row>
    <row r="67" spans="1:10" x14ac:dyDescent="0.25">
      <c r="A67" s="2">
        <f>종합Sheet!A67</f>
        <v>64</v>
      </c>
      <c r="B67" s="2" t="str">
        <f>종합Sheet!B67</f>
        <v>유정훈</v>
      </c>
      <c r="C67" s="2">
        <f t="shared" si="7"/>
        <v>10.9</v>
      </c>
      <c r="D67" s="14">
        <f>COUNTIF(경기기록Sheet!$E:$H,B67)</f>
        <v>7</v>
      </c>
      <c r="E67" s="14">
        <f>COUNTIF(경기기록Sheet!$I:$L,B67)</f>
        <v>11</v>
      </c>
      <c r="F67" s="14">
        <f>COUNTIF(경기기록Sheet!$M:$P,B67)</f>
        <v>17</v>
      </c>
      <c r="G67" s="14">
        <f>COUNTIF(경기기록Sheet!$Q:$U,B67)</f>
        <v>5</v>
      </c>
      <c r="H67" s="14">
        <f>COUNTIF(경기기록Sheet!$V:$V,B67)</f>
        <v>6</v>
      </c>
      <c r="I67" s="14">
        <f t="shared" si="8"/>
        <v>46</v>
      </c>
      <c r="J67" s="15"/>
    </row>
    <row r="68" spans="1:10" x14ac:dyDescent="0.25">
      <c r="A68" s="2">
        <f>종합Sheet!A68</f>
        <v>65</v>
      </c>
      <c r="B68" s="2" t="str">
        <f>종합Sheet!B68</f>
        <v>유진효</v>
      </c>
      <c r="C68" s="2">
        <f t="shared" ref="C68:C99" si="9">((D68+E68+G68+H68)*0.2)+((F68)*0.3)</f>
        <v>0</v>
      </c>
      <c r="D68" s="14">
        <f>COUNTIF(경기기록Sheet!$E:$H,B68)</f>
        <v>0</v>
      </c>
      <c r="E68" s="14">
        <f>COUNTIF(경기기록Sheet!$I:$L,B68)</f>
        <v>0</v>
      </c>
      <c r="F68" s="14">
        <f>COUNTIF(경기기록Sheet!$M:$P,B68)</f>
        <v>0</v>
      </c>
      <c r="G68" s="14">
        <f>COUNTIF(경기기록Sheet!$Q:$U,B68)</f>
        <v>0</v>
      </c>
      <c r="H68" s="14">
        <f>COUNTIF(경기기록Sheet!$V:$V,B68)</f>
        <v>0</v>
      </c>
      <c r="I68" s="14">
        <f t="shared" ref="I68:I99" si="10">SUM(D68:H68)</f>
        <v>0</v>
      </c>
      <c r="J68" s="15"/>
    </row>
    <row r="69" spans="1:10" x14ac:dyDescent="0.25">
      <c r="A69" s="2">
        <f>종합Sheet!A69</f>
        <v>66</v>
      </c>
      <c r="B69" s="2" t="str">
        <f>종합Sheet!B69</f>
        <v>유휴민</v>
      </c>
      <c r="C69" s="2">
        <f t="shared" si="9"/>
        <v>1.2000000000000002</v>
      </c>
      <c r="D69" s="14">
        <f>COUNTIF(경기기록Sheet!$E:$H,B69)</f>
        <v>4</v>
      </c>
      <c r="E69" s="14">
        <f>COUNTIF(경기기록Sheet!$I:$L,B69)</f>
        <v>1</v>
      </c>
      <c r="F69" s="14">
        <f>COUNTIF(경기기록Sheet!$M:$P,B69)</f>
        <v>0</v>
      </c>
      <c r="G69" s="14">
        <f>COUNTIF(경기기록Sheet!$Q:$U,B69)</f>
        <v>0</v>
      </c>
      <c r="H69" s="14">
        <f>COUNTIF(경기기록Sheet!$V:$V,B69)</f>
        <v>1</v>
      </c>
      <c r="I69" s="14">
        <f t="shared" si="10"/>
        <v>6</v>
      </c>
      <c r="J69" s="15"/>
    </row>
    <row r="70" spans="1:10" x14ac:dyDescent="0.25">
      <c r="A70" s="2">
        <f>종합Sheet!A70</f>
        <v>67</v>
      </c>
      <c r="B70" s="2" t="str">
        <f>종합Sheet!B70</f>
        <v>윤원택</v>
      </c>
      <c r="C70" s="2">
        <f t="shared" si="9"/>
        <v>0.4</v>
      </c>
      <c r="D70" s="14">
        <f>COUNTIF(경기기록Sheet!$E:$H,B70)</f>
        <v>1</v>
      </c>
      <c r="E70" s="14">
        <f>COUNTIF(경기기록Sheet!$I:$L,B70)</f>
        <v>0</v>
      </c>
      <c r="F70" s="14">
        <f>COUNTIF(경기기록Sheet!$M:$P,B70)</f>
        <v>0</v>
      </c>
      <c r="G70" s="14">
        <f>COUNTIF(경기기록Sheet!$Q:$U,B70)</f>
        <v>1</v>
      </c>
      <c r="H70" s="14">
        <f>COUNTIF(경기기록Sheet!$V:$V,B70)</f>
        <v>0</v>
      </c>
      <c r="I70" s="14">
        <f t="shared" si="10"/>
        <v>2</v>
      </c>
      <c r="J70" s="15"/>
    </row>
    <row r="71" spans="1:10" x14ac:dyDescent="0.25">
      <c r="A71" s="2">
        <f>종합Sheet!A71</f>
        <v>68</v>
      </c>
      <c r="B71" s="2" t="str">
        <f>종합Sheet!B71</f>
        <v>윤창현</v>
      </c>
      <c r="C71" s="2">
        <f t="shared" si="9"/>
        <v>7.4</v>
      </c>
      <c r="D71" s="14">
        <f>COUNTIF(경기기록Sheet!$E:$H,B71)</f>
        <v>1</v>
      </c>
      <c r="E71" s="14">
        <f>COUNTIF(경기기록Sheet!$I:$L,B71)</f>
        <v>2</v>
      </c>
      <c r="F71" s="14">
        <f>COUNTIF(경기기록Sheet!$M:$P,B71)</f>
        <v>2</v>
      </c>
      <c r="G71" s="14">
        <f>COUNTIF(경기기록Sheet!$Q:$U,B71)</f>
        <v>30</v>
      </c>
      <c r="H71" s="14">
        <f>COUNTIF(경기기록Sheet!$V:$V,B71)</f>
        <v>1</v>
      </c>
      <c r="I71" s="14">
        <f t="shared" si="10"/>
        <v>36</v>
      </c>
      <c r="J71" s="15"/>
    </row>
    <row r="72" spans="1:10" x14ac:dyDescent="0.25">
      <c r="A72" s="2">
        <f>종합Sheet!A72</f>
        <v>69</v>
      </c>
      <c r="B72" s="2" t="str">
        <f>종합Sheet!B72</f>
        <v>이경석</v>
      </c>
      <c r="C72" s="2">
        <f t="shared" si="9"/>
        <v>0.2</v>
      </c>
      <c r="D72" s="14">
        <f>COUNTIF(경기기록Sheet!$E:$H,B72)</f>
        <v>0</v>
      </c>
      <c r="E72" s="14">
        <f>COUNTIF(경기기록Sheet!$I:$L,B72)</f>
        <v>1</v>
      </c>
      <c r="F72" s="14">
        <f>COUNTIF(경기기록Sheet!$M:$P,B72)</f>
        <v>0</v>
      </c>
      <c r="G72" s="14">
        <f>COUNTIF(경기기록Sheet!$Q:$U,B72)</f>
        <v>0</v>
      </c>
      <c r="H72" s="14">
        <f>COUNTIF(경기기록Sheet!$V:$V,B72)</f>
        <v>0</v>
      </c>
      <c r="I72" s="14">
        <f t="shared" si="10"/>
        <v>1</v>
      </c>
      <c r="J72" s="15"/>
    </row>
    <row r="73" spans="1:10" x14ac:dyDescent="0.25">
      <c r="A73" s="2">
        <f>종합Sheet!A73</f>
        <v>70</v>
      </c>
      <c r="B73" s="2" t="str">
        <f>종합Sheet!B73</f>
        <v>이동우</v>
      </c>
      <c r="C73" s="2">
        <f t="shared" si="9"/>
        <v>0</v>
      </c>
      <c r="D73" s="14">
        <f>COUNTIF(경기기록Sheet!$E:$H,B73)</f>
        <v>0</v>
      </c>
      <c r="E73" s="14">
        <f>COUNTIF(경기기록Sheet!$I:$L,B73)</f>
        <v>0</v>
      </c>
      <c r="F73" s="14">
        <f>COUNTIF(경기기록Sheet!$M:$P,B73)</f>
        <v>0</v>
      </c>
      <c r="G73" s="14">
        <f>COUNTIF(경기기록Sheet!$Q:$U,B73)</f>
        <v>0</v>
      </c>
      <c r="H73" s="14">
        <f>COUNTIF(경기기록Sheet!$V:$V,B73)</f>
        <v>0</v>
      </c>
      <c r="I73" s="14">
        <f t="shared" si="10"/>
        <v>0</v>
      </c>
      <c r="J73" s="15"/>
    </row>
    <row r="74" spans="1:10" x14ac:dyDescent="0.25">
      <c r="A74" s="2">
        <f>종합Sheet!A74</f>
        <v>71</v>
      </c>
      <c r="B74" s="2" t="str">
        <f>종합Sheet!B74</f>
        <v>이민재</v>
      </c>
      <c r="C74" s="2">
        <f t="shared" si="9"/>
        <v>1</v>
      </c>
      <c r="D74" s="14">
        <f>COUNTIF(경기기록Sheet!$E:$H,B74)</f>
        <v>0</v>
      </c>
      <c r="E74" s="14">
        <f>COUNTIF(경기기록Sheet!$I:$L,B74)</f>
        <v>0</v>
      </c>
      <c r="F74" s="14">
        <f>COUNTIF(경기기록Sheet!$M:$P,B74)</f>
        <v>0</v>
      </c>
      <c r="G74" s="14">
        <f>COUNTIF(경기기록Sheet!$Q:$U,B74)</f>
        <v>0</v>
      </c>
      <c r="H74" s="14">
        <f>COUNTIF(경기기록Sheet!$V:$V,B74)</f>
        <v>5</v>
      </c>
      <c r="I74" s="14">
        <f t="shared" si="10"/>
        <v>5</v>
      </c>
      <c r="J74" s="15"/>
    </row>
    <row r="75" spans="1:10" x14ac:dyDescent="0.25">
      <c r="A75" s="2">
        <f>종합Sheet!A75</f>
        <v>72</v>
      </c>
      <c r="B75" s="2" t="str">
        <f>종합Sheet!B75</f>
        <v>이상민</v>
      </c>
      <c r="C75" s="2">
        <f t="shared" si="9"/>
        <v>1.6</v>
      </c>
      <c r="D75" s="14">
        <f>COUNTIF(경기기록Sheet!$E:$H,B75)</f>
        <v>2</v>
      </c>
      <c r="E75" s="14">
        <f>COUNTIF(경기기록Sheet!$I:$L,B75)</f>
        <v>2</v>
      </c>
      <c r="F75" s="14">
        <f>COUNTIF(경기기록Sheet!$M:$P,B75)</f>
        <v>0</v>
      </c>
      <c r="G75" s="14">
        <f>COUNTIF(경기기록Sheet!$Q:$U,B75)</f>
        <v>4</v>
      </c>
      <c r="H75" s="14">
        <f>COUNTIF(경기기록Sheet!$V:$V,B75)</f>
        <v>0</v>
      </c>
      <c r="I75" s="14">
        <f t="shared" si="10"/>
        <v>8</v>
      </c>
      <c r="J75" s="15"/>
    </row>
    <row r="76" spans="1:10" x14ac:dyDescent="0.25">
      <c r="A76" s="2">
        <f>종합Sheet!A76</f>
        <v>73</v>
      </c>
      <c r="B76" s="2" t="str">
        <f>종합Sheet!B76</f>
        <v>이상현</v>
      </c>
      <c r="C76" s="2">
        <f t="shared" si="9"/>
        <v>7.6000000000000005</v>
      </c>
      <c r="D76" s="14">
        <f>COUNTIF(경기기록Sheet!$E:$H,B76)</f>
        <v>10</v>
      </c>
      <c r="E76" s="14">
        <f>COUNTIF(경기기록Sheet!$I:$L,B76)</f>
        <v>10</v>
      </c>
      <c r="F76" s="14">
        <f>COUNTIF(경기기록Sheet!$M:$P,B76)</f>
        <v>10</v>
      </c>
      <c r="G76" s="14">
        <f>COUNTIF(경기기록Sheet!$Q:$U,B76)</f>
        <v>2</v>
      </c>
      <c r="H76" s="14">
        <f>COUNTIF(경기기록Sheet!$V:$V,B76)</f>
        <v>1</v>
      </c>
      <c r="I76" s="14">
        <f t="shared" si="10"/>
        <v>33</v>
      </c>
      <c r="J76" s="15"/>
    </row>
    <row r="77" spans="1:10" x14ac:dyDescent="0.25">
      <c r="A77" s="2">
        <f>종합Sheet!A77</f>
        <v>74</v>
      </c>
      <c r="B77" s="2" t="str">
        <f>종합Sheet!B77</f>
        <v>이새샘</v>
      </c>
      <c r="C77" s="2">
        <f t="shared" si="9"/>
        <v>1.2000000000000002</v>
      </c>
      <c r="D77" s="14">
        <f>COUNTIF(경기기록Sheet!$E:$H,B77)</f>
        <v>0</v>
      </c>
      <c r="E77" s="14">
        <f>COUNTIF(경기기록Sheet!$I:$L,B77)</f>
        <v>0</v>
      </c>
      <c r="F77" s="14">
        <f>COUNTIF(경기기록Sheet!$M:$P,B77)</f>
        <v>0</v>
      </c>
      <c r="G77" s="14">
        <f>COUNTIF(경기기록Sheet!$Q:$U,B77)</f>
        <v>6</v>
      </c>
      <c r="H77" s="14">
        <f>COUNTIF(경기기록Sheet!$V:$V,B77)</f>
        <v>0</v>
      </c>
      <c r="I77" s="14">
        <f t="shared" si="10"/>
        <v>6</v>
      </c>
      <c r="J77" s="15"/>
    </row>
    <row r="78" spans="1:10" x14ac:dyDescent="0.25">
      <c r="A78" s="2">
        <f>종합Sheet!A78</f>
        <v>75</v>
      </c>
      <c r="B78" s="2" t="str">
        <f>종합Sheet!B78</f>
        <v>이성관</v>
      </c>
      <c r="C78" s="2">
        <f t="shared" si="9"/>
        <v>2</v>
      </c>
      <c r="D78" s="14">
        <f>COUNTIF(경기기록Sheet!$E:$H,B78)</f>
        <v>0</v>
      </c>
      <c r="E78" s="14">
        <f>COUNTIF(경기기록Sheet!$I:$L,B78)</f>
        <v>0</v>
      </c>
      <c r="F78" s="14">
        <f>COUNTIF(경기기록Sheet!$M:$P,B78)</f>
        <v>0</v>
      </c>
      <c r="G78" s="14">
        <f>COUNTIF(경기기록Sheet!$Q:$U,B78)</f>
        <v>10</v>
      </c>
      <c r="H78" s="14">
        <f>COUNTIF(경기기록Sheet!$V:$V,B78)</f>
        <v>0</v>
      </c>
      <c r="I78" s="14">
        <f t="shared" si="10"/>
        <v>10</v>
      </c>
      <c r="J78" s="15"/>
    </row>
    <row r="79" spans="1:10" x14ac:dyDescent="0.25">
      <c r="A79" s="2">
        <f>종합Sheet!A79</f>
        <v>76</v>
      </c>
      <c r="B79" s="2" t="str">
        <f>종합Sheet!B79</f>
        <v>이승윤</v>
      </c>
      <c r="C79" s="2">
        <f t="shared" si="9"/>
        <v>3.2</v>
      </c>
      <c r="D79" s="14">
        <f>COUNTIF(경기기록Sheet!$E:$H,B79)</f>
        <v>1</v>
      </c>
      <c r="E79" s="14">
        <f>COUNTIF(경기기록Sheet!$I:$L,B79)</f>
        <v>2</v>
      </c>
      <c r="F79" s="14">
        <f>COUNTIF(경기기록Sheet!$M:$P,B79)</f>
        <v>0</v>
      </c>
      <c r="G79" s="14">
        <f>COUNTIF(경기기록Sheet!$Q:$U,B79)</f>
        <v>10</v>
      </c>
      <c r="H79" s="14">
        <f>COUNTIF(경기기록Sheet!$V:$V,B79)</f>
        <v>3</v>
      </c>
      <c r="I79" s="14">
        <f t="shared" si="10"/>
        <v>16</v>
      </c>
      <c r="J79" s="15"/>
    </row>
    <row r="80" spans="1:10" x14ac:dyDescent="0.25">
      <c r="A80" s="2">
        <f>종합Sheet!A80</f>
        <v>77</v>
      </c>
      <c r="B80" s="2" t="str">
        <f>종합Sheet!B80</f>
        <v>이연길</v>
      </c>
      <c r="C80" s="2">
        <f t="shared" si="9"/>
        <v>2.6</v>
      </c>
      <c r="D80" s="14">
        <f>COUNTIF(경기기록Sheet!$E:$H,B80)</f>
        <v>6</v>
      </c>
      <c r="E80" s="14">
        <f>COUNTIF(경기기록Sheet!$I:$L,B80)</f>
        <v>3</v>
      </c>
      <c r="F80" s="14">
        <f>COUNTIF(경기기록Sheet!$M:$P,B80)</f>
        <v>0</v>
      </c>
      <c r="G80" s="14">
        <f>COUNTIF(경기기록Sheet!$Q:$U,B80)</f>
        <v>4</v>
      </c>
      <c r="H80" s="14">
        <f>COUNTIF(경기기록Sheet!$V:$V,B80)</f>
        <v>0</v>
      </c>
      <c r="I80" s="14">
        <f t="shared" si="10"/>
        <v>13</v>
      </c>
      <c r="J80" s="15"/>
    </row>
    <row r="81" spans="1:10" x14ac:dyDescent="0.25">
      <c r="A81" s="2">
        <f>종합Sheet!A81</f>
        <v>78</v>
      </c>
      <c r="B81" s="2" t="str">
        <f>종합Sheet!B81</f>
        <v>이정범</v>
      </c>
      <c r="C81" s="2">
        <f t="shared" si="9"/>
        <v>2.2000000000000002</v>
      </c>
      <c r="D81" s="14">
        <f>COUNTIF(경기기록Sheet!$E:$H,B81)</f>
        <v>0</v>
      </c>
      <c r="E81" s="14">
        <f>COUNTIF(경기기록Sheet!$I:$L,B81)</f>
        <v>0</v>
      </c>
      <c r="F81" s="14">
        <f>COUNTIF(경기기록Sheet!$M:$P,B81)</f>
        <v>0</v>
      </c>
      <c r="G81" s="14">
        <f>COUNTIF(경기기록Sheet!$Q:$U,B81)</f>
        <v>11</v>
      </c>
      <c r="H81" s="14">
        <f>COUNTIF(경기기록Sheet!$V:$V,B81)</f>
        <v>0</v>
      </c>
      <c r="I81" s="14">
        <f t="shared" si="10"/>
        <v>11</v>
      </c>
      <c r="J81" s="15"/>
    </row>
    <row r="82" spans="1:10" x14ac:dyDescent="0.25">
      <c r="A82" s="2">
        <f>종합Sheet!A82</f>
        <v>79</v>
      </c>
      <c r="B82" s="2" t="str">
        <f>종합Sheet!B82</f>
        <v>이종수</v>
      </c>
      <c r="C82" s="2">
        <f t="shared" si="9"/>
        <v>0</v>
      </c>
      <c r="D82" s="14">
        <f>COUNTIF(경기기록Sheet!$E:$H,B82)</f>
        <v>0</v>
      </c>
      <c r="E82" s="14">
        <f>COUNTIF(경기기록Sheet!$I:$L,B82)</f>
        <v>0</v>
      </c>
      <c r="F82" s="14">
        <f>COUNTIF(경기기록Sheet!$M:$P,B82)</f>
        <v>0</v>
      </c>
      <c r="G82" s="14">
        <f>COUNTIF(경기기록Sheet!$Q:$U,B82)</f>
        <v>0</v>
      </c>
      <c r="H82" s="14">
        <f>COUNTIF(경기기록Sheet!$V:$V,B82)</f>
        <v>0</v>
      </c>
      <c r="I82" s="14">
        <f t="shared" si="10"/>
        <v>0</v>
      </c>
      <c r="J82" s="15"/>
    </row>
    <row r="83" spans="1:10" x14ac:dyDescent="0.25">
      <c r="A83" s="2">
        <f>종합Sheet!A83</f>
        <v>80</v>
      </c>
      <c r="B83" s="2" t="str">
        <f>종합Sheet!B83</f>
        <v>이준수</v>
      </c>
      <c r="C83" s="2">
        <f t="shared" si="9"/>
        <v>0.8</v>
      </c>
      <c r="D83" s="14">
        <f>COUNTIF(경기기록Sheet!$E:$H,B83)</f>
        <v>0</v>
      </c>
      <c r="E83" s="14">
        <f>COUNTIF(경기기록Sheet!$I:$L,B83)</f>
        <v>0</v>
      </c>
      <c r="F83" s="14">
        <f>COUNTIF(경기기록Sheet!$M:$P,B83)</f>
        <v>0</v>
      </c>
      <c r="G83" s="14">
        <f>COUNTIF(경기기록Sheet!$Q:$U,B83)</f>
        <v>4</v>
      </c>
      <c r="H83" s="14">
        <f>COUNTIF(경기기록Sheet!$V:$V,B83)</f>
        <v>0</v>
      </c>
      <c r="I83" s="14">
        <f t="shared" si="10"/>
        <v>4</v>
      </c>
      <c r="J83" s="15"/>
    </row>
    <row r="84" spans="1:10" x14ac:dyDescent="0.25">
      <c r="A84" s="2">
        <f>종합Sheet!A84</f>
        <v>81</v>
      </c>
      <c r="B84" s="2" t="str">
        <f>종합Sheet!B84</f>
        <v>이찬영</v>
      </c>
      <c r="C84" s="2">
        <f t="shared" si="9"/>
        <v>1.6</v>
      </c>
      <c r="D84" s="14">
        <f>COUNTIF(경기기록Sheet!$E:$H,B84)</f>
        <v>0</v>
      </c>
      <c r="E84" s="14">
        <f>COUNTIF(경기기록Sheet!$I:$L,B84)</f>
        <v>0</v>
      </c>
      <c r="F84" s="14">
        <f>COUNTIF(경기기록Sheet!$M:$P,B84)</f>
        <v>2</v>
      </c>
      <c r="G84" s="14">
        <f>COUNTIF(경기기록Sheet!$Q:$U,B84)</f>
        <v>3</v>
      </c>
      <c r="H84" s="14">
        <f>COUNTIF(경기기록Sheet!$V:$V,B84)</f>
        <v>2</v>
      </c>
      <c r="I84" s="14">
        <f t="shared" si="10"/>
        <v>7</v>
      </c>
      <c r="J84" s="15"/>
    </row>
    <row r="85" spans="1:10" x14ac:dyDescent="0.25">
      <c r="A85" s="2">
        <f>종합Sheet!A85</f>
        <v>82</v>
      </c>
      <c r="B85" s="2" t="str">
        <f>종합Sheet!B85</f>
        <v>이태한</v>
      </c>
      <c r="C85" s="2">
        <f t="shared" si="9"/>
        <v>1.4000000000000001</v>
      </c>
      <c r="D85" s="14">
        <f>COUNTIF(경기기록Sheet!$E:$H,B85)</f>
        <v>1</v>
      </c>
      <c r="E85" s="14">
        <f>COUNTIF(경기기록Sheet!$I:$L,B85)</f>
        <v>1</v>
      </c>
      <c r="F85" s="14">
        <f>COUNTIF(경기기록Sheet!$M:$P,B85)</f>
        <v>0</v>
      </c>
      <c r="G85" s="14">
        <f>COUNTIF(경기기록Sheet!$Q:$U,B85)</f>
        <v>4</v>
      </c>
      <c r="H85" s="14">
        <f>COUNTIF(경기기록Sheet!$V:$V,B85)</f>
        <v>1</v>
      </c>
      <c r="I85" s="14">
        <f t="shared" si="10"/>
        <v>7</v>
      </c>
      <c r="J85" s="15"/>
    </row>
    <row r="86" spans="1:10" x14ac:dyDescent="0.25">
      <c r="A86" s="2">
        <f>종합Sheet!A86</f>
        <v>83</v>
      </c>
      <c r="B86" s="2" t="str">
        <f>종합Sheet!B86</f>
        <v>이호행</v>
      </c>
      <c r="C86" s="2">
        <f t="shared" si="9"/>
        <v>2.2999999999999998</v>
      </c>
      <c r="D86" s="14">
        <f>COUNTIF(경기기록Sheet!$E:$H,B86)</f>
        <v>1</v>
      </c>
      <c r="E86" s="14">
        <f>COUNTIF(경기기록Sheet!$I:$L,B86)</f>
        <v>2</v>
      </c>
      <c r="F86" s="14">
        <f>COUNTIF(경기기록Sheet!$M:$P,B86)</f>
        <v>5</v>
      </c>
      <c r="G86" s="14">
        <f>COUNTIF(경기기록Sheet!$Q:$U,B86)</f>
        <v>1</v>
      </c>
      <c r="H86" s="14">
        <f>COUNTIF(경기기록Sheet!$V:$V,B86)</f>
        <v>0</v>
      </c>
      <c r="I86" s="14">
        <f t="shared" si="10"/>
        <v>9</v>
      </c>
      <c r="J86" s="15"/>
    </row>
    <row r="87" spans="1:10" x14ac:dyDescent="0.25">
      <c r="A87" s="2">
        <f>종합Sheet!A87</f>
        <v>84</v>
      </c>
      <c r="B87" s="2" t="str">
        <f>종합Sheet!B87</f>
        <v>임수철</v>
      </c>
      <c r="C87" s="2">
        <f t="shared" si="9"/>
        <v>4.6000000000000005</v>
      </c>
      <c r="D87" s="14">
        <f>COUNTIF(경기기록Sheet!$E:$H,B87)</f>
        <v>0</v>
      </c>
      <c r="E87" s="14">
        <f>COUNTIF(경기기록Sheet!$I:$L,B87)</f>
        <v>0</v>
      </c>
      <c r="F87" s="14">
        <f>COUNTIF(경기기록Sheet!$M:$P,B87)</f>
        <v>0</v>
      </c>
      <c r="G87" s="14">
        <f>COUNTIF(경기기록Sheet!$Q:$U,B87)</f>
        <v>21</v>
      </c>
      <c r="H87" s="14">
        <f>COUNTIF(경기기록Sheet!$V:$V,B87)</f>
        <v>2</v>
      </c>
      <c r="I87" s="14">
        <f t="shared" si="10"/>
        <v>23</v>
      </c>
      <c r="J87" s="15"/>
    </row>
    <row r="88" spans="1:10" x14ac:dyDescent="0.25">
      <c r="A88" s="2">
        <f>종합Sheet!A88</f>
        <v>85</v>
      </c>
      <c r="B88" s="2" t="str">
        <f>종합Sheet!B88</f>
        <v>임태환</v>
      </c>
      <c r="C88" s="2">
        <f t="shared" si="9"/>
        <v>2.4000000000000004</v>
      </c>
      <c r="D88" s="14">
        <f>COUNTIF(경기기록Sheet!$E:$H,B88)</f>
        <v>3</v>
      </c>
      <c r="E88" s="14">
        <f>COUNTIF(경기기록Sheet!$I:$L,B88)</f>
        <v>1</v>
      </c>
      <c r="F88" s="14">
        <f>COUNTIF(경기기록Sheet!$M:$P,B88)</f>
        <v>4</v>
      </c>
      <c r="G88" s="14">
        <f>COUNTIF(경기기록Sheet!$Q:$U,B88)</f>
        <v>0</v>
      </c>
      <c r="H88" s="14">
        <f>COUNTIF(경기기록Sheet!$V:$V,B88)</f>
        <v>2</v>
      </c>
      <c r="I88" s="14">
        <f t="shared" si="10"/>
        <v>10</v>
      </c>
      <c r="J88" s="15"/>
    </row>
    <row r="89" spans="1:10" x14ac:dyDescent="0.25">
      <c r="A89" s="2">
        <f>종합Sheet!A89</f>
        <v>86</v>
      </c>
      <c r="B89" s="2" t="str">
        <f>종합Sheet!B89</f>
        <v>장희도</v>
      </c>
      <c r="C89" s="2">
        <f t="shared" si="9"/>
        <v>0.8</v>
      </c>
      <c r="D89" s="14">
        <f>COUNTIF(경기기록Sheet!$E:$H,B89)</f>
        <v>2</v>
      </c>
      <c r="E89" s="14">
        <f>COUNTIF(경기기록Sheet!$I:$L,B89)</f>
        <v>1</v>
      </c>
      <c r="F89" s="14">
        <f>COUNTIF(경기기록Sheet!$M:$P,B89)</f>
        <v>0</v>
      </c>
      <c r="G89" s="14">
        <f>COUNTIF(경기기록Sheet!$Q:$U,B89)</f>
        <v>1</v>
      </c>
      <c r="H89" s="14">
        <f>COUNTIF(경기기록Sheet!$V:$V,B89)</f>
        <v>0</v>
      </c>
      <c r="I89" s="14">
        <f t="shared" si="10"/>
        <v>4</v>
      </c>
      <c r="J89" s="15"/>
    </row>
    <row r="90" spans="1:10" x14ac:dyDescent="0.25">
      <c r="A90" s="2">
        <f>종합Sheet!A90</f>
        <v>87</v>
      </c>
      <c r="B90" s="2" t="str">
        <f>종합Sheet!B90</f>
        <v>장희준</v>
      </c>
      <c r="C90" s="2">
        <f t="shared" si="9"/>
        <v>0.8</v>
      </c>
      <c r="D90" s="14">
        <f>COUNTIF(경기기록Sheet!$E:$H,B90)</f>
        <v>0</v>
      </c>
      <c r="E90" s="14">
        <f>COUNTIF(경기기록Sheet!$I:$L,B90)</f>
        <v>0</v>
      </c>
      <c r="F90" s="14">
        <f>COUNTIF(경기기록Sheet!$M:$P,B90)</f>
        <v>0</v>
      </c>
      <c r="G90" s="14">
        <f>COUNTIF(경기기록Sheet!$Q:$U,B90)</f>
        <v>3</v>
      </c>
      <c r="H90" s="14">
        <f>COUNTIF(경기기록Sheet!$V:$V,B90)</f>
        <v>1</v>
      </c>
      <c r="I90" s="14">
        <f t="shared" si="10"/>
        <v>4</v>
      </c>
      <c r="J90" s="15"/>
    </row>
    <row r="91" spans="1:10" x14ac:dyDescent="0.25">
      <c r="A91" s="2">
        <f>종합Sheet!A91</f>
        <v>88</v>
      </c>
      <c r="B91" s="2" t="str">
        <f>종합Sheet!B91</f>
        <v>전나현</v>
      </c>
      <c r="C91" s="2">
        <f t="shared" si="9"/>
        <v>4.6999999999999993</v>
      </c>
      <c r="D91" s="14">
        <f>COUNTIF(경기기록Sheet!$E:$H,B91)</f>
        <v>2</v>
      </c>
      <c r="E91" s="14">
        <f>COUNTIF(경기기록Sheet!$I:$L,B91)</f>
        <v>2</v>
      </c>
      <c r="F91" s="14">
        <f>COUNTIF(경기기록Sheet!$M:$P,B91)</f>
        <v>9</v>
      </c>
      <c r="G91" s="14">
        <f>COUNTIF(경기기록Sheet!$Q:$U,B91)</f>
        <v>1</v>
      </c>
      <c r="H91" s="14">
        <f>COUNTIF(경기기록Sheet!$V:$V,B91)</f>
        <v>5</v>
      </c>
      <c r="I91" s="14">
        <f t="shared" si="10"/>
        <v>19</v>
      </c>
      <c r="J91" s="15"/>
    </row>
    <row r="92" spans="1:10" x14ac:dyDescent="0.25">
      <c r="A92" s="2">
        <f>종합Sheet!A92</f>
        <v>89</v>
      </c>
      <c r="B92" s="2" t="str">
        <f>종합Sheet!B92</f>
        <v>전성환</v>
      </c>
      <c r="C92" s="2">
        <f t="shared" si="9"/>
        <v>0.2</v>
      </c>
      <c r="D92" s="14">
        <f>COUNTIF(경기기록Sheet!$E:$H,B92)</f>
        <v>1</v>
      </c>
      <c r="E92" s="14">
        <f>COUNTIF(경기기록Sheet!$I:$L,B92)</f>
        <v>0</v>
      </c>
      <c r="F92" s="14">
        <f>COUNTIF(경기기록Sheet!$M:$P,B92)</f>
        <v>0</v>
      </c>
      <c r="G92" s="14">
        <f>COUNTIF(경기기록Sheet!$Q:$U,B92)</f>
        <v>0</v>
      </c>
      <c r="H92" s="14">
        <f>COUNTIF(경기기록Sheet!$V:$V,B92)</f>
        <v>0</v>
      </c>
      <c r="I92" s="14">
        <f t="shared" si="10"/>
        <v>1</v>
      </c>
      <c r="J92" s="15"/>
    </row>
    <row r="93" spans="1:10" x14ac:dyDescent="0.25">
      <c r="A93" s="2">
        <f>종합Sheet!A93</f>
        <v>90</v>
      </c>
      <c r="B93" s="2" t="str">
        <f>종합Sheet!B93</f>
        <v>전하늘</v>
      </c>
      <c r="C93" s="2">
        <f t="shared" si="9"/>
        <v>1.7</v>
      </c>
      <c r="D93" s="14">
        <f>COUNTIF(경기기록Sheet!$E:$H,B93)</f>
        <v>2</v>
      </c>
      <c r="E93" s="14">
        <f>COUNTIF(경기기록Sheet!$I:$L,B93)</f>
        <v>1</v>
      </c>
      <c r="F93" s="14">
        <f>COUNTIF(경기기록Sheet!$M:$P,B93)</f>
        <v>3</v>
      </c>
      <c r="G93" s="14">
        <f>COUNTIF(경기기록Sheet!$Q:$U,B93)</f>
        <v>0</v>
      </c>
      <c r="H93" s="14">
        <f>COUNTIF(경기기록Sheet!$V:$V,B93)</f>
        <v>1</v>
      </c>
      <c r="I93" s="14">
        <f t="shared" si="10"/>
        <v>7</v>
      </c>
      <c r="J93" s="15"/>
    </row>
    <row r="94" spans="1:10" x14ac:dyDescent="0.25">
      <c r="A94" s="2">
        <f>종합Sheet!A94</f>
        <v>91</v>
      </c>
      <c r="B94" s="2" t="str">
        <f>종합Sheet!B94</f>
        <v>정민수</v>
      </c>
      <c r="C94" s="2">
        <f t="shared" si="9"/>
        <v>5.8000000000000007</v>
      </c>
      <c r="D94" s="14">
        <f>COUNTIF(경기기록Sheet!$E:$H,B94)</f>
        <v>1</v>
      </c>
      <c r="E94" s="14">
        <f>COUNTIF(경기기록Sheet!$I:$L,B94)</f>
        <v>4</v>
      </c>
      <c r="F94" s="14">
        <f>COUNTIF(경기기록Sheet!$M:$P,B94)</f>
        <v>0</v>
      </c>
      <c r="G94" s="14">
        <f>COUNTIF(경기기록Sheet!$Q:$U,B94)</f>
        <v>21</v>
      </c>
      <c r="H94" s="14">
        <f>COUNTIF(경기기록Sheet!$V:$V,B94)</f>
        <v>3</v>
      </c>
      <c r="I94" s="14">
        <f t="shared" si="10"/>
        <v>29</v>
      </c>
      <c r="J94" s="15"/>
    </row>
    <row r="95" spans="1:10" x14ac:dyDescent="0.25">
      <c r="A95" s="2">
        <f>종합Sheet!A95</f>
        <v>92</v>
      </c>
      <c r="B95" s="2" t="str">
        <f>종합Sheet!B95</f>
        <v>정재명</v>
      </c>
      <c r="C95" s="2">
        <f t="shared" si="9"/>
        <v>2.8000000000000003</v>
      </c>
      <c r="D95" s="14">
        <f>COUNTIF(경기기록Sheet!$E:$H,B95)</f>
        <v>10</v>
      </c>
      <c r="E95" s="14">
        <f>COUNTIF(경기기록Sheet!$I:$L,B95)</f>
        <v>3</v>
      </c>
      <c r="F95" s="14">
        <f>COUNTIF(경기기록Sheet!$M:$P,B95)</f>
        <v>0</v>
      </c>
      <c r="G95" s="14">
        <f>COUNTIF(경기기록Sheet!$Q:$U,B95)</f>
        <v>1</v>
      </c>
      <c r="H95" s="14">
        <f>COUNTIF(경기기록Sheet!$V:$V,B95)</f>
        <v>0</v>
      </c>
      <c r="I95" s="14">
        <f t="shared" si="10"/>
        <v>14</v>
      </c>
      <c r="J95" s="15"/>
    </row>
    <row r="96" spans="1:10" x14ac:dyDescent="0.25">
      <c r="A96" s="2">
        <f>종합Sheet!A96</f>
        <v>93</v>
      </c>
      <c r="B96" s="2" t="str">
        <f>종합Sheet!B96</f>
        <v>조진한</v>
      </c>
      <c r="C96" s="2">
        <f t="shared" si="9"/>
        <v>6</v>
      </c>
      <c r="D96" s="14">
        <f>COUNTIF(경기기록Sheet!$E:$H,B96)</f>
        <v>1</v>
      </c>
      <c r="E96" s="14">
        <f>COUNTIF(경기기록Sheet!$I:$L,B96)</f>
        <v>5</v>
      </c>
      <c r="F96" s="14">
        <f>COUNTIF(경기기록Sheet!$M:$P,B96)</f>
        <v>14</v>
      </c>
      <c r="G96" s="14">
        <f>COUNTIF(경기기록Sheet!$Q:$U,B96)</f>
        <v>3</v>
      </c>
      <c r="H96" s="14">
        <f>COUNTIF(경기기록Sheet!$V:$V,B96)</f>
        <v>0</v>
      </c>
      <c r="I96" s="14">
        <f t="shared" si="10"/>
        <v>23</v>
      </c>
      <c r="J96" s="15"/>
    </row>
    <row r="97" spans="1:10" x14ac:dyDescent="0.25">
      <c r="A97" s="2">
        <f>종합Sheet!A97</f>
        <v>94</v>
      </c>
      <c r="B97" s="2" t="str">
        <f>종합Sheet!B97</f>
        <v>조현우</v>
      </c>
      <c r="C97" s="2">
        <f t="shared" si="9"/>
        <v>2.6</v>
      </c>
      <c r="D97" s="14">
        <f>COUNTIF(경기기록Sheet!$E:$H,B97)</f>
        <v>0</v>
      </c>
      <c r="E97" s="14">
        <f>COUNTIF(경기기록Sheet!$I:$L,B97)</f>
        <v>2</v>
      </c>
      <c r="F97" s="14">
        <f>COUNTIF(경기기록Sheet!$M:$P,B97)</f>
        <v>0</v>
      </c>
      <c r="G97" s="14">
        <f>COUNTIF(경기기록Sheet!$Q:$U,B97)</f>
        <v>9</v>
      </c>
      <c r="H97" s="14">
        <f>COUNTIF(경기기록Sheet!$V:$V,B97)</f>
        <v>2</v>
      </c>
      <c r="I97" s="14">
        <f t="shared" si="10"/>
        <v>13</v>
      </c>
      <c r="J97" s="15"/>
    </row>
    <row r="98" spans="1:10" x14ac:dyDescent="0.25">
      <c r="A98" s="2">
        <f>종합Sheet!A98</f>
        <v>95</v>
      </c>
      <c r="B98" s="2" t="str">
        <f>종합Sheet!B98</f>
        <v>조휘두</v>
      </c>
      <c r="C98" s="2">
        <f t="shared" si="9"/>
        <v>0</v>
      </c>
      <c r="D98" s="14">
        <f>COUNTIF(경기기록Sheet!$E:$H,B98)</f>
        <v>0</v>
      </c>
      <c r="E98" s="14">
        <f>COUNTIF(경기기록Sheet!$I:$L,B98)</f>
        <v>0</v>
      </c>
      <c r="F98" s="14">
        <f>COUNTIF(경기기록Sheet!$M:$P,B98)</f>
        <v>0</v>
      </c>
      <c r="G98" s="14">
        <f>COUNTIF(경기기록Sheet!$Q:$U,B98)</f>
        <v>0</v>
      </c>
      <c r="H98" s="14">
        <f>COUNTIF(경기기록Sheet!$V:$V,B98)</f>
        <v>0</v>
      </c>
      <c r="I98" s="14">
        <f t="shared" si="10"/>
        <v>0</v>
      </c>
      <c r="J98" s="15"/>
    </row>
    <row r="99" spans="1:10" x14ac:dyDescent="0.25">
      <c r="A99" s="2">
        <f>종합Sheet!A99</f>
        <v>96</v>
      </c>
      <c r="B99" s="2" t="str">
        <f>종합Sheet!B99</f>
        <v>차승원</v>
      </c>
      <c r="C99" s="2">
        <f t="shared" si="9"/>
        <v>6.5</v>
      </c>
      <c r="D99" s="14">
        <f>COUNTIF(경기기록Sheet!$E:$H,B99)</f>
        <v>2</v>
      </c>
      <c r="E99" s="14">
        <f>COUNTIF(경기기록Sheet!$I:$L,B99)</f>
        <v>0</v>
      </c>
      <c r="F99" s="14">
        <f>COUNTIF(경기기록Sheet!$M:$P,B99)</f>
        <v>1</v>
      </c>
      <c r="G99" s="14">
        <f>COUNTIF(경기기록Sheet!$Q:$U,B99)</f>
        <v>29</v>
      </c>
      <c r="H99" s="14">
        <f>COUNTIF(경기기록Sheet!$V:$V,B99)</f>
        <v>0</v>
      </c>
      <c r="I99" s="14">
        <f t="shared" si="10"/>
        <v>32</v>
      </c>
      <c r="J99" s="15"/>
    </row>
    <row r="100" spans="1:10" x14ac:dyDescent="0.25">
      <c r="A100" s="2">
        <f>종합Sheet!A100</f>
        <v>97</v>
      </c>
      <c r="B100" s="2" t="str">
        <f>종합Sheet!B100</f>
        <v>최령창</v>
      </c>
      <c r="C100" s="2">
        <f t="shared" ref="C100:C116" si="11">((D100+E100+G100+H100)*0.2)+((F100)*0.3)</f>
        <v>5</v>
      </c>
      <c r="D100" s="14">
        <f>COUNTIF(경기기록Sheet!$E:$H,B100)</f>
        <v>1</v>
      </c>
      <c r="E100" s="14">
        <f>COUNTIF(경기기록Sheet!$I:$L,B100)</f>
        <v>1</v>
      </c>
      <c r="F100" s="14">
        <f>COUNTIF(경기기록Sheet!$M:$P,B100)</f>
        <v>0</v>
      </c>
      <c r="G100" s="14">
        <f>COUNTIF(경기기록Sheet!$Q:$U,B100)</f>
        <v>22</v>
      </c>
      <c r="H100" s="14">
        <f>COUNTIF(경기기록Sheet!$V:$V,B100)</f>
        <v>1</v>
      </c>
      <c r="I100" s="14">
        <f t="shared" ref="I100:I116" si="12">SUM(D100:H100)</f>
        <v>25</v>
      </c>
      <c r="J100" s="15"/>
    </row>
    <row r="101" spans="1:10" x14ac:dyDescent="0.25">
      <c r="A101" s="2">
        <f>종합Sheet!A101</f>
        <v>98</v>
      </c>
      <c r="B101" s="2" t="str">
        <f>종합Sheet!B101</f>
        <v>최승훈</v>
      </c>
      <c r="C101" s="2">
        <f t="shared" si="11"/>
        <v>0.3</v>
      </c>
      <c r="D101" s="14">
        <f>COUNTIF(경기기록Sheet!$E:$H,B101)</f>
        <v>0</v>
      </c>
      <c r="E101" s="14">
        <f>COUNTIF(경기기록Sheet!$I:$L,B101)</f>
        <v>0</v>
      </c>
      <c r="F101" s="14">
        <f>COUNTIF(경기기록Sheet!$M:$P,B101)</f>
        <v>1</v>
      </c>
      <c r="G101" s="14">
        <f>COUNTIF(경기기록Sheet!$Q:$U,B101)</f>
        <v>0</v>
      </c>
      <c r="H101" s="14">
        <f>COUNTIF(경기기록Sheet!$V:$V,B101)</f>
        <v>0</v>
      </c>
      <c r="I101" s="14">
        <f t="shared" si="12"/>
        <v>1</v>
      </c>
      <c r="J101" s="15"/>
    </row>
    <row r="102" spans="1:10" x14ac:dyDescent="0.25">
      <c r="A102" s="2">
        <f>종합Sheet!A102</f>
        <v>99</v>
      </c>
      <c r="B102" s="2" t="str">
        <f>종합Sheet!B102</f>
        <v>한상규</v>
      </c>
      <c r="C102" s="2">
        <f t="shared" si="11"/>
        <v>0.8</v>
      </c>
      <c r="D102" s="14">
        <f>COUNTIF(경기기록Sheet!$E:$H,B102)</f>
        <v>0</v>
      </c>
      <c r="E102" s="14">
        <f>COUNTIF(경기기록Sheet!$I:$L,B102)</f>
        <v>0</v>
      </c>
      <c r="F102" s="14">
        <f>COUNTIF(경기기록Sheet!$M:$P,B102)</f>
        <v>0</v>
      </c>
      <c r="G102" s="14">
        <f>COUNTIF(경기기록Sheet!$Q:$U,B102)</f>
        <v>3</v>
      </c>
      <c r="H102" s="14">
        <f>COUNTIF(경기기록Sheet!$V:$V,B102)</f>
        <v>1</v>
      </c>
      <c r="I102" s="14">
        <f t="shared" si="12"/>
        <v>4</v>
      </c>
      <c r="J102" s="15"/>
    </row>
    <row r="103" spans="1:10" x14ac:dyDescent="0.25">
      <c r="A103" s="2">
        <f>종합Sheet!A103</f>
        <v>100</v>
      </c>
      <c r="B103" s="2" t="str">
        <f>종합Sheet!B103</f>
        <v>한의현</v>
      </c>
      <c r="C103" s="2">
        <f t="shared" si="11"/>
        <v>7</v>
      </c>
      <c r="D103" s="14">
        <f>COUNTIF(경기기록Sheet!$E:$H,B103)</f>
        <v>0</v>
      </c>
      <c r="E103" s="14">
        <f>COUNTIF(경기기록Sheet!$I:$L,B103)</f>
        <v>0</v>
      </c>
      <c r="F103" s="14">
        <f>COUNTIF(경기기록Sheet!$M:$P,B103)</f>
        <v>0</v>
      </c>
      <c r="G103" s="14">
        <f>COUNTIF(경기기록Sheet!$Q:$U,B103)</f>
        <v>34</v>
      </c>
      <c r="H103" s="14">
        <f>COUNTIF(경기기록Sheet!$V:$V,B103)</f>
        <v>1</v>
      </c>
      <c r="I103" s="14">
        <f t="shared" si="12"/>
        <v>35</v>
      </c>
      <c r="J103" s="15"/>
    </row>
    <row r="104" spans="1:10" x14ac:dyDescent="0.25">
      <c r="A104" s="2">
        <f>종합Sheet!A104</f>
        <v>101</v>
      </c>
      <c r="B104" s="2" t="str">
        <f>종합Sheet!B104</f>
        <v>한중희</v>
      </c>
      <c r="C104" s="2">
        <f t="shared" si="11"/>
        <v>0.90000000000000013</v>
      </c>
      <c r="D104" s="14">
        <f>COUNTIF(경기기록Sheet!$E:$H,B104)</f>
        <v>0</v>
      </c>
      <c r="E104" s="14">
        <f>COUNTIF(경기기록Sheet!$I:$L,B104)</f>
        <v>0</v>
      </c>
      <c r="F104" s="14">
        <f>COUNTIF(경기기록Sheet!$M:$P,B104)</f>
        <v>1</v>
      </c>
      <c r="G104" s="14">
        <f>COUNTIF(경기기록Sheet!$Q:$U,B104)</f>
        <v>2</v>
      </c>
      <c r="H104" s="14">
        <f>COUNTIF(경기기록Sheet!$V:$V,B104)</f>
        <v>1</v>
      </c>
      <c r="I104" s="14">
        <f t="shared" si="12"/>
        <v>4</v>
      </c>
      <c r="J104" s="15"/>
    </row>
    <row r="105" spans="1:10" x14ac:dyDescent="0.25">
      <c r="A105" s="2">
        <f>종합Sheet!A105</f>
        <v>102</v>
      </c>
      <c r="B105" s="2" t="str">
        <f>종합Sheet!B105</f>
        <v>허동혁</v>
      </c>
      <c r="C105" s="2">
        <f t="shared" si="11"/>
        <v>2.9</v>
      </c>
      <c r="D105" s="14">
        <f>COUNTIF(경기기록Sheet!$E:$H,B105)</f>
        <v>7</v>
      </c>
      <c r="E105" s="14">
        <f>COUNTIF(경기기록Sheet!$I:$L,B105)</f>
        <v>4</v>
      </c>
      <c r="F105" s="14">
        <f>COUNTIF(경기기록Sheet!$M:$P,B105)</f>
        <v>1</v>
      </c>
      <c r="G105" s="14">
        <f>COUNTIF(경기기록Sheet!$Q:$U,B105)</f>
        <v>1</v>
      </c>
      <c r="H105" s="14">
        <f>COUNTIF(경기기록Sheet!$V:$V,B105)</f>
        <v>1</v>
      </c>
      <c r="I105" s="14">
        <f t="shared" si="12"/>
        <v>14</v>
      </c>
    </row>
    <row r="106" spans="1:10" x14ac:dyDescent="0.25">
      <c r="A106" s="2">
        <f>종합Sheet!A106</f>
        <v>103</v>
      </c>
      <c r="B106" s="2" t="str">
        <f>종합Sheet!B106</f>
        <v>홍석준</v>
      </c>
      <c r="C106" s="2">
        <f t="shared" si="11"/>
        <v>4.3000000000000007</v>
      </c>
      <c r="D106" s="14">
        <f>COUNTIF(경기기록Sheet!$E:$H,B106)</f>
        <v>3</v>
      </c>
      <c r="E106" s="14">
        <f>COUNTIF(경기기록Sheet!$I:$L,B106)</f>
        <v>3</v>
      </c>
      <c r="F106" s="14">
        <f>COUNTIF(경기기록Sheet!$M:$P,B106)</f>
        <v>3</v>
      </c>
      <c r="G106" s="14">
        <f>COUNTIF(경기기록Sheet!$Q:$U,B106)</f>
        <v>8</v>
      </c>
      <c r="H106" s="14">
        <f>COUNTIF(경기기록Sheet!$V:$V,B106)</f>
        <v>3</v>
      </c>
      <c r="I106" s="14">
        <f t="shared" si="12"/>
        <v>20</v>
      </c>
    </row>
    <row r="107" spans="1:10" x14ac:dyDescent="0.25">
      <c r="A107" s="2">
        <f>종합Sheet!A107</f>
        <v>104</v>
      </c>
      <c r="B107" s="2" t="str">
        <f>종합Sheet!B107</f>
        <v>홍현석</v>
      </c>
      <c r="C107" s="2">
        <f t="shared" si="11"/>
        <v>0.2</v>
      </c>
      <c r="D107" s="14">
        <f>COUNTIF(경기기록Sheet!$E:$H,B107)</f>
        <v>0</v>
      </c>
      <c r="E107" s="14">
        <f>COUNTIF(경기기록Sheet!$I:$L,B107)</f>
        <v>0</v>
      </c>
      <c r="F107" s="14">
        <f>COUNTIF(경기기록Sheet!$M:$P,B107)</f>
        <v>0</v>
      </c>
      <c r="G107" s="14">
        <f>COUNTIF(경기기록Sheet!$Q:$U,B107)</f>
        <v>1</v>
      </c>
      <c r="H107" s="14">
        <f>COUNTIF(경기기록Sheet!$V:$V,B107)</f>
        <v>0</v>
      </c>
      <c r="I107" s="14">
        <f t="shared" si="12"/>
        <v>1</v>
      </c>
    </row>
    <row r="108" spans="1:10" x14ac:dyDescent="0.25">
      <c r="A108" s="2">
        <f>종합Sheet!A108</f>
        <v>105</v>
      </c>
      <c r="B108" s="2" t="str">
        <f>종합Sheet!B108</f>
        <v>황석원</v>
      </c>
      <c r="C108" s="2">
        <f t="shared" si="11"/>
        <v>5.6000000000000005</v>
      </c>
      <c r="D108" s="14">
        <f>COUNTIF(경기기록Sheet!$E:$H,B108)</f>
        <v>0</v>
      </c>
      <c r="E108" s="14">
        <f>COUNTIF(경기기록Sheet!$I:$L,B108)</f>
        <v>0</v>
      </c>
      <c r="F108" s="14">
        <f>COUNTIF(경기기록Sheet!$M:$P,B108)</f>
        <v>0</v>
      </c>
      <c r="G108" s="14">
        <f>COUNTIF(경기기록Sheet!$Q:$U,B108)</f>
        <v>28</v>
      </c>
      <c r="H108" s="14">
        <f>COUNTIF(경기기록Sheet!$V:$V,B108)</f>
        <v>0</v>
      </c>
      <c r="I108" s="14">
        <f t="shared" si="12"/>
        <v>28</v>
      </c>
    </row>
    <row r="109" spans="1:10" x14ac:dyDescent="0.25">
      <c r="A109" s="2">
        <f>종합Sheet!A109</f>
        <v>106</v>
      </c>
      <c r="B109" s="2" t="str">
        <f>종합Sheet!B109</f>
        <v>황재순</v>
      </c>
      <c r="C109" s="2">
        <f t="shared" si="11"/>
        <v>2</v>
      </c>
      <c r="D109" s="14">
        <f>COUNTIF(경기기록Sheet!$E:$H,B109)</f>
        <v>1</v>
      </c>
      <c r="E109" s="14">
        <f>COUNTIF(경기기록Sheet!$I:$L,B109)</f>
        <v>0</v>
      </c>
      <c r="F109" s="14">
        <f>COUNTIF(경기기록Sheet!$M:$P,B109)</f>
        <v>0</v>
      </c>
      <c r="G109" s="14">
        <f>COUNTIF(경기기록Sheet!$Q:$U,B109)</f>
        <v>8</v>
      </c>
      <c r="H109" s="14">
        <f>COUNTIF(경기기록Sheet!$V:$V,B109)</f>
        <v>1</v>
      </c>
      <c r="I109" s="14">
        <f t="shared" si="12"/>
        <v>10</v>
      </c>
    </row>
    <row r="110" spans="1:10" x14ac:dyDescent="0.25">
      <c r="A110" s="2">
        <f>종합Sheet!A110</f>
        <v>107</v>
      </c>
      <c r="B110" s="2" t="str">
        <f>종합Sheet!B110</f>
        <v>황철우</v>
      </c>
      <c r="C110" s="2">
        <f t="shared" si="11"/>
        <v>1.6</v>
      </c>
      <c r="D110" s="14">
        <f>COUNTIF(경기기록Sheet!$E:$H,B110)</f>
        <v>4</v>
      </c>
      <c r="E110" s="14">
        <f>COUNTIF(경기기록Sheet!$I:$L,B110)</f>
        <v>2</v>
      </c>
      <c r="F110" s="14">
        <f>COUNTIF(경기기록Sheet!$M:$P,B110)</f>
        <v>0</v>
      </c>
      <c r="G110" s="14">
        <f>COUNTIF(경기기록Sheet!$Q:$U,B110)</f>
        <v>1</v>
      </c>
      <c r="H110" s="14">
        <f>COUNTIF(경기기록Sheet!$V:$V,B110)</f>
        <v>1</v>
      </c>
      <c r="I110" s="14">
        <f t="shared" si="12"/>
        <v>8</v>
      </c>
    </row>
    <row r="111" spans="1:10" x14ac:dyDescent="0.25">
      <c r="A111" s="2">
        <f>종합Sheet!A111</f>
        <v>108</v>
      </c>
      <c r="B111" s="2" t="str">
        <f>종합Sheet!B111</f>
        <v>김민성</v>
      </c>
      <c r="C111" s="2">
        <f t="shared" si="11"/>
        <v>1.1000000000000001</v>
      </c>
      <c r="D111" s="14">
        <f>COUNTIF(경기기록Sheet!$E:$H,B111)</f>
        <v>1</v>
      </c>
      <c r="E111" s="14">
        <f>COUNTIF(경기기록Sheet!$I:$L,B111)</f>
        <v>0</v>
      </c>
      <c r="F111" s="14">
        <f>COUNTIF(경기기록Sheet!$M:$P,B111)</f>
        <v>1</v>
      </c>
      <c r="G111" s="14">
        <f>COUNTIF(경기기록Sheet!$Q:$U,B111)</f>
        <v>3</v>
      </c>
      <c r="H111" s="14">
        <f>COUNTIF(경기기록Sheet!$V:$V,B111)</f>
        <v>0</v>
      </c>
      <c r="I111" s="14">
        <f t="shared" si="12"/>
        <v>5</v>
      </c>
    </row>
    <row r="112" spans="1:10" x14ac:dyDescent="0.25">
      <c r="A112" s="2">
        <f>종합Sheet!A112</f>
        <v>109</v>
      </c>
      <c r="B112" s="2" t="str">
        <f>종합Sheet!B112</f>
        <v>송명섭</v>
      </c>
      <c r="C112" s="2">
        <f t="shared" si="11"/>
        <v>4.4000000000000004</v>
      </c>
      <c r="D112" s="14">
        <f>COUNTIF(경기기록Sheet!$E:$H,B112)</f>
        <v>12</v>
      </c>
      <c r="E112" s="14">
        <f>COUNTIF(경기기록Sheet!$I:$L,B112)</f>
        <v>2</v>
      </c>
      <c r="F112" s="14">
        <f>COUNTIF(경기기록Sheet!$M:$P,B112)</f>
        <v>0</v>
      </c>
      <c r="G112" s="14">
        <f>COUNTIF(경기기록Sheet!$Q:$U,B112)</f>
        <v>2</v>
      </c>
      <c r="H112" s="14">
        <f>COUNTIF(경기기록Sheet!$V:$V,B112)</f>
        <v>6</v>
      </c>
      <c r="I112" s="14">
        <f t="shared" si="12"/>
        <v>22</v>
      </c>
    </row>
    <row r="113" spans="1:9" x14ac:dyDescent="0.25">
      <c r="A113" s="2">
        <f>종합Sheet!A113</f>
        <v>110</v>
      </c>
      <c r="B113" s="2" t="str">
        <f>종합Sheet!B113</f>
        <v>최경영</v>
      </c>
      <c r="C113" s="2">
        <f t="shared" si="11"/>
        <v>7.2</v>
      </c>
      <c r="D113" s="14">
        <f>COUNTIF(경기기록Sheet!$E:$H,B113)</f>
        <v>5</v>
      </c>
      <c r="E113" s="14">
        <f>COUNTIF(경기기록Sheet!$I:$L,B113)</f>
        <v>4</v>
      </c>
      <c r="F113" s="14">
        <f>COUNTIF(경기기록Sheet!$M:$P,B113)</f>
        <v>0</v>
      </c>
      <c r="G113" s="14">
        <f>COUNTIF(경기기록Sheet!$Q:$U,B113)</f>
        <v>8</v>
      </c>
      <c r="H113" s="14">
        <f>COUNTIF(경기기록Sheet!$V:$V,B113)</f>
        <v>19</v>
      </c>
      <c r="I113" s="14">
        <f t="shared" si="12"/>
        <v>36</v>
      </c>
    </row>
    <row r="114" spans="1:9" x14ac:dyDescent="0.25">
      <c r="A114" s="2">
        <f>종합Sheet!A114</f>
        <v>111</v>
      </c>
      <c r="B114" s="2" t="str">
        <f>종합Sheet!B114</f>
        <v>김민찬</v>
      </c>
      <c r="C114" s="2">
        <f t="shared" si="11"/>
        <v>0</v>
      </c>
      <c r="D114" s="14">
        <f>COUNTIF(경기기록Sheet!$E:$H,B114)</f>
        <v>0</v>
      </c>
      <c r="E114" s="14">
        <f>COUNTIF(경기기록Sheet!$I:$L,B114)</f>
        <v>0</v>
      </c>
      <c r="F114" s="14">
        <f>COUNTIF(경기기록Sheet!$M:$P,B114)</f>
        <v>0</v>
      </c>
      <c r="G114" s="14">
        <f>COUNTIF(경기기록Sheet!$Q:$U,B114)</f>
        <v>0</v>
      </c>
      <c r="H114" s="14">
        <f>COUNTIF(경기기록Sheet!$V:$V,B114)</f>
        <v>0</v>
      </c>
      <c r="I114" s="14">
        <f t="shared" si="12"/>
        <v>0</v>
      </c>
    </row>
    <row r="115" spans="1:9" x14ac:dyDescent="0.25">
      <c r="A115" s="2">
        <f>종합Sheet!A115</f>
        <v>112</v>
      </c>
      <c r="B115" s="2" t="str">
        <f>종합Sheet!B115</f>
        <v>김현우</v>
      </c>
      <c r="C115" s="2">
        <f t="shared" si="11"/>
        <v>0</v>
      </c>
      <c r="D115" s="14">
        <f>COUNTIF(경기기록Sheet!$E:$H,B115)</f>
        <v>0</v>
      </c>
      <c r="E115" s="14">
        <f>COUNTIF(경기기록Sheet!$I:$L,B115)</f>
        <v>0</v>
      </c>
      <c r="F115" s="14">
        <f>COUNTIF(경기기록Sheet!$M:$P,B115)</f>
        <v>0</v>
      </c>
      <c r="G115" s="14">
        <f>COUNTIF(경기기록Sheet!$Q:$U,B115)</f>
        <v>0</v>
      </c>
      <c r="H115" s="14">
        <f>COUNTIF(경기기록Sheet!$V:$V,B115)</f>
        <v>0</v>
      </c>
      <c r="I115" s="14">
        <f t="shared" si="12"/>
        <v>0</v>
      </c>
    </row>
    <row r="116" spans="1:9" x14ac:dyDescent="0.25">
      <c r="A116" s="2">
        <f>종합Sheet!A116</f>
        <v>113</v>
      </c>
      <c r="B116" s="2" t="str">
        <f>종합Sheet!B116</f>
        <v>류서진</v>
      </c>
      <c r="C116" s="2">
        <f t="shared" si="11"/>
        <v>0</v>
      </c>
      <c r="D116" s="14">
        <f>COUNTIF(경기기록Sheet!$E:$H,B116)</f>
        <v>0</v>
      </c>
      <c r="E116" s="14">
        <f>COUNTIF(경기기록Sheet!$I:$L,B116)</f>
        <v>0</v>
      </c>
      <c r="F116" s="14">
        <f>COUNTIF(경기기록Sheet!$M:$P,B116)</f>
        <v>0</v>
      </c>
      <c r="G116" s="14">
        <f>COUNTIF(경기기록Sheet!$Q:$U,B116)</f>
        <v>0</v>
      </c>
      <c r="H116" s="14">
        <f>COUNTIF(경기기록Sheet!$V:$V,B116)</f>
        <v>0</v>
      </c>
      <c r="I116" s="14">
        <f t="shared" si="12"/>
        <v>0</v>
      </c>
    </row>
  </sheetData>
  <autoFilter ref="A3:I3" xr:uid="{00000000-0001-0000-0200-000000000000}">
    <sortState xmlns:xlrd2="http://schemas.microsoft.com/office/spreadsheetml/2017/richdata2" ref="A4:I116">
      <sortCondition ref="A3"/>
    </sortState>
  </autoFilter>
  <phoneticPr fontId="2" type="noConversion"/>
  <conditionalFormatting sqref="D4:D116">
    <cfRule type="top10" dxfId="9" priority="771" rank="7"/>
  </conditionalFormatting>
  <conditionalFormatting sqref="E4:E116">
    <cfRule type="top10" dxfId="8" priority="772" rank="7"/>
  </conditionalFormatting>
  <conditionalFormatting sqref="F4:F116">
    <cfRule type="top10" dxfId="7" priority="773" rank="7"/>
  </conditionalFormatting>
  <conditionalFormatting sqref="G4:G116">
    <cfRule type="top10" dxfId="6" priority="774" rank="7"/>
  </conditionalFormatting>
  <conditionalFormatting sqref="H4:H116">
    <cfRule type="top10" dxfId="5" priority="775" rank="3"/>
    <cfRule type="top10" priority="776" rank="5"/>
  </conditionalFormatting>
  <conditionalFormatting sqref="I4:I116">
    <cfRule type="top10" dxfId="4" priority="777" rank="10"/>
  </conditionalFormatting>
  <pageMargins left="0.39347222447395325" right="0.39347222447395325" top="0.19666667282581329" bottom="0.19666667282581329" header="0.19666667282581329" footer="0.19666667282581329"/>
  <pageSetup paperSize="9" scale="9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A18"/>
  <sheetViews>
    <sheetView workbookViewId="0">
      <selection activeCell="M20" sqref="M20"/>
    </sheetView>
  </sheetViews>
  <sheetFormatPr defaultRowHeight="15.6" x14ac:dyDescent="0.25"/>
  <cols>
    <col min="1" max="2" width="8.796875" style="1"/>
    <col min="3" max="3" width="25.3984375" style="1" bestFit="1" customWidth="1"/>
    <col min="4" max="4" width="26.8984375" style="1" bestFit="1" customWidth="1"/>
    <col min="5" max="5" width="8.69921875" style="1" customWidth="1"/>
    <col min="6" max="6" width="4.69921875" style="1" customWidth="1"/>
    <col min="7" max="7" width="8.69921875" style="1" customWidth="1"/>
    <col min="8" max="8" width="4.69921875" style="1" customWidth="1"/>
    <col min="9" max="9" width="8.69921875" style="1" customWidth="1"/>
    <col min="10" max="10" width="4.69921875" style="1" customWidth="1"/>
    <col min="11" max="11" width="8.69921875" style="1" customWidth="1"/>
    <col min="12" max="12" width="4.69921875" style="1" customWidth="1"/>
    <col min="13" max="13" width="8.69921875" style="1" customWidth="1"/>
    <col min="14" max="14" width="4.69921875" style="1" customWidth="1"/>
    <col min="15" max="16" width="8.796875" style="1"/>
    <col min="17" max="17" width="10.5" style="1" bestFit="1" customWidth="1"/>
    <col min="18" max="18" width="11.69921875" style="1" bestFit="1" customWidth="1"/>
    <col min="19" max="27" width="8.796875" style="1"/>
  </cols>
  <sheetData>
    <row r="2" spans="1:18" ht="16.2" thickBot="1" x14ac:dyDescent="0.3"/>
    <row r="3" spans="1:18" x14ac:dyDescent="0.25">
      <c r="A3" s="2"/>
      <c r="B3" s="2" t="s">
        <v>149</v>
      </c>
      <c r="C3" s="2" t="s">
        <v>150</v>
      </c>
      <c r="D3" s="2" t="s">
        <v>156</v>
      </c>
      <c r="E3" s="2" t="s">
        <v>189</v>
      </c>
      <c r="F3" s="2"/>
      <c r="G3" s="2" t="s">
        <v>190</v>
      </c>
      <c r="H3" s="2"/>
      <c r="I3" s="2" t="s">
        <v>191</v>
      </c>
      <c r="J3" s="2"/>
      <c r="K3" s="2" t="s">
        <v>192</v>
      </c>
      <c r="L3" s="2"/>
      <c r="M3" s="2" t="s">
        <v>193</v>
      </c>
      <c r="N3" s="2"/>
      <c r="P3" s="40" t="s">
        <v>284</v>
      </c>
      <c r="Q3" s="41" t="s">
        <v>263</v>
      </c>
      <c r="R3" s="42" t="s">
        <v>283</v>
      </c>
    </row>
    <row r="4" spans="1:18" x14ac:dyDescent="0.25">
      <c r="A4" s="2">
        <v>1</v>
      </c>
      <c r="B4" s="2" t="s">
        <v>155</v>
      </c>
      <c r="C4" s="2" t="s">
        <v>188</v>
      </c>
      <c r="D4" s="2" t="s">
        <v>185</v>
      </c>
      <c r="E4" s="26" t="s">
        <v>107</v>
      </c>
      <c r="F4" s="26">
        <v>42</v>
      </c>
      <c r="G4" s="26" t="s">
        <v>126</v>
      </c>
      <c r="H4" s="26">
        <v>36</v>
      </c>
      <c r="I4" s="29" t="s">
        <v>120</v>
      </c>
      <c r="J4" s="29">
        <v>27</v>
      </c>
      <c r="K4" s="29" t="s">
        <v>111</v>
      </c>
      <c r="L4" s="29">
        <v>27</v>
      </c>
      <c r="M4" s="2" t="s">
        <v>104</v>
      </c>
      <c r="N4" s="2">
        <v>26</v>
      </c>
      <c r="P4" s="43">
        <v>1</v>
      </c>
      <c r="Q4" s="2" t="s">
        <v>265</v>
      </c>
      <c r="R4" s="44" t="s">
        <v>278</v>
      </c>
    </row>
    <row r="5" spans="1:18" x14ac:dyDescent="0.25">
      <c r="A5" s="2">
        <v>2</v>
      </c>
      <c r="B5" s="2" t="s">
        <v>144</v>
      </c>
      <c r="C5" s="2" t="s">
        <v>151</v>
      </c>
      <c r="D5" s="2" t="s">
        <v>195</v>
      </c>
      <c r="E5" s="29" t="s">
        <v>111</v>
      </c>
      <c r="F5" s="29">
        <v>20</v>
      </c>
      <c r="G5" s="2" t="s">
        <v>104</v>
      </c>
      <c r="H5" s="2">
        <v>17</v>
      </c>
      <c r="I5" s="2" t="s">
        <v>123</v>
      </c>
      <c r="J5" s="2">
        <v>13</v>
      </c>
      <c r="K5" s="2" t="s">
        <v>138</v>
      </c>
      <c r="L5" s="2">
        <v>12</v>
      </c>
      <c r="M5" s="2" t="s">
        <v>134</v>
      </c>
      <c r="N5" s="2">
        <v>10</v>
      </c>
      <c r="P5" s="43">
        <v>2</v>
      </c>
      <c r="Q5" s="2" t="s">
        <v>266</v>
      </c>
      <c r="R5" s="44" t="s">
        <v>279</v>
      </c>
    </row>
    <row r="6" spans="1:18" x14ac:dyDescent="0.25">
      <c r="A6" s="2">
        <v>3</v>
      </c>
      <c r="B6" s="2" t="s">
        <v>145</v>
      </c>
      <c r="C6" s="2" t="s">
        <v>152</v>
      </c>
      <c r="D6" s="2" t="s">
        <v>195</v>
      </c>
      <c r="E6" s="29" t="s">
        <v>92</v>
      </c>
      <c r="F6" s="29">
        <v>14</v>
      </c>
      <c r="G6" s="2" t="s">
        <v>102</v>
      </c>
      <c r="H6" s="2">
        <v>11</v>
      </c>
      <c r="I6" s="2" t="s">
        <v>111</v>
      </c>
      <c r="J6" s="2">
        <v>11</v>
      </c>
      <c r="K6" s="2" t="s">
        <v>104</v>
      </c>
      <c r="L6" s="2">
        <v>8</v>
      </c>
      <c r="M6" s="2" t="s">
        <v>138</v>
      </c>
      <c r="N6" s="2">
        <v>8</v>
      </c>
      <c r="P6" s="43">
        <v>3</v>
      </c>
      <c r="Q6" s="2" t="s">
        <v>267</v>
      </c>
      <c r="R6" s="44" t="s">
        <v>277</v>
      </c>
    </row>
    <row r="7" spans="1:18" x14ac:dyDescent="0.25">
      <c r="A7" s="2">
        <v>4</v>
      </c>
      <c r="B7" s="2" t="s">
        <v>147</v>
      </c>
      <c r="C7" s="2" t="s">
        <v>153</v>
      </c>
      <c r="D7" s="2" t="s">
        <v>195</v>
      </c>
      <c r="E7" s="29" t="s">
        <v>109</v>
      </c>
      <c r="F7" s="29">
        <v>24</v>
      </c>
      <c r="G7" s="2" t="s">
        <v>104</v>
      </c>
      <c r="H7" s="2">
        <v>21</v>
      </c>
      <c r="I7" s="2" t="s">
        <v>103</v>
      </c>
      <c r="J7" s="2">
        <v>19</v>
      </c>
      <c r="K7" s="2" t="s">
        <v>138</v>
      </c>
      <c r="L7" s="2">
        <v>19</v>
      </c>
      <c r="M7" s="2" t="s">
        <v>105</v>
      </c>
      <c r="N7" s="2">
        <v>17</v>
      </c>
      <c r="P7" s="43">
        <v>4</v>
      </c>
      <c r="Q7" s="2" t="s">
        <v>268</v>
      </c>
      <c r="R7" s="44" t="s">
        <v>280</v>
      </c>
    </row>
    <row r="8" spans="1:18" x14ac:dyDescent="0.25">
      <c r="A8" s="2">
        <v>5</v>
      </c>
      <c r="B8" s="2" t="s">
        <v>146</v>
      </c>
      <c r="C8" s="2" t="s">
        <v>154</v>
      </c>
      <c r="D8" s="2" t="s">
        <v>196</v>
      </c>
      <c r="E8" s="29" t="s">
        <v>126</v>
      </c>
      <c r="F8" s="29">
        <v>50</v>
      </c>
      <c r="G8" s="29" t="s">
        <v>120</v>
      </c>
      <c r="H8" s="29">
        <v>40</v>
      </c>
      <c r="I8" s="2" t="s">
        <v>117</v>
      </c>
      <c r="J8" s="2">
        <v>34</v>
      </c>
      <c r="K8" s="2" t="s">
        <v>106</v>
      </c>
      <c r="L8" s="2">
        <v>25</v>
      </c>
      <c r="M8" s="2" t="s">
        <v>137</v>
      </c>
      <c r="N8" s="2">
        <v>24</v>
      </c>
      <c r="P8" s="43">
        <v>5</v>
      </c>
      <c r="Q8" s="2" t="s">
        <v>264</v>
      </c>
      <c r="R8" s="44" t="s">
        <v>280</v>
      </c>
    </row>
    <row r="9" spans="1:18" x14ac:dyDescent="0.25">
      <c r="A9" s="2">
        <v>6</v>
      </c>
      <c r="B9" s="2" t="s">
        <v>148</v>
      </c>
      <c r="C9" s="2" t="s">
        <v>154</v>
      </c>
      <c r="D9" s="2" t="s">
        <v>195</v>
      </c>
      <c r="E9" s="29" t="s">
        <v>110</v>
      </c>
      <c r="F9" s="29">
        <v>34</v>
      </c>
      <c r="G9" s="2" t="s">
        <v>165</v>
      </c>
      <c r="H9" s="2">
        <v>15</v>
      </c>
      <c r="I9" s="2" t="s">
        <v>194</v>
      </c>
      <c r="J9" s="2">
        <v>8</v>
      </c>
      <c r="K9" s="2"/>
      <c r="L9" s="2"/>
      <c r="M9" s="2"/>
      <c r="N9" s="2"/>
      <c r="P9" s="43">
        <v>6</v>
      </c>
      <c r="Q9" s="2" t="s">
        <v>269</v>
      </c>
      <c r="R9" s="44" t="s">
        <v>281</v>
      </c>
    </row>
    <row r="10" spans="1:18" x14ac:dyDescent="0.25">
      <c r="A10" s="85">
        <v>7</v>
      </c>
      <c r="B10" s="85" t="s">
        <v>160</v>
      </c>
      <c r="C10" s="85" t="s">
        <v>161</v>
      </c>
      <c r="D10" s="85" t="s">
        <v>197</v>
      </c>
      <c r="E10" s="26" t="s">
        <v>126</v>
      </c>
      <c r="F10" s="26">
        <v>47.7</v>
      </c>
      <c r="G10" s="26" t="s">
        <v>107</v>
      </c>
      <c r="H10" s="26">
        <v>45.2</v>
      </c>
      <c r="I10" s="29" t="s">
        <v>104</v>
      </c>
      <c r="J10" s="29">
        <v>38.299999999999997</v>
      </c>
      <c r="K10" s="26" t="s">
        <v>120</v>
      </c>
      <c r="L10" s="26">
        <v>36.4</v>
      </c>
      <c r="M10" s="29" t="s">
        <v>102</v>
      </c>
      <c r="N10" s="29">
        <v>34.200000000000003</v>
      </c>
      <c r="P10" s="43">
        <v>7</v>
      </c>
      <c r="Q10" s="2" t="s">
        <v>270</v>
      </c>
      <c r="R10" s="44"/>
    </row>
    <row r="11" spans="1:18" x14ac:dyDescent="0.25">
      <c r="A11" s="86"/>
      <c r="B11" s="86"/>
      <c r="C11" s="86"/>
      <c r="D11" s="86"/>
      <c r="E11" s="26" t="s">
        <v>111</v>
      </c>
      <c r="F11" s="26">
        <v>34.200000000000003</v>
      </c>
      <c r="G11" s="29" t="s">
        <v>138</v>
      </c>
      <c r="H11" s="29">
        <v>33.5</v>
      </c>
      <c r="I11" s="29" t="s">
        <v>103</v>
      </c>
      <c r="J11" s="29">
        <v>33.299999999999997</v>
      </c>
      <c r="K11" s="26" t="s">
        <v>110</v>
      </c>
      <c r="L11" s="26">
        <v>32.6</v>
      </c>
      <c r="M11" s="29" t="s">
        <v>117</v>
      </c>
      <c r="N11" s="29">
        <v>31.6</v>
      </c>
      <c r="P11" s="43">
        <v>8</v>
      </c>
      <c r="Q11" s="2" t="s">
        <v>271</v>
      </c>
      <c r="R11" s="44"/>
    </row>
    <row r="12" spans="1:18" x14ac:dyDescent="0.25">
      <c r="A12" s="2">
        <v>8</v>
      </c>
      <c r="B12" s="2" t="s">
        <v>157</v>
      </c>
      <c r="C12" s="2" t="s">
        <v>163</v>
      </c>
      <c r="D12" s="2" t="s">
        <v>164</v>
      </c>
      <c r="E12" s="26" t="s">
        <v>111</v>
      </c>
      <c r="F12" s="26">
        <v>27</v>
      </c>
      <c r="G12" s="26" t="s">
        <v>120</v>
      </c>
      <c r="H12" s="26">
        <v>27</v>
      </c>
      <c r="I12" s="29" t="s">
        <v>115</v>
      </c>
      <c r="J12" s="29">
        <v>24</v>
      </c>
      <c r="K12" s="2" t="s">
        <v>139</v>
      </c>
      <c r="L12" s="2">
        <v>23</v>
      </c>
      <c r="M12" s="2" t="s">
        <v>134</v>
      </c>
      <c r="N12" s="2">
        <v>23</v>
      </c>
      <c r="P12" s="43">
        <v>9</v>
      </c>
      <c r="Q12" s="2" t="s">
        <v>272</v>
      </c>
      <c r="R12" s="44"/>
    </row>
    <row r="13" spans="1:18" x14ac:dyDescent="0.25">
      <c r="A13" s="2">
        <v>9</v>
      </c>
      <c r="B13" s="2" t="s">
        <v>158</v>
      </c>
      <c r="C13" s="2" t="s">
        <v>162</v>
      </c>
      <c r="D13" s="2" t="s">
        <v>164</v>
      </c>
      <c r="E13" s="26" t="s">
        <v>111</v>
      </c>
      <c r="F13" s="26">
        <v>27</v>
      </c>
      <c r="G13" s="26" t="s">
        <v>120</v>
      </c>
      <c r="H13" s="26">
        <v>27</v>
      </c>
      <c r="I13" s="26" t="s">
        <v>115</v>
      </c>
      <c r="J13" s="26">
        <v>24</v>
      </c>
      <c r="K13" s="26" t="s">
        <v>93</v>
      </c>
      <c r="L13" s="26">
        <v>22</v>
      </c>
      <c r="M13" s="29" t="s">
        <v>108</v>
      </c>
      <c r="N13" s="29">
        <v>21</v>
      </c>
      <c r="P13" s="43">
        <v>10</v>
      </c>
      <c r="Q13" s="2" t="s">
        <v>254</v>
      </c>
      <c r="R13" s="44"/>
    </row>
    <row r="14" spans="1:18" x14ac:dyDescent="0.25">
      <c r="A14" s="2">
        <v>10</v>
      </c>
      <c r="B14" s="2" t="s">
        <v>159</v>
      </c>
      <c r="C14" s="2" t="s">
        <v>180</v>
      </c>
      <c r="D14" s="2" t="s">
        <v>164</v>
      </c>
      <c r="E14" s="29" t="s">
        <v>139</v>
      </c>
      <c r="F14" s="29">
        <v>23</v>
      </c>
      <c r="G14" s="29" t="s">
        <v>134</v>
      </c>
      <c r="H14" s="29">
        <v>23</v>
      </c>
      <c r="I14" s="26" t="s">
        <v>138</v>
      </c>
      <c r="J14" s="26">
        <v>22</v>
      </c>
      <c r="K14" s="2" t="s">
        <v>128</v>
      </c>
      <c r="L14" s="2">
        <v>20</v>
      </c>
      <c r="M14" s="2" t="s">
        <v>137</v>
      </c>
      <c r="N14" s="2">
        <v>19</v>
      </c>
      <c r="P14" s="43">
        <v>11</v>
      </c>
      <c r="Q14" s="2" t="s">
        <v>273</v>
      </c>
      <c r="R14" s="44"/>
    </row>
    <row r="15" spans="1:18" x14ac:dyDescent="0.25">
      <c r="A15" s="2">
        <v>11</v>
      </c>
      <c r="B15" s="2" t="s">
        <v>181</v>
      </c>
      <c r="C15" s="2" t="s">
        <v>182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P15" s="43">
        <v>12</v>
      </c>
      <c r="Q15" s="2" t="s">
        <v>274</v>
      </c>
      <c r="R15" s="44" t="s">
        <v>282</v>
      </c>
    </row>
    <row r="16" spans="1:18" x14ac:dyDescent="0.25">
      <c r="P16" s="43">
        <v>13</v>
      </c>
      <c r="Q16" s="2" t="s">
        <v>275</v>
      </c>
      <c r="R16" s="44" t="s">
        <v>282</v>
      </c>
    </row>
    <row r="17" spans="1:18" x14ac:dyDescent="0.25">
      <c r="A17" s="30" t="s">
        <v>198</v>
      </c>
      <c r="P17" s="43">
        <v>14</v>
      </c>
      <c r="Q17" s="2" t="s">
        <v>253</v>
      </c>
      <c r="R17" s="44" t="s">
        <v>282</v>
      </c>
    </row>
    <row r="18" spans="1:18" ht="16.2" thickBot="1" x14ac:dyDescent="0.3">
      <c r="A18" s="30" t="s">
        <v>199</v>
      </c>
      <c r="P18" s="45">
        <v>15</v>
      </c>
      <c r="Q18" s="46" t="s">
        <v>276</v>
      </c>
      <c r="R18" s="47" t="s">
        <v>282</v>
      </c>
    </row>
  </sheetData>
  <mergeCells count="4">
    <mergeCell ref="A10:A11"/>
    <mergeCell ref="B10:B11"/>
    <mergeCell ref="C10:C11"/>
    <mergeCell ref="D10:D1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A1E7-878E-4BD1-AA56-2AF3E69AA6A2}">
  <dimension ref="A2:V19"/>
  <sheetViews>
    <sheetView showGridLines="0" topLeftCell="D1" workbookViewId="0">
      <selection activeCell="S20" sqref="S20"/>
    </sheetView>
  </sheetViews>
  <sheetFormatPr defaultRowHeight="15.6" x14ac:dyDescent="0.25"/>
  <cols>
    <col min="1" max="1" width="12.5" style="1" bestFit="1" customWidth="1"/>
    <col min="2" max="3" width="8.796875" style="1"/>
    <col min="4" max="4" width="10.09765625" style="1" bestFit="1" customWidth="1"/>
    <col min="5" max="5" width="3.19921875" style="38" bestFit="1" customWidth="1"/>
    <col min="6" max="6" width="8.796875" style="1"/>
    <col min="7" max="8" width="10.69921875" style="1" customWidth="1"/>
    <col min="9" max="9" width="8.796875" style="38"/>
    <col min="10" max="10" width="10.09765625" style="1" bestFit="1" customWidth="1"/>
    <col min="11" max="11" width="3.19921875" style="38" bestFit="1" customWidth="1"/>
    <col min="12" max="12" width="8.796875" style="1"/>
    <col min="13" max="13" width="8.796875" style="38"/>
    <col min="14" max="15" width="8.796875" style="1"/>
    <col min="16" max="16" width="10.09765625" style="1" bestFit="1" customWidth="1"/>
    <col min="17" max="17" width="3.19921875" style="38" bestFit="1" customWidth="1"/>
    <col min="18" max="18" width="8.796875" style="1"/>
    <col min="19" max="19" width="8.796875" style="38"/>
    <col min="20" max="20" width="8.796875" style="1"/>
    <col min="21" max="22" width="8.796875" style="38"/>
  </cols>
  <sheetData>
    <row r="2" spans="1:22" x14ac:dyDescent="0.25">
      <c r="D2" s="95" t="s">
        <v>189</v>
      </c>
      <c r="E2" s="95"/>
      <c r="F2" s="95"/>
      <c r="G2" s="95"/>
      <c r="H2" s="95"/>
      <c r="J2" s="87" t="s">
        <v>190</v>
      </c>
      <c r="K2" s="87"/>
      <c r="L2" s="87"/>
      <c r="M2" s="87"/>
      <c r="N2" s="87"/>
      <c r="P2" s="87" t="s">
        <v>191</v>
      </c>
      <c r="Q2" s="87"/>
      <c r="R2" s="87"/>
      <c r="S2" s="87"/>
      <c r="T2" s="87"/>
      <c r="U2" s="87"/>
      <c r="V2" s="87"/>
    </row>
    <row r="3" spans="1:22" x14ac:dyDescent="0.25">
      <c r="A3" s="1" t="s">
        <v>259</v>
      </c>
      <c r="B3" s="1" t="s">
        <v>233</v>
      </c>
      <c r="D3" s="95" t="s">
        <v>259</v>
      </c>
      <c r="E3" s="95"/>
      <c r="F3" s="48" t="s">
        <v>233</v>
      </c>
      <c r="G3" s="48" t="s">
        <v>286</v>
      </c>
      <c r="H3" s="48"/>
      <c r="J3" s="87" t="s">
        <v>259</v>
      </c>
      <c r="K3" s="87"/>
      <c r="L3" s="51" t="s">
        <v>233</v>
      </c>
      <c r="M3" s="51" t="s">
        <v>287</v>
      </c>
      <c r="N3" s="51" t="s">
        <v>288</v>
      </c>
      <c r="P3" s="87" t="s">
        <v>259</v>
      </c>
      <c r="Q3" s="87"/>
      <c r="R3" s="51" t="s">
        <v>233</v>
      </c>
      <c r="S3" s="51" t="s">
        <v>287</v>
      </c>
      <c r="T3" s="51" t="s">
        <v>288</v>
      </c>
      <c r="U3" s="51" t="s">
        <v>288</v>
      </c>
      <c r="V3" s="51" t="s">
        <v>288</v>
      </c>
    </row>
    <row r="4" spans="1:22" ht="15.6" customHeight="1" x14ac:dyDescent="0.25">
      <c r="A4" s="1" t="s">
        <v>155</v>
      </c>
      <c r="B4" s="1" t="s">
        <v>134</v>
      </c>
      <c r="D4" s="88" t="s">
        <v>256</v>
      </c>
      <c r="E4" s="49">
        <v>1</v>
      </c>
      <c r="F4" s="48" t="s">
        <v>289</v>
      </c>
      <c r="G4" s="48"/>
      <c r="H4" s="48"/>
      <c r="J4" s="91" t="s">
        <v>261</v>
      </c>
      <c r="K4" s="52">
        <v>1</v>
      </c>
      <c r="L4" s="51" t="s">
        <v>52</v>
      </c>
      <c r="M4" s="52">
        <v>39</v>
      </c>
      <c r="N4" s="51" t="str">
        <f>IF(1=COUNTIF($F$5:$F$15,L4),"수상","미수상")</f>
        <v>미수상</v>
      </c>
      <c r="P4" s="94" t="s">
        <v>262</v>
      </c>
      <c r="Q4" s="52">
        <v>1</v>
      </c>
      <c r="R4" s="51" t="s">
        <v>227</v>
      </c>
      <c r="S4" s="52">
        <v>30</v>
      </c>
      <c r="T4" s="51" t="str">
        <f>IF(1=COUNTIF($F$4:$F$14,R4),"수상","미수상")</f>
        <v>수상</v>
      </c>
      <c r="U4" s="51" t="str">
        <f>IF(1=COUNTIF($L$4:$L$14,R4),"수상","미수상")</f>
        <v>수상</v>
      </c>
      <c r="V4" s="51"/>
    </row>
    <row r="5" spans="1:22" x14ac:dyDescent="0.25">
      <c r="A5" s="1" t="s">
        <v>260</v>
      </c>
      <c r="B5" s="1" t="s">
        <v>99</v>
      </c>
      <c r="D5" s="89"/>
      <c r="E5" s="49">
        <v>2</v>
      </c>
      <c r="F5" s="50" t="s">
        <v>290</v>
      </c>
      <c r="G5" s="48" t="s">
        <v>155</v>
      </c>
      <c r="H5" s="48" t="s">
        <v>257</v>
      </c>
      <c r="J5" s="92"/>
      <c r="K5" s="52">
        <v>2</v>
      </c>
      <c r="L5" s="51" t="s">
        <v>227</v>
      </c>
      <c r="M5" s="52">
        <v>30</v>
      </c>
      <c r="N5" s="51" t="str">
        <f t="shared" ref="N5:N19" si="0">IF(1=COUNTIF($F$5:$F$15,L5),"수상","미수상")</f>
        <v>수상</v>
      </c>
      <c r="P5" s="94"/>
      <c r="Q5" s="52">
        <v>2</v>
      </c>
      <c r="R5" s="51" t="s">
        <v>235</v>
      </c>
      <c r="S5" s="52">
        <v>26</v>
      </c>
      <c r="T5" s="51" t="str">
        <f t="shared" ref="T5:T16" si="1">IF(1=COUNTIF($F$4:$F$14,R5),"수상","미수상")</f>
        <v>미수상</v>
      </c>
      <c r="U5" s="51" t="str">
        <f t="shared" ref="U5:U16" si="2">IF(1=COUNTIF($L$4:$L$14,R5),"수상","미수상")</f>
        <v>수상</v>
      </c>
      <c r="V5" s="51"/>
    </row>
    <row r="6" spans="1:22" x14ac:dyDescent="0.25">
      <c r="A6" s="1" t="s">
        <v>255</v>
      </c>
      <c r="B6" s="1" t="s">
        <v>138</v>
      </c>
      <c r="D6" s="89"/>
      <c r="E6" s="49">
        <v>3</v>
      </c>
      <c r="F6" s="50" t="s">
        <v>291</v>
      </c>
      <c r="G6" s="48" t="s">
        <v>258</v>
      </c>
      <c r="H6" s="48"/>
      <c r="J6" s="92"/>
      <c r="K6" s="52">
        <v>3</v>
      </c>
      <c r="L6" s="51" t="s">
        <v>231</v>
      </c>
      <c r="M6" s="52">
        <v>30</v>
      </c>
      <c r="N6" s="51" t="str">
        <f t="shared" si="0"/>
        <v>수상</v>
      </c>
      <c r="P6" s="94"/>
      <c r="Q6" s="52">
        <v>3</v>
      </c>
      <c r="R6" s="51" t="s">
        <v>252</v>
      </c>
      <c r="S6" s="52">
        <v>25</v>
      </c>
      <c r="T6" s="51" t="str">
        <f t="shared" si="1"/>
        <v>미수상</v>
      </c>
      <c r="U6" s="51" t="str">
        <f t="shared" si="2"/>
        <v>수상</v>
      </c>
      <c r="V6" s="51"/>
    </row>
    <row r="7" spans="1:22" x14ac:dyDescent="0.25">
      <c r="A7" s="1" t="s">
        <v>242</v>
      </c>
      <c r="B7" s="39" t="s">
        <v>138</v>
      </c>
      <c r="D7" s="89"/>
      <c r="E7" s="49">
        <v>4</v>
      </c>
      <c r="F7" s="50" t="s">
        <v>292</v>
      </c>
      <c r="G7" s="48" t="s">
        <v>258</v>
      </c>
      <c r="H7" s="48"/>
      <c r="J7" s="92"/>
      <c r="K7" s="52">
        <v>4</v>
      </c>
      <c r="L7" s="51" t="s">
        <v>44</v>
      </c>
      <c r="M7" s="52">
        <v>29</v>
      </c>
      <c r="N7" s="51" t="str">
        <f t="shared" si="0"/>
        <v>수상</v>
      </c>
      <c r="P7" s="94"/>
      <c r="Q7" s="52">
        <v>4</v>
      </c>
      <c r="R7" s="51" t="s">
        <v>238</v>
      </c>
      <c r="S7" s="52">
        <v>25</v>
      </c>
      <c r="T7" s="51" t="str">
        <f t="shared" si="1"/>
        <v>미수상</v>
      </c>
      <c r="U7" s="51" t="str">
        <f t="shared" si="2"/>
        <v>수상</v>
      </c>
      <c r="V7" s="51"/>
    </row>
    <row r="8" spans="1:22" x14ac:dyDescent="0.25">
      <c r="A8" s="1" t="s">
        <v>257</v>
      </c>
      <c r="B8" s="1" t="s">
        <v>99</v>
      </c>
      <c r="D8" s="89"/>
      <c r="E8" s="49">
        <v>5</v>
      </c>
      <c r="F8" s="50" t="s">
        <v>293</v>
      </c>
      <c r="G8" s="48"/>
      <c r="H8" s="48"/>
      <c r="J8" s="92"/>
      <c r="K8" s="52">
        <v>5</v>
      </c>
      <c r="L8" s="51" t="s">
        <v>57</v>
      </c>
      <c r="M8" s="52">
        <v>28</v>
      </c>
      <c r="N8" s="51" t="str">
        <f t="shared" si="0"/>
        <v>수상</v>
      </c>
      <c r="P8" s="94"/>
      <c r="Q8" s="52">
        <v>5</v>
      </c>
      <c r="R8" s="51" t="s">
        <v>228</v>
      </c>
      <c r="S8" s="52">
        <v>22</v>
      </c>
      <c r="T8" s="51" t="str">
        <f t="shared" si="1"/>
        <v>수상</v>
      </c>
      <c r="U8" s="51" t="str">
        <f t="shared" si="2"/>
        <v>미수상</v>
      </c>
      <c r="V8" s="51"/>
    </row>
    <row r="9" spans="1:22" x14ac:dyDescent="0.25">
      <c r="A9" s="1" t="s">
        <v>258</v>
      </c>
      <c r="B9" s="1" t="s">
        <v>120</v>
      </c>
      <c r="D9" s="89"/>
      <c r="E9" s="49">
        <v>6</v>
      </c>
      <c r="F9" s="50" t="s">
        <v>294</v>
      </c>
      <c r="G9" s="48"/>
      <c r="H9" s="48"/>
      <c r="J9" s="92"/>
      <c r="K9" s="52">
        <v>6</v>
      </c>
      <c r="L9" s="51" t="s">
        <v>230</v>
      </c>
      <c r="M9" s="52">
        <v>27</v>
      </c>
      <c r="N9" s="51" t="str">
        <f t="shared" si="0"/>
        <v>수상</v>
      </c>
      <c r="P9" s="94"/>
      <c r="Q9" s="52">
        <v>6</v>
      </c>
      <c r="R9" s="51" t="s">
        <v>297</v>
      </c>
      <c r="S9" s="52">
        <v>19</v>
      </c>
      <c r="T9" s="51" t="str">
        <f t="shared" si="1"/>
        <v>수상</v>
      </c>
      <c r="U9" s="51" t="str">
        <f t="shared" si="2"/>
        <v>미수상</v>
      </c>
      <c r="V9" s="51"/>
    </row>
    <row r="10" spans="1:22" x14ac:dyDescent="0.25">
      <c r="A10" s="1" t="s">
        <v>258</v>
      </c>
      <c r="B10" s="1" t="s">
        <v>110</v>
      </c>
      <c r="D10" s="89"/>
      <c r="E10" s="49">
        <v>7</v>
      </c>
      <c r="F10" s="50" t="s">
        <v>295</v>
      </c>
      <c r="G10" s="48" t="s">
        <v>155</v>
      </c>
      <c r="H10" s="48"/>
      <c r="J10" s="92"/>
      <c r="K10" s="52">
        <v>7</v>
      </c>
      <c r="L10" s="51" t="s">
        <v>239</v>
      </c>
      <c r="M10" s="52">
        <v>27</v>
      </c>
      <c r="N10" s="51" t="str">
        <f t="shared" si="0"/>
        <v>수상</v>
      </c>
      <c r="P10" s="94"/>
      <c r="Q10" s="52">
        <v>7</v>
      </c>
      <c r="R10" s="53" t="s">
        <v>304</v>
      </c>
      <c r="S10" s="52">
        <v>19</v>
      </c>
      <c r="T10" s="51" t="str">
        <f t="shared" si="1"/>
        <v>미수상</v>
      </c>
      <c r="U10" s="51" t="str">
        <f t="shared" si="2"/>
        <v>미수상</v>
      </c>
      <c r="V10" s="51"/>
    </row>
    <row r="11" spans="1:22" x14ac:dyDescent="0.25">
      <c r="D11" s="89"/>
      <c r="E11" s="49">
        <v>8</v>
      </c>
      <c r="F11" s="50" t="s">
        <v>296</v>
      </c>
      <c r="G11" s="48"/>
      <c r="H11" s="48"/>
      <c r="J11" s="92"/>
      <c r="K11" s="52">
        <v>8</v>
      </c>
      <c r="L11" s="51" t="s">
        <v>55</v>
      </c>
      <c r="M11" s="52">
        <v>26</v>
      </c>
      <c r="N11" s="51" t="str">
        <f t="shared" si="0"/>
        <v>수상</v>
      </c>
      <c r="P11" s="94"/>
      <c r="Q11" s="52">
        <v>8</v>
      </c>
      <c r="R11" s="53" t="s">
        <v>236</v>
      </c>
      <c r="S11" s="52">
        <v>19</v>
      </c>
      <c r="T11" s="51" t="str">
        <f t="shared" si="1"/>
        <v>미수상</v>
      </c>
      <c r="U11" s="51" t="str">
        <f t="shared" si="2"/>
        <v>미수상</v>
      </c>
      <c r="V11" s="51"/>
    </row>
    <row r="12" spans="1:22" x14ac:dyDescent="0.25">
      <c r="D12" s="89"/>
      <c r="E12" s="49">
        <v>9</v>
      </c>
      <c r="F12" s="50" t="s">
        <v>297</v>
      </c>
      <c r="G12" s="48" t="s">
        <v>255</v>
      </c>
      <c r="H12" s="48" t="s">
        <v>242</v>
      </c>
      <c r="J12" s="92"/>
      <c r="K12" s="52">
        <v>9</v>
      </c>
      <c r="L12" s="51" t="s">
        <v>235</v>
      </c>
      <c r="M12" s="52">
        <v>26</v>
      </c>
      <c r="N12" s="51" t="str">
        <f t="shared" si="0"/>
        <v>수상</v>
      </c>
      <c r="P12" s="94"/>
      <c r="Q12" s="52">
        <v>9</v>
      </c>
      <c r="R12" s="53" t="s">
        <v>217</v>
      </c>
      <c r="S12" s="52">
        <v>17</v>
      </c>
      <c r="T12" s="51" t="str">
        <f t="shared" si="1"/>
        <v>미수상</v>
      </c>
      <c r="U12" s="51" t="str">
        <f t="shared" si="2"/>
        <v>미수상</v>
      </c>
      <c r="V12" s="51"/>
    </row>
    <row r="13" spans="1:22" x14ac:dyDescent="0.25">
      <c r="D13" s="89"/>
      <c r="E13" s="49">
        <v>10</v>
      </c>
      <c r="F13" s="50" t="s">
        <v>298</v>
      </c>
      <c r="G13" s="48"/>
      <c r="H13" s="48"/>
      <c r="J13" s="92"/>
      <c r="K13" s="52">
        <v>10</v>
      </c>
      <c r="L13" s="53" t="s">
        <v>252</v>
      </c>
      <c r="M13" s="52">
        <v>25</v>
      </c>
      <c r="N13" s="51" t="str">
        <f t="shared" si="0"/>
        <v>미수상</v>
      </c>
      <c r="P13" s="94"/>
      <c r="Q13" s="52">
        <v>10</v>
      </c>
      <c r="R13" s="53" t="s">
        <v>237</v>
      </c>
      <c r="S13" s="52">
        <v>17</v>
      </c>
      <c r="T13" s="51" t="str">
        <f t="shared" si="1"/>
        <v>미수상</v>
      </c>
      <c r="U13" s="51" t="str">
        <f t="shared" si="2"/>
        <v>미수상</v>
      </c>
      <c r="V13" s="51"/>
    </row>
    <row r="14" spans="1:22" x14ac:dyDescent="0.25">
      <c r="D14" s="89"/>
      <c r="E14" s="49">
        <v>11</v>
      </c>
      <c r="F14" s="50" t="s">
        <v>299</v>
      </c>
      <c r="G14" s="48"/>
      <c r="H14" s="48"/>
      <c r="J14" s="92"/>
      <c r="K14" s="52">
        <v>11</v>
      </c>
      <c r="L14" s="53" t="s">
        <v>238</v>
      </c>
      <c r="M14" s="52">
        <v>25</v>
      </c>
      <c r="N14" s="51" t="str">
        <f t="shared" si="0"/>
        <v>미수상</v>
      </c>
      <c r="P14" s="94"/>
      <c r="Q14" s="52">
        <v>11</v>
      </c>
      <c r="R14" s="51" t="s">
        <v>234</v>
      </c>
      <c r="S14" s="52">
        <v>16</v>
      </c>
      <c r="T14" s="51" t="str">
        <f t="shared" si="1"/>
        <v>미수상</v>
      </c>
      <c r="U14" s="51" t="str">
        <f t="shared" si="2"/>
        <v>미수상</v>
      </c>
      <c r="V14" s="51"/>
    </row>
    <row r="15" spans="1:22" x14ac:dyDescent="0.25">
      <c r="D15" s="89"/>
      <c r="E15" s="49">
        <v>12</v>
      </c>
      <c r="F15" s="50" t="s">
        <v>300</v>
      </c>
      <c r="G15" s="48"/>
      <c r="H15" s="48"/>
      <c r="J15" s="92"/>
      <c r="K15" s="52">
        <v>12</v>
      </c>
      <c r="L15" s="53" t="s">
        <v>64</v>
      </c>
      <c r="M15" s="52">
        <v>25</v>
      </c>
      <c r="N15" s="51" t="str">
        <f t="shared" si="0"/>
        <v>미수상</v>
      </c>
      <c r="P15" s="94"/>
      <c r="Q15" s="52">
        <v>12</v>
      </c>
      <c r="R15" s="51" t="s">
        <v>285</v>
      </c>
      <c r="S15" s="52">
        <v>14</v>
      </c>
      <c r="T15" s="51" t="str">
        <f t="shared" si="1"/>
        <v>미수상</v>
      </c>
      <c r="U15" s="51" t="str">
        <f t="shared" si="2"/>
        <v>미수상</v>
      </c>
      <c r="V15" s="51"/>
    </row>
    <row r="16" spans="1:22" x14ac:dyDescent="0.25">
      <c r="D16" s="89"/>
      <c r="E16" s="49">
        <v>13</v>
      </c>
      <c r="F16" s="48" t="s">
        <v>301</v>
      </c>
      <c r="G16" s="48"/>
      <c r="H16" s="48"/>
      <c r="J16" s="92"/>
      <c r="K16" s="52">
        <v>13</v>
      </c>
      <c r="L16" s="51" t="s">
        <v>41</v>
      </c>
      <c r="M16" s="52">
        <v>24</v>
      </c>
      <c r="N16" s="51" t="str">
        <f t="shared" si="0"/>
        <v>수상</v>
      </c>
      <c r="P16" s="94"/>
      <c r="Q16" s="52">
        <v>13</v>
      </c>
      <c r="R16" s="51" t="s">
        <v>305</v>
      </c>
      <c r="S16" s="52">
        <v>13</v>
      </c>
      <c r="T16" s="51" t="str">
        <f t="shared" si="1"/>
        <v>미수상</v>
      </c>
      <c r="U16" s="51" t="str">
        <f t="shared" si="2"/>
        <v>미수상</v>
      </c>
      <c r="V16" s="51"/>
    </row>
    <row r="17" spans="4:14" x14ac:dyDescent="0.25">
      <c r="D17" s="89"/>
      <c r="E17" s="49">
        <v>14</v>
      </c>
      <c r="F17" s="48" t="s">
        <v>302</v>
      </c>
      <c r="G17" s="48"/>
      <c r="H17" s="48"/>
      <c r="J17" s="92"/>
      <c r="K17" s="52">
        <v>14</v>
      </c>
      <c r="L17" s="53" t="s">
        <v>66</v>
      </c>
      <c r="M17" s="52">
        <v>24</v>
      </c>
      <c r="N17" s="51" t="str">
        <f t="shared" si="0"/>
        <v>미수상</v>
      </c>
    </row>
    <row r="18" spans="4:14" x14ac:dyDescent="0.25">
      <c r="D18" s="90"/>
      <c r="E18" s="49">
        <v>15</v>
      </c>
      <c r="F18" s="48" t="s">
        <v>303</v>
      </c>
      <c r="G18" s="48"/>
      <c r="H18" s="48"/>
      <c r="J18" s="92"/>
      <c r="K18" s="52">
        <v>15</v>
      </c>
      <c r="L18" s="53" t="s">
        <v>34</v>
      </c>
      <c r="M18" s="52">
        <v>24</v>
      </c>
      <c r="N18" s="51" t="str">
        <f t="shared" si="0"/>
        <v>미수상</v>
      </c>
    </row>
    <row r="19" spans="4:14" x14ac:dyDescent="0.25">
      <c r="J19" s="93"/>
      <c r="K19" s="52">
        <v>16</v>
      </c>
      <c r="L19" s="51"/>
      <c r="M19" s="52"/>
      <c r="N19" s="51" t="str">
        <f t="shared" si="0"/>
        <v>미수상</v>
      </c>
    </row>
  </sheetData>
  <mergeCells count="9">
    <mergeCell ref="P3:Q3"/>
    <mergeCell ref="D4:D18"/>
    <mergeCell ref="J4:J19"/>
    <mergeCell ref="P4:P16"/>
    <mergeCell ref="D2:H2"/>
    <mergeCell ref="J2:N2"/>
    <mergeCell ref="J3:K3"/>
    <mergeCell ref="D3:E3"/>
    <mergeCell ref="P2:V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8DBD-49BC-431D-8A71-74E2FC7A3D82}">
  <dimension ref="A2:U30"/>
  <sheetViews>
    <sheetView showGridLines="0" workbookViewId="0">
      <selection activeCell="N16" sqref="N16"/>
    </sheetView>
  </sheetViews>
  <sheetFormatPr defaultRowHeight="15.6" x14ac:dyDescent="0.25"/>
  <cols>
    <col min="1" max="1" width="8.796875" style="1"/>
    <col min="2" max="2" width="10.09765625" style="1" bestFit="1" customWidth="1"/>
    <col min="3" max="3" width="3.19921875" style="38" bestFit="1" customWidth="1"/>
    <col min="4" max="4" width="8.796875" style="1"/>
    <col min="5" max="7" width="10.69921875" style="1" customWidth="1"/>
    <col min="8" max="8" width="8.796875" style="38"/>
    <col min="9" max="9" width="10.09765625" style="54" bestFit="1" customWidth="1"/>
    <col min="10" max="10" width="3.19921875" style="69" bestFit="1" customWidth="1"/>
    <col min="11" max="11" width="8.796875" style="54"/>
    <col min="12" max="12" width="10.69921875" style="54" customWidth="1"/>
    <col min="14" max="14" width="10.09765625" style="1" bestFit="1" customWidth="1"/>
    <col min="15" max="15" width="3.19921875" style="38" bestFit="1" customWidth="1"/>
    <col min="16" max="16" width="8.796875" style="1"/>
    <col min="17" max="19" width="10.69921875" style="1" customWidth="1"/>
  </cols>
  <sheetData>
    <row r="2" spans="2:19" x14ac:dyDescent="0.25">
      <c r="B2" s="95" t="s">
        <v>259</v>
      </c>
      <c r="C2" s="95"/>
      <c r="D2" s="48" t="s">
        <v>287</v>
      </c>
      <c r="E2" s="48" t="s">
        <v>393</v>
      </c>
      <c r="F2" s="48" t="s">
        <v>392</v>
      </c>
      <c r="G2" s="48" t="s">
        <v>393</v>
      </c>
      <c r="I2" s="97" t="s">
        <v>259</v>
      </c>
      <c r="J2" s="97"/>
      <c r="K2" s="67" t="s">
        <v>287</v>
      </c>
      <c r="L2" s="67" t="s">
        <v>393</v>
      </c>
      <c r="N2" s="95" t="s">
        <v>259</v>
      </c>
      <c r="O2" s="95"/>
      <c r="P2" s="48" t="s">
        <v>287</v>
      </c>
      <c r="Q2" s="48" t="s">
        <v>393</v>
      </c>
      <c r="R2" s="48" t="s">
        <v>392</v>
      </c>
      <c r="S2" s="48" t="s">
        <v>393</v>
      </c>
    </row>
    <row r="3" spans="2:19" x14ac:dyDescent="0.25">
      <c r="B3" s="96" t="s">
        <v>399</v>
      </c>
      <c r="C3" s="74">
        <v>1</v>
      </c>
      <c r="D3" s="72" t="s">
        <v>312</v>
      </c>
      <c r="E3" s="72">
        <f>VLOOKUP(D3,종합Sheet!$B$3:$I$116,8,0)</f>
        <v>35</v>
      </c>
      <c r="F3" s="72" t="s">
        <v>312</v>
      </c>
      <c r="G3" s="63">
        <f>VLOOKUP(F3,종합Sheet!$B$3:$I$116,7,0)</f>
        <v>43.2</v>
      </c>
      <c r="I3" s="98" t="s">
        <v>394</v>
      </c>
      <c r="J3" s="70">
        <v>1</v>
      </c>
      <c r="K3" s="71" t="s">
        <v>316</v>
      </c>
      <c r="L3" s="71">
        <v>16</v>
      </c>
      <c r="N3" s="88" t="s">
        <v>262</v>
      </c>
      <c r="O3" s="49">
        <v>1</v>
      </c>
      <c r="P3" s="64" t="s">
        <v>312</v>
      </c>
      <c r="Q3" s="64">
        <f>VLOOKUP(P3,종합Sheet!$B$3:$I$116,8,0)</f>
        <v>35</v>
      </c>
      <c r="R3" s="64" t="s">
        <v>312</v>
      </c>
      <c r="S3" s="65">
        <f>VLOOKUP(R3,종합Sheet!$B$3:$I$116,7,0)</f>
        <v>43.2</v>
      </c>
    </row>
    <row r="4" spans="2:19" x14ac:dyDescent="0.25">
      <c r="B4" s="89"/>
      <c r="C4" s="49">
        <v>2</v>
      </c>
      <c r="D4" s="64" t="s">
        <v>52</v>
      </c>
      <c r="E4" s="64">
        <f>VLOOKUP(D4,종합Sheet!$B$3:$I$116,8,0)</f>
        <v>33</v>
      </c>
      <c r="F4" s="72" t="s">
        <v>231</v>
      </c>
      <c r="G4" s="63">
        <f>VLOOKUP(F4,종합Sheet!$B$3:$I$116,7,0)</f>
        <v>39.9</v>
      </c>
      <c r="I4" s="99"/>
      <c r="J4" s="68">
        <v>2</v>
      </c>
      <c r="K4" s="67" t="s">
        <v>230</v>
      </c>
      <c r="L4" s="67">
        <v>15</v>
      </c>
      <c r="N4" s="89"/>
      <c r="O4" s="49">
        <v>2</v>
      </c>
      <c r="P4" s="64" t="s">
        <v>228</v>
      </c>
      <c r="Q4" s="64">
        <f>VLOOKUP(P4,종합Sheet!$B$3:$I$116,8,0)</f>
        <v>31</v>
      </c>
      <c r="R4" s="64" t="s">
        <v>228</v>
      </c>
      <c r="S4" s="65">
        <f>VLOOKUP(R4,종합Sheet!$B$3:$I$116,7,0)</f>
        <v>39.200000000000003</v>
      </c>
    </row>
    <row r="5" spans="2:19" x14ac:dyDescent="0.25">
      <c r="B5" s="89"/>
      <c r="C5" s="49">
        <v>3</v>
      </c>
      <c r="D5" s="48" t="s">
        <v>228</v>
      </c>
      <c r="E5" s="48">
        <f>VLOOKUP(D5,종합Sheet!$B$3:$I$116,8,0)</f>
        <v>31</v>
      </c>
      <c r="F5" s="72" t="s">
        <v>228</v>
      </c>
      <c r="G5" s="63">
        <f>VLOOKUP(F5,종합Sheet!$B$3:$I$116,7,0)</f>
        <v>39.200000000000003</v>
      </c>
      <c r="I5" s="99"/>
      <c r="J5" s="68">
        <v>3</v>
      </c>
      <c r="K5" s="67" t="s">
        <v>252</v>
      </c>
      <c r="L5" s="67">
        <v>12</v>
      </c>
      <c r="N5" s="89"/>
      <c r="O5" s="49">
        <v>3</v>
      </c>
      <c r="P5" s="64" t="s">
        <v>340</v>
      </c>
      <c r="Q5" s="64">
        <f>VLOOKUP(P5,종합Sheet!$B$3:$I$116,8,0)</f>
        <v>30</v>
      </c>
      <c r="R5" s="64" t="s">
        <v>340</v>
      </c>
      <c r="S5" s="65">
        <f>VLOOKUP(R5,종합Sheet!$B$3:$I$116,7,0)</f>
        <v>36</v>
      </c>
    </row>
    <row r="6" spans="2:19" x14ac:dyDescent="0.25">
      <c r="B6" s="89"/>
      <c r="C6" s="49">
        <v>4</v>
      </c>
      <c r="D6" s="48" t="s">
        <v>340</v>
      </c>
      <c r="E6" s="48">
        <f>VLOOKUP(D6,종합Sheet!$B$3:$I$116,8,0)</f>
        <v>30</v>
      </c>
      <c r="F6" s="72" t="s">
        <v>239</v>
      </c>
      <c r="G6" s="63">
        <f>VLOOKUP(F6,종합Sheet!$B$3:$I$116,7,0)</f>
        <v>37.4</v>
      </c>
      <c r="I6" s="99"/>
      <c r="J6" s="68">
        <v>4</v>
      </c>
      <c r="K6" s="67" t="s">
        <v>350</v>
      </c>
      <c r="L6" s="67">
        <v>12</v>
      </c>
      <c r="N6" s="89"/>
      <c r="O6" s="49">
        <v>4</v>
      </c>
      <c r="P6" s="71" t="s">
        <v>237</v>
      </c>
      <c r="Q6" s="71">
        <f>VLOOKUP(P6,종합Sheet!$B$3:$I$116,8,0)</f>
        <v>26</v>
      </c>
      <c r="R6" s="67" t="s">
        <v>237</v>
      </c>
      <c r="S6" s="73">
        <f>VLOOKUP(R6,종합Sheet!$B$3:$I$116,7,0)</f>
        <v>31.8</v>
      </c>
    </row>
    <row r="7" spans="2:19" x14ac:dyDescent="0.25">
      <c r="B7" s="89"/>
      <c r="C7" s="49">
        <v>5</v>
      </c>
      <c r="D7" s="48" t="s">
        <v>239</v>
      </c>
      <c r="E7" s="48">
        <f>VLOOKUP(D7,종합Sheet!$B$3:$I$116,8,0)</f>
        <v>29</v>
      </c>
      <c r="F7" s="72" t="s">
        <v>340</v>
      </c>
      <c r="G7" s="63">
        <f>VLOOKUP(F7,종합Sheet!$B$3:$I$116,7,0)</f>
        <v>36</v>
      </c>
      <c r="I7" s="101"/>
      <c r="J7" s="68">
        <v>5</v>
      </c>
      <c r="K7" s="67" t="s">
        <v>235</v>
      </c>
      <c r="L7" s="67">
        <v>11</v>
      </c>
      <c r="N7" s="89"/>
      <c r="O7" s="49">
        <v>5</v>
      </c>
      <c r="P7" s="71" t="s">
        <v>379</v>
      </c>
      <c r="Q7" s="71">
        <f>VLOOKUP(P7,종합Sheet!$B$3:$I$116,8,0)</f>
        <v>22</v>
      </c>
      <c r="R7" s="67" t="s">
        <v>379</v>
      </c>
      <c r="S7" s="73">
        <f>VLOOKUP(R7,종합Sheet!$B$3:$I$116,7,0)</f>
        <v>29.2</v>
      </c>
    </row>
    <row r="8" spans="2:19" x14ac:dyDescent="0.25">
      <c r="B8" s="89"/>
      <c r="C8" s="49">
        <v>6</v>
      </c>
      <c r="D8" s="48" t="s">
        <v>231</v>
      </c>
      <c r="E8" s="48">
        <f>VLOOKUP(D8,종합Sheet!$B$3:$I$116,8,0)</f>
        <v>29</v>
      </c>
      <c r="F8" s="64" t="s">
        <v>52</v>
      </c>
      <c r="G8" s="65">
        <f>VLOOKUP(F8,종합Sheet!$B$3:$I$116,7,0)</f>
        <v>34.6</v>
      </c>
      <c r="N8" s="89"/>
      <c r="O8" s="49">
        <v>6</v>
      </c>
      <c r="P8" s="71" t="s">
        <v>370</v>
      </c>
      <c r="Q8" s="71">
        <f>VLOOKUP(P8,종합Sheet!$B$3:$I$116,8,0)</f>
        <v>19</v>
      </c>
      <c r="R8" s="67" t="s">
        <v>370</v>
      </c>
      <c r="S8" s="73">
        <f>VLOOKUP(R8,종합Sheet!$B$3:$I$116,7,0)</f>
        <v>26.2</v>
      </c>
    </row>
    <row r="9" spans="2:19" x14ac:dyDescent="0.25">
      <c r="B9" s="89"/>
      <c r="C9" s="49">
        <v>7</v>
      </c>
      <c r="D9" s="67" t="s">
        <v>50</v>
      </c>
      <c r="E9" s="67">
        <f>VLOOKUP(D9,종합Sheet!$B$3:$I$116,8,0)</f>
        <v>28</v>
      </c>
      <c r="F9" s="72" t="s">
        <v>7</v>
      </c>
      <c r="G9" s="63">
        <f>VLOOKUP(F9,종합Sheet!$B$3:$I$116,7,0)</f>
        <v>34.6</v>
      </c>
      <c r="I9" s="97" t="s">
        <v>259</v>
      </c>
      <c r="J9" s="97"/>
      <c r="K9" s="67" t="s">
        <v>287</v>
      </c>
      <c r="L9" s="67" t="s">
        <v>393</v>
      </c>
      <c r="N9" s="89"/>
      <c r="O9" s="49">
        <v>7</v>
      </c>
      <c r="P9" s="71" t="s">
        <v>348</v>
      </c>
      <c r="Q9" s="71">
        <f>VLOOKUP(P9,종합Sheet!$B$3:$I$116,8,0)</f>
        <v>16</v>
      </c>
      <c r="R9" s="67" t="s">
        <v>350</v>
      </c>
      <c r="S9" s="73">
        <f>VLOOKUP(R9,종합Sheet!$B$3:$I$116,7,0)</f>
        <v>19.399999999999999</v>
      </c>
    </row>
    <row r="10" spans="2:19" x14ac:dyDescent="0.25">
      <c r="B10" s="89"/>
      <c r="C10" s="49">
        <v>8</v>
      </c>
      <c r="D10" s="66" t="s">
        <v>57</v>
      </c>
      <c r="E10" s="66">
        <f>VLOOKUP(D10,종합Sheet!$B$3:$I$116,8,0)</f>
        <v>27</v>
      </c>
      <c r="F10" s="72" t="s">
        <v>55</v>
      </c>
      <c r="G10" s="63">
        <f>VLOOKUP(F10,종합Sheet!$B$3:$I$116,7,0)</f>
        <v>34.1</v>
      </c>
      <c r="I10" s="98" t="s">
        <v>395</v>
      </c>
      <c r="J10" s="68">
        <v>1</v>
      </c>
      <c r="K10" s="71" t="s">
        <v>231</v>
      </c>
      <c r="L10" s="71">
        <v>11</v>
      </c>
      <c r="N10" s="89"/>
      <c r="O10" s="49">
        <v>8</v>
      </c>
      <c r="P10" s="67" t="s">
        <v>350</v>
      </c>
      <c r="Q10" s="67">
        <f>VLOOKUP(P10,종합Sheet!$B$3:$I$116,8,0)</f>
        <v>15</v>
      </c>
      <c r="R10" s="67" t="s">
        <v>348</v>
      </c>
      <c r="S10" s="73">
        <f>VLOOKUP(R10,종합Sheet!$B$3:$I$116,7,0)</f>
        <v>19.2</v>
      </c>
    </row>
    <row r="11" spans="2:19" x14ac:dyDescent="0.25">
      <c r="B11" s="89"/>
      <c r="C11" s="49">
        <v>9</v>
      </c>
      <c r="D11" s="67" t="s">
        <v>7</v>
      </c>
      <c r="E11" s="67">
        <f>VLOOKUP(D11,종합Sheet!$B$3:$I$116,8,0)</f>
        <v>27</v>
      </c>
      <c r="F11" s="72" t="s">
        <v>50</v>
      </c>
      <c r="G11" s="63">
        <f>VLOOKUP(F11,종합Sheet!$B$3:$I$116,7,0)</f>
        <v>33.4</v>
      </c>
      <c r="I11" s="99"/>
      <c r="J11" s="68">
        <v>2</v>
      </c>
      <c r="K11" s="67" t="s">
        <v>7</v>
      </c>
      <c r="L11" s="67">
        <v>10</v>
      </c>
      <c r="N11" s="89"/>
      <c r="O11" s="49">
        <v>9</v>
      </c>
      <c r="P11" s="67" t="s">
        <v>362</v>
      </c>
      <c r="Q11" s="67">
        <f>VLOOKUP(P11,종합Sheet!$B$3:$I$116,8,0)</f>
        <v>14</v>
      </c>
      <c r="R11" s="67" t="s">
        <v>362</v>
      </c>
      <c r="S11" s="73">
        <f>VLOOKUP(R11,종합Sheet!$B$3:$I$116,7,0)</f>
        <v>16.899999999999999</v>
      </c>
    </row>
    <row r="12" spans="2:19" x14ac:dyDescent="0.25">
      <c r="B12" s="89"/>
      <c r="C12" s="49">
        <v>10</v>
      </c>
      <c r="D12" s="67" t="s">
        <v>230</v>
      </c>
      <c r="E12" s="67">
        <f>VLOOKUP(D12,종합Sheet!$B$3:$I$116,8,0)</f>
        <v>26</v>
      </c>
      <c r="F12" s="72" t="s">
        <v>230</v>
      </c>
      <c r="G12" s="63">
        <f>VLOOKUP(F12,종합Sheet!$B$3:$I$116,7,0)</f>
        <v>33.1</v>
      </c>
      <c r="I12" s="99"/>
      <c r="J12" s="68">
        <v>3</v>
      </c>
      <c r="K12" s="67" t="s">
        <v>230</v>
      </c>
      <c r="L12" s="67">
        <v>8</v>
      </c>
      <c r="N12" s="104"/>
      <c r="O12" s="49">
        <v>10</v>
      </c>
      <c r="P12" s="67" t="s">
        <v>398</v>
      </c>
      <c r="Q12" s="67">
        <f>VLOOKUP(P12,종합Sheet!$B$3:$I$116,8,0)</f>
        <v>11</v>
      </c>
      <c r="R12" s="67" t="s">
        <v>398</v>
      </c>
      <c r="S12" s="73">
        <f>VLOOKUP(R12,종합Sheet!$B$3:$I$116,7,0)</f>
        <v>12.2</v>
      </c>
    </row>
    <row r="13" spans="2:19" x14ac:dyDescent="0.25">
      <c r="B13" s="89"/>
      <c r="C13" s="49">
        <v>11</v>
      </c>
      <c r="D13" s="67" t="s">
        <v>55</v>
      </c>
      <c r="E13" s="67">
        <f>VLOOKUP(D13,종합Sheet!$B$3:$I$116,8,0)</f>
        <v>26</v>
      </c>
      <c r="F13" s="72" t="s">
        <v>252</v>
      </c>
      <c r="G13" s="63">
        <f>VLOOKUP(F13,종합Sheet!$B$3:$I$116,7,0)</f>
        <v>32.6</v>
      </c>
      <c r="I13" s="99"/>
      <c r="J13" s="68">
        <v>4</v>
      </c>
      <c r="K13" s="67" t="s">
        <v>252</v>
      </c>
      <c r="L13" s="67">
        <v>7</v>
      </c>
      <c r="N13"/>
      <c r="O13"/>
      <c r="P13"/>
      <c r="Q13"/>
      <c r="R13"/>
      <c r="S13"/>
    </row>
    <row r="14" spans="2:19" x14ac:dyDescent="0.25">
      <c r="B14" s="89"/>
      <c r="C14" s="49">
        <v>12</v>
      </c>
      <c r="D14" s="67" t="s">
        <v>235</v>
      </c>
      <c r="E14" s="67">
        <f>VLOOKUP(D14,종합Sheet!$B$3:$I$116,8,0)</f>
        <v>26</v>
      </c>
      <c r="F14" s="72" t="s">
        <v>235</v>
      </c>
      <c r="G14" s="63">
        <f>VLOOKUP(F14,종합Sheet!$B$3:$I$116,7,0)</f>
        <v>32.299999999999997</v>
      </c>
      <c r="I14" s="101"/>
      <c r="J14" s="68">
        <v>5</v>
      </c>
      <c r="K14" s="67" t="s">
        <v>360</v>
      </c>
      <c r="L14" s="67">
        <v>6</v>
      </c>
      <c r="N14"/>
      <c r="O14"/>
      <c r="P14"/>
      <c r="Q14"/>
      <c r="R14"/>
      <c r="S14"/>
    </row>
    <row r="15" spans="2:19" x14ac:dyDescent="0.25">
      <c r="B15" s="89"/>
      <c r="C15" s="49">
        <v>13</v>
      </c>
      <c r="D15" s="67" t="s">
        <v>252</v>
      </c>
      <c r="E15" s="67">
        <f>VLOOKUP(D15,종합Sheet!$B$3:$I$116,8,0)</f>
        <v>26</v>
      </c>
      <c r="F15" s="64" t="s">
        <v>316</v>
      </c>
      <c r="G15" s="65">
        <f>VLOOKUP(F15,종합Sheet!$B$3:$I$116,7,0)</f>
        <v>31.9</v>
      </c>
      <c r="N15"/>
      <c r="O15"/>
      <c r="P15"/>
      <c r="Q15"/>
      <c r="R15"/>
      <c r="S15"/>
    </row>
    <row r="16" spans="2:19" s="1" customFormat="1" x14ac:dyDescent="0.25">
      <c r="B16" s="89"/>
      <c r="C16" s="49">
        <v>14</v>
      </c>
      <c r="D16" s="67" t="s">
        <v>237</v>
      </c>
      <c r="E16" s="67">
        <f>VLOOKUP(D16,종합Sheet!$B$3:$I$116,8,0)</f>
        <v>26</v>
      </c>
      <c r="F16" s="64" t="s">
        <v>237</v>
      </c>
      <c r="G16" s="65">
        <f>VLOOKUP(F16,종합Sheet!$B$3:$I$116,7,0)</f>
        <v>31.8</v>
      </c>
      <c r="H16" s="38"/>
      <c r="I16" s="97" t="s">
        <v>259</v>
      </c>
      <c r="J16" s="97"/>
      <c r="K16" s="67" t="s">
        <v>287</v>
      </c>
      <c r="L16" s="67" t="s">
        <v>393</v>
      </c>
      <c r="M16"/>
      <c r="N16"/>
      <c r="O16"/>
    </row>
    <row r="17" spans="2:21" s="1" customFormat="1" ht="15.6" customHeight="1" x14ac:dyDescent="0.25">
      <c r="B17" s="90"/>
      <c r="C17" s="49">
        <v>15</v>
      </c>
      <c r="D17" s="64"/>
      <c r="E17" s="64"/>
      <c r="F17" s="64" t="s">
        <v>236</v>
      </c>
      <c r="G17" s="65">
        <f>VLOOKUP(F17,종합Sheet!$B$3:$I$116,7,0)</f>
        <v>31</v>
      </c>
      <c r="H17" s="38"/>
      <c r="I17" s="98" t="s">
        <v>396</v>
      </c>
      <c r="J17" s="68">
        <v>1</v>
      </c>
      <c r="K17" s="71" t="s">
        <v>55</v>
      </c>
      <c r="L17" s="71">
        <v>19</v>
      </c>
      <c r="M17"/>
      <c r="N17"/>
      <c r="O17"/>
    </row>
    <row r="18" spans="2:21" s="1" customFormat="1" x14ac:dyDescent="0.25">
      <c r="C18" s="38"/>
      <c r="H18" s="38"/>
      <c r="I18" s="99"/>
      <c r="J18" s="68">
        <v>2</v>
      </c>
      <c r="K18" s="67" t="s">
        <v>312</v>
      </c>
      <c r="L18" s="67">
        <v>18</v>
      </c>
      <c r="M18"/>
      <c r="O18" s="38"/>
      <c r="T18"/>
      <c r="U18"/>
    </row>
    <row r="19" spans="2:21" x14ac:dyDescent="0.25">
      <c r="B19" s="97" t="s">
        <v>259</v>
      </c>
      <c r="C19" s="97"/>
      <c r="D19" s="67" t="s">
        <v>287</v>
      </c>
      <c r="E19" s="67"/>
      <c r="I19" s="99"/>
      <c r="J19" s="68">
        <v>3</v>
      </c>
      <c r="K19" s="67" t="s">
        <v>66</v>
      </c>
      <c r="L19" s="67">
        <v>17</v>
      </c>
    </row>
    <row r="20" spans="2:21" ht="15.6" customHeight="1" x14ac:dyDescent="0.25">
      <c r="B20" s="98" t="s">
        <v>400</v>
      </c>
      <c r="C20" s="70">
        <v>1</v>
      </c>
      <c r="D20" s="71" t="s">
        <v>216</v>
      </c>
      <c r="E20" s="71" t="s">
        <v>401</v>
      </c>
      <c r="I20" s="99"/>
      <c r="J20" s="68">
        <v>4</v>
      </c>
      <c r="K20" s="67" t="s">
        <v>231</v>
      </c>
      <c r="L20" s="67">
        <v>17</v>
      </c>
    </row>
    <row r="21" spans="2:21" x14ac:dyDescent="0.25">
      <c r="B21" s="99"/>
      <c r="C21" s="68">
        <v>2</v>
      </c>
      <c r="D21" s="67" t="s">
        <v>95</v>
      </c>
      <c r="E21" s="67" t="s">
        <v>402</v>
      </c>
      <c r="I21" s="101"/>
      <c r="J21" s="68">
        <v>5</v>
      </c>
      <c r="K21" s="67" t="s">
        <v>370</v>
      </c>
      <c r="L21" s="67">
        <v>16</v>
      </c>
    </row>
    <row r="22" spans="2:21" x14ac:dyDescent="0.25">
      <c r="B22" s="100"/>
      <c r="C22" s="68">
        <v>3</v>
      </c>
      <c r="D22" s="67" t="s">
        <v>403</v>
      </c>
      <c r="E22" s="67" t="s">
        <v>404</v>
      </c>
    </row>
    <row r="23" spans="2:21" x14ac:dyDescent="0.25">
      <c r="I23" s="102" t="s">
        <v>259</v>
      </c>
      <c r="J23" s="103"/>
      <c r="K23" s="67" t="s">
        <v>287</v>
      </c>
      <c r="L23" s="67" t="s">
        <v>393</v>
      </c>
    </row>
    <row r="24" spans="2:21" x14ac:dyDescent="0.25">
      <c r="I24" s="98" t="s">
        <v>397</v>
      </c>
      <c r="J24" s="68">
        <v>1</v>
      </c>
      <c r="K24" s="71" t="s">
        <v>239</v>
      </c>
      <c r="L24" s="71">
        <v>38</v>
      </c>
    </row>
    <row r="25" spans="2:21" x14ac:dyDescent="0.25">
      <c r="I25" s="99"/>
      <c r="J25" s="68">
        <v>2</v>
      </c>
      <c r="K25" s="71" t="s">
        <v>236</v>
      </c>
      <c r="L25" s="71">
        <v>34</v>
      </c>
    </row>
    <row r="26" spans="2:21" x14ac:dyDescent="0.25">
      <c r="I26" s="99"/>
      <c r="J26" s="68">
        <v>3</v>
      </c>
      <c r="K26" s="67" t="s">
        <v>77</v>
      </c>
      <c r="L26" s="67">
        <v>30</v>
      </c>
    </row>
    <row r="27" spans="2:21" x14ac:dyDescent="0.25">
      <c r="I27" s="99"/>
      <c r="J27" s="68">
        <v>4</v>
      </c>
      <c r="K27" s="67" t="s">
        <v>378</v>
      </c>
      <c r="L27" s="67">
        <v>29</v>
      </c>
    </row>
    <row r="28" spans="2:21" x14ac:dyDescent="0.25">
      <c r="I28" s="99"/>
      <c r="J28" s="68">
        <v>5</v>
      </c>
      <c r="K28" s="67" t="s">
        <v>379</v>
      </c>
      <c r="L28" s="67">
        <v>28</v>
      </c>
    </row>
    <row r="29" spans="2:21" x14ac:dyDescent="0.25">
      <c r="I29" s="99"/>
      <c r="J29" s="68">
        <v>6</v>
      </c>
      <c r="K29" s="67" t="s">
        <v>336</v>
      </c>
      <c r="L29" s="67">
        <v>28</v>
      </c>
    </row>
    <row r="30" spans="2:21" x14ac:dyDescent="0.25">
      <c r="I30" s="101"/>
      <c r="J30" s="68">
        <v>7</v>
      </c>
      <c r="K30" s="67" t="s">
        <v>50</v>
      </c>
      <c r="L30" s="67">
        <v>25</v>
      </c>
    </row>
  </sheetData>
  <mergeCells count="14">
    <mergeCell ref="I23:J23"/>
    <mergeCell ref="I24:I30"/>
    <mergeCell ref="N2:O2"/>
    <mergeCell ref="N3:N12"/>
    <mergeCell ref="I2:J2"/>
    <mergeCell ref="I3:I7"/>
    <mergeCell ref="I9:J9"/>
    <mergeCell ref="I10:I14"/>
    <mergeCell ref="B3:B17"/>
    <mergeCell ref="B2:C2"/>
    <mergeCell ref="B19:C19"/>
    <mergeCell ref="B20:B22"/>
    <mergeCell ref="I16:J16"/>
    <mergeCell ref="I17:I2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8BFD-764F-41C8-B837-9777BCD4F9AD}">
  <sheetPr>
    <pageSetUpPr fitToPage="1"/>
  </sheetPr>
  <dimension ref="A1:CT37"/>
  <sheetViews>
    <sheetView showGridLines="0" zoomScaleNormal="125" workbookViewId="0">
      <pane xSplit="9" topLeftCell="J1" activePane="topRight" state="frozen"/>
      <selection pane="topRight" activeCell="O37" sqref="O37"/>
    </sheetView>
  </sheetViews>
  <sheetFormatPr defaultColWidth="8.8984375" defaultRowHeight="15.6" x14ac:dyDescent="0.25"/>
  <cols>
    <col min="1" max="1" width="4.19921875" style="1" bestFit="1" customWidth="1"/>
    <col min="2" max="2" width="6.296875" style="1" customWidth="1"/>
    <col min="3" max="3" width="10" style="1" customWidth="1"/>
    <col min="4" max="6" width="5.8984375" style="1" customWidth="1"/>
    <col min="7" max="7" width="4.3984375" style="1" customWidth="1"/>
    <col min="8" max="8" width="8.8984375" style="1" customWidth="1"/>
    <col min="9" max="9" width="8.19921875" style="1" customWidth="1"/>
    <col min="10" max="30" width="5.19921875" style="1" customWidth="1"/>
    <col min="31" max="33" width="5.19921875" style="3" customWidth="1"/>
    <col min="34" max="56" width="5.19921875" style="1" customWidth="1"/>
    <col min="57" max="82" width="4.796875" style="1" customWidth="1"/>
    <col min="83" max="90" width="8.8984375" style="1"/>
    <col min="91" max="98" width="8.8984375" style="3"/>
  </cols>
  <sheetData>
    <row r="1" spans="1:82" x14ac:dyDescent="0.25">
      <c r="I1" s="18" t="s">
        <v>212</v>
      </c>
      <c r="J1" s="19" t="s">
        <v>211</v>
      </c>
      <c r="K1" s="1" t="s">
        <v>13</v>
      </c>
      <c r="L1" s="1" t="s">
        <v>22</v>
      </c>
      <c r="M1" s="1" t="s">
        <v>15</v>
      </c>
      <c r="N1" s="1" t="s">
        <v>26</v>
      </c>
      <c r="O1" s="1" t="s">
        <v>62</v>
      </c>
      <c r="P1" s="1" t="s">
        <v>11</v>
      </c>
      <c r="Q1" s="1" t="s">
        <v>53</v>
      </c>
      <c r="R1" s="1" t="s">
        <v>12</v>
      </c>
      <c r="S1" s="1" t="s">
        <v>59</v>
      </c>
      <c r="T1" s="1" t="s">
        <v>18</v>
      </c>
      <c r="U1" s="1" t="s">
        <v>58</v>
      </c>
      <c r="V1" s="1" t="s">
        <v>21</v>
      </c>
      <c r="W1" s="1" t="s">
        <v>61</v>
      </c>
      <c r="X1" s="1" t="s">
        <v>23</v>
      </c>
      <c r="Y1" s="1" t="s">
        <v>17</v>
      </c>
      <c r="Z1" s="1" t="s">
        <v>29</v>
      </c>
      <c r="AA1" s="1" t="s">
        <v>65</v>
      </c>
      <c r="AB1" s="1" t="s">
        <v>31</v>
      </c>
      <c r="AC1" s="1" t="s">
        <v>56</v>
      </c>
      <c r="AD1" s="1" t="s">
        <v>10</v>
      </c>
      <c r="AE1" s="1" t="s">
        <v>30</v>
      </c>
      <c r="AF1" s="1" t="s">
        <v>19</v>
      </c>
      <c r="AG1" s="1" t="s">
        <v>68</v>
      </c>
      <c r="AH1" s="1" t="s">
        <v>60</v>
      </c>
      <c r="AI1" s="1" t="s">
        <v>63</v>
      </c>
      <c r="AJ1" s="1" t="s">
        <v>35</v>
      </c>
      <c r="AK1" s="1" t="s">
        <v>24</v>
      </c>
      <c r="AL1" s="1" t="s">
        <v>54</v>
      </c>
      <c r="AM1" s="1" t="s">
        <v>16</v>
      </c>
      <c r="AN1" s="1" t="s">
        <v>70</v>
      </c>
      <c r="AO1" s="1" t="s">
        <v>33</v>
      </c>
      <c r="AP1" s="1" t="s">
        <v>28</v>
      </c>
      <c r="AQ1" s="1" t="s">
        <v>74</v>
      </c>
      <c r="AR1" s="1" t="s">
        <v>25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184</v>
      </c>
      <c r="BD1" s="1" t="s">
        <v>187</v>
      </c>
      <c r="BE1" s="1" t="s">
        <v>202</v>
      </c>
      <c r="BF1" s="1" t="s">
        <v>203</v>
      </c>
      <c r="BG1" s="1" t="s">
        <v>204</v>
      </c>
    </row>
    <row r="2" spans="1:82" x14ac:dyDescent="0.25">
      <c r="D2" s="1">
        <f>COUNTIF(D4:D55,"지급")</f>
        <v>17</v>
      </c>
      <c r="E2" s="1">
        <f>COUNTIF(E4:E55,"지급")</f>
        <v>0</v>
      </c>
      <c r="H2" s="18">
        <f>SUM(J2:AR2)/COUNTA(J2:BB2)</f>
        <v>2.1333333333333333</v>
      </c>
      <c r="I2" s="18" t="s">
        <v>85</v>
      </c>
      <c r="J2" s="1">
        <f t="shared" ref="J2:AO2" si="0">COUNTA(J4:J67)</f>
        <v>15</v>
      </c>
      <c r="K2" s="1">
        <f t="shared" si="0"/>
        <v>19</v>
      </c>
      <c r="L2" s="1">
        <f t="shared" si="0"/>
        <v>17</v>
      </c>
      <c r="M2" s="1">
        <f t="shared" si="0"/>
        <v>15</v>
      </c>
      <c r="N2" s="1">
        <f t="shared" si="0"/>
        <v>14</v>
      </c>
      <c r="O2" s="1">
        <f t="shared" si="0"/>
        <v>16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  <c r="Z2" s="1">
        <f t="shared" si="0"/>
        <v>0</v>
      </c>
      <c r="AA2" s="1">
        <f t="shared" si="0"/>
        <v>0</v>
      </c>
      <c r="AB2" s="1">
        <f t="shared" si="0"/>
        <v>0</v>
      </c>
      <c r="AC2" s="1">
        <f t="shared" si="0"/>
        <v>0</v>
      </c>
      <c r="AD2" s="1">
        <f t="shared" si="0"/>
        <v>0</v>
      </c>
      <c r="AE2" s="1">
        <f t="shared" si="0"/>
        <v>0</v>
      </c>
      <c r="AF2" s="1">
        <f t="shared" si="0"/>
        <v>0</v>
      </c>
      <c r="AG2" s="1">
        <f t="shared" si="0"/>
        <v>0</v>
      </c>
      <c r="AH2" s="1">
        <f t="shared" si="0"/>
        <v>0</v>
      </c>
      <c r="AI2" s="1">
        <f t="shared" si="0"/>
        <v>0</v>
      </c>
      <c r="AJ2" s="1">
        <f t="shared" si="0"/>
        <v>0</v>
      </c>
      <c r="AK2" s="1">
        <f t="shared" si="0"/>
        <v>0</v>
      </c>
      <c r="AL2" s="1">
        <f t="shared" si="0"/>
        <v>0</v>
      </c>
      <c r="AM2" s="1">
        <f t="shared" si="0"/>
        <v>0</v>
      </c>
      <c r="AN2" s="1">
        <f t="shared" si="0"/>
        <v>0</v>
      </c>
      <c r="AO2" s="1">
        <f t="shared" si="0"/>
        <v>0</v>
      </c>
      <c r="AP2" s="1">
        <f t="shared" ref="AP2:BG2" si="1">COUNTA(AP4:AP67)</f>
        <v>0</v>
      </c>
      <c r="AQ2" s="1">
        <f t="shared" si="1"/>
        <v>0</v>
      </c>
      <c r="AR2" s="1">
        <f t="shared" si="1"/>
        <v>0</v>
      </c>
      <c r="AS2" s="1">
        <f t="shared" si="1"/>
        <v>0</v>
      </c>
      <c r="AT2" s="1">
        <f t="shared" si="1"/>
        <v>0</v>
      </c>
      <c r="AU2" s="1">
        <f t="shared" si="1"/>
        <v>0</v>
      </c>
      <c r="AV2" s="1">
        <f t="shared" si="1"/>
        <v>0</v>
      </c>
      <c r="AW2" s="1">
        <f t="shared" si="1"/>
        <v>0</v>
      </c>
      <c r="AX2" s="1">
        <f t="shared" si="1"/>
        <v>0</v>
      </c>
      <c r="AY2" s="1">
        <f t="shared" si="1"/>
        <v>0</v>
      </c>
      <c r="AZ2" s="1">
        <f t="shared" si="1"/>
        <v>0</v>
      </c>
      <c r="BA2" s="1">
        <f t="shared" si="1"/>
        <v>0</v>
      </c>
      <c r="BB2" s="1">
        <f t="shared" si="1"/>
        <v>0</v>
      </c>
      <c r="BC2" s="1">
        <f t="shared" si="1"/>
        <v>0</v>
      </c>
      <c r="BD2" s="1">
        <f t="shared" si="1"/>
        <v>0</v>
      </c>
      <c r="BE2" s="1">
        <f t="shared" si="1"/>
        <v>0</v>
      </c>
      <c r="BF2" s="1">
        <f t="shared" si="1"/>
        <v>0</v>
      </c>
      <c r="BG2" s="1">
        <f t="shared" si="1"/>
        <v>0</v>
      </c>
    </row>
    <row r="3" spans="1:82" x14ac:dyDescent="0.25">
      <c r="A3" s="2" t="s">
        <v>4</v>
      </c>
      <c r="B3" s="2" t="s">
        <v>6</v>
      </c>
      <c r="C3" s="2" t="s">
        <v>201</v>
      </c>
      <c r="D3" s="2" t="s">
        <v>118</v>
      </c>
      <c r="E3" s="2" t="s">
        <v>129</v>
      </c>
      <c r="F3" s="2" t="s">
        <v>46</v>
      </c>
      <c r="G3" s="2" t="s">
        <v>88</v>
      </c>
      <c r="H3" s="2" t="s">
        <v>81</v>
      </c>
      <c r="I3" s="2" t="s">
        <v>79</v>
      </c>
      <c r="J3" s="4">
        <v>45321</v>
      </c>
      <c r="K3" s="4">
        <v>45350</v>
      </c>
      <c r="L3" s="4">
        <v>45397</v>
      </c>
      <c r="M3" s="4">
        <v>45427</v>
      </c>
      <c r="N3" s="4">
        <v>45427</v>
      </c>
      <c r="O3" s="4">
        <v>45467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x14ac:dyDescent="0.25">
      <c r="A4" s="2">
        <v>1</v>
      </c>
      <c r="B4" s="2" t="s">
        <v>52</v>
      </c>
      <c r="C4" s="31" t="str">
        <f>VLOOKUP(B4,종합Sheet!$B$4:$F$128,2,0)</f>
        <v>Origin</v>
      </c>
      <c r="D4" s="2" t="str">
        <f>VLOOKUP(B4,종합Sheet!$B$4:$F$128,3,0)</f>
        <v>대상</v>
      </c>
      <c r="E4" s="2">
        <f>VLOOKUP(B4,종합Sheet!$B$4:$F$128,4,0)</f>
        <v>0</v>
      </c>
      <c r="F4" s="2" t="s">
        <v>37</v>
      </c>
      <c r="G4" s="2">
        <f t="shared" ref="G4:G37" si="2">RANK(H4,$H$4:$H$37,0)</f>
        <v>17</v>
      </c>
      <c r="H4" s="6">
        <f>I4+개인기록Sheet!C4</f>
        <v>4.5999999999999996</v>
      </c>
      <c r="I4" s="6">
        <f t="shared" ref="I4:I28" si="3">(COUNTIF(J4:CD4,"출전")*1)</f>
        <v>3</v>
      </c>
      <c r="J4" s="2" t="s">
        <v>209</v>
      </c>
      <c r="K4" s="2" t="s">
        <v>209</v>
      </c>
      <c r="L4" s="2" t="s">
        <v>209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5">
      <c r="A5" s="2">
        <v>2</v>
      </c>
      <c r="B5" s="2" t="s">
        <v>41</v>
      </c>
      <c r="C5" s="31">
        <f>VLOOKUP(B5,종합Sheet!$B$4:$F$128,2,0)</f>
        <v>2021</v>
      </c>
      <c r="D5" s="2" t="str">
        <f>VLOOKUP(B5,종합Sheet!$B$4:$F$128,3,0)</f>
        <v>대상</v>
      </c>
      <c r="E5" s="2">
        <f>VLOOKUP(B5,종합Sheet!$B$4:$F$128,4,0)</f>
        <v>0</v>
      </c>
      <c r="F5" s="2" t="s">
        <v>37</v>
      </c>
      <c r="G5" s="2">
        <f t="shared" si="2"/>
        <v>4</v>
      </c>
      <c r="H5" s="6">
        <f>I5+개인기록Sheet!C5</f>
        <v>10.199999999999999</v>
      </c>
      <c r="I5" s="6">
        <f t="shared" si="3"/>
        <v>5</v>
      </c>
      <c r="J5" s="2" t="s">
        <v>209</v>
      </c>
      <c r="K5" s="2" t="s">
        <v>209</v>
      </c>
      <c r="L5" s="2" t="s">
        <v>209</v>
      </c>
      <c r="M5" s="2" t="s">
        <v>209</v>
      </c>
      <c r="N5" s="2"/>
      <c r="O5" s="2" t="s">
        <v>209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x14ac:dyDescent="0.25">
      <c r="A6" s="2">
        <v>3</v>
      </c>
      <c r="B6" s="2" t="s">
        <v>8</v>
      </c>
      <c r="C6" s="31" t="str">
        <f>VLOOKUP(B6,종합Sheet!$B$4:$F$128,2,0)</f>
        <v>Origin</v>
      </c>
      <c r="D6" s="2" t="str">
        <f>VLOOKUP(B6,종합Sheet!$B$4:$F$128,3,0)</f>
        <v>대상</v>
      </c>
      <c r="E6" s="2">
        <f>VLOOKUP(B6,종합Sheet!$B$4:$F$128,4,0)</f>
        <v>0</v>
      </c>
      <c r="F6" s="2" t="s">
        <v>37</v>
      </c>
      <c r="G6" s="2">
        <f t="shared" si="2"/>
        <v>25</v>
      </c>
      <c r="H6" s="6">
        <f>I6+개인기록Sheet!C6</f>
        <v>2.5</v>
      </c>
      <c r="I6" s="6">
        <f t="shared" si="3"/>
        <v>2</v>
      </c>
      <c r="J6" s="2"/>
      <c r="K6" s="2" t="s">
        <v>209</v>
      </c>
      <c r="L6" s="2"/>
      <c r="M6" s="2"/>
      <c r="N6" s="2" t="s">
        <v>209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x14ac:dyDescent="0.25">
      <c r="A7" s="2">
        <v>4</v>
      </c>
      <c r="B7" s="2" t="s">
        <v>50</v>
      </c>
      <c r="C7" s="31" t="str">
        <f>VLOOKUP(B7,종합Sheet!$B$4:$F$128,2,0)</f>
        <v>Origin</v>
      </c>
      <c r="D7" s="2" t="str">
        <f>VLOOKUP(B7,종합Sheet!$B$4:$F$128,3,0)</f>
        <v>지급</v>
      </c>
      <c r="E7" s="2">
        <f>VLOOKUP(B7,종합Sheet!$B$4:$F$128,4,0)</f>
        <v>0</v>
      </c>
      <c r="F7" s="2" t="s">
        <v>37</v>
      </c>
      <c r="G7" s="2">
        <f t="shared" si="2"/>
        <v>14</v>
      </c>
      <c r="H7" s="6">
        <f>I7+개인기록Sheet!C9</f>
        <v>5.4</v>
      </c>
      <c r="I7" s="6">
        <f t="shared" si="3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x14ac:dyDescent="0.25">
      <c r="A8" s="2">
        <v>5</v>
      </c>
      <c r="B8" s="2" t="s">
        <v>111</v>
      </c>
      <c r="C8" s="31">
        <f>VLOOKUP(B8,종합Sheet!$B$4:$F$128,2,0)</f>
        <v>2022</v>
      </c>
      <c r="D8" s="2" t="str">
        <f>VLOOKUP(B8,종합Sheet!$B$4:$F$128,3,0)</f>
        <v>지급</v>
      </c>
      <c r="E8" s="2">
        <f>VLOOKUP(B8,종합Sheet!$B$4:$F$128,4,0)</f>
        <v>0</v>
      </c>
      <c r="F8" s="2" t="s">
        <v>37</v>
      </c>
      <c r="G8" s="2">
        <f t="shared" si="2"/>
        <v>1</v>
      </c>
      <c r="H8" s="6">
        <f>I8+개인기록Sheet!C10</f>
        <v>13.2</v>
      </c>
      <c r="I8" s="6">
        <f t="shared" si="3"/>
        <v>5</v>
      </c>
      <c r="J8" s="2" t="s">
        <v>209</v>
      </c>
      <c r="K8" s="2" t="s">
        <v>209</v>
      </c>
      <c r="L8" s="2" t="s">
        <v>209</v>
      </c>
      <c r="M8" s="2" t="s">
        <v>209</v>
      </c>
      <c r="N8" s="2" t="s">
        <v>209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5">
      <c r="A9" s="2">
        <v>6</v>
      </c>
      <c r="B9" s="2" t="s">
        <v>113</v>
      </c>
      <c r="C9" s="31">
        <f>VLOOKUP(B9,종합Sheet!$B$4:$F$128,2,0)</f>
        <v>2022</v>
      </c>
      <c r="D9" s="2" t="str">
        <f>VLOOKUP(B9,종합Sheet!$B$4:$F$128,3,0)</f>
        <v>지급</v>
      </c>
      <c r="E9" s="2">
        <f>VLOOKUP(B9,종합Sheet!$B$4:$F$128,4,0)</f>
        <v>0</v>
      </c>
      <c r="F9" s="2" t="s">
        <v>37</v>
      </c>
      <c r="G9" s="2">
        <f t="shared" si="2"/>
        <v>22</v>
      </c>
      <c r="H9" s="6">
        <f>I9+개인기록Sheet!C15</f>
        <v>3</v>
      </c>
      <c r="I9" s="6">
        <f t="shared" si="3"/>
        <v>3</v>
      </c>
      <c r="J9" s="2" t="s">
        <v>209</v>
      </c>
      <c r="K9" s="2" t="s">
        <v>209</v>
      </c>
      <c r="L9" s="2" t="s">
        <v>209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5">
      <c r="A10" s="2">
        <v>7</v>
      </c>
      <c r="B10" s="2" t="s">
        <v>92</v>
      </c>
      <c r="C10" s="31" t="e">
        <f>VLOOKUP(B10,종합Sheet!$B$4:$F$128,2,0)</f>
        <v>#N/A</v>
      </c>
      <c r="D10" s="2" t="e">
        <f>VLOOKUP(B10,종합Sheet!$B$4:$F$128,3,0)</f>
        <v>#N/A</v>
      </c>
      <c r="E10" s="2" t="e">
        <f>VLOOKUP(B10,종합Sheet!$B$4:$F$128,4,0)</f>
        <v>#N/A</v>
      </c>
      <c r="F10" s="2" t="s">
        <v>37</v>
      </c>
      <c r="G10" s="2">
        <f t="shared" si="2"/>
        <v>21</v>
      </c>
      <c r="H10" s="6">
        <f>I10+개인기록Sheet!C16</f>
        <v>3.2</v>
      </c>
      <c r="I10" s="6">
        <f t="shared" si="3"/>
        <v>3</v>
      </c>
      <c r="J10" s="2"/>
      <c r="K10" s="2" t="s">
        <v>209</v>
      </c>
      <c r="L10" s="2" t="s">
        <v>209</v>
      </c>
      <c r="M10" s="2" t="s">
        <v>209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x14ac:dyDescent="0.25">
      <c r="A11" s="2">
        <v>8</v>
      </c>
      <c r="B11" s="2" t="s">
        <v>137</v>
      </c>
      <c r="C11" s="31">
        <f>VLOOKUP(B11,종합Sheet!$B$4:$F$128,2,0)</f>
        <v>2023</v>
      </c>
      <c r="D11" s="2" t="str">
        <f>VLOOKUP(B11,종합Sheet!$B$4:$F$128,3,0)</f>
        <v>대상</v>
      </c>
      <c r="E11" s="2">
        <f>VLOOKUP(B11,종합Sheet!$B$4:$F$128,4,0)</f>
        <v>0</v>
      </c>
      <c r="F11" s="2" t="s">
        <v>37</v>
      </c>
      <c r="G11" s="2">
        <f t="shared" si="2"/>
        <v>2</v>
      </c>
      <c r="H11" s="6">
        <f>I11+개인기록Sheet!C17</f>
        <v>12.9</v>
      </c>
      <c r="I11" s="6">
        <f t="shared" si="3"/>
        <v>4</v>
      </c>
      <c r="J11" s="2"/>
      <c r="K11" s="2" t="s">
        <v>209</v>
      </c>
      <c r="L11" s="2" t="s">
        <v>209</v>
      </c>
      <c r="M11" s="2"/>
      <c r="N11" s="2" t="s">
        <v>209</v>
      </c>
      <c r="O11" s="2" t="s">
        <v>209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x14ac:dyDescent="0.25">
      <c r="A12" s="2">
        <v>9</v>
      </c>
      <c r="B12" s="2" t="s">
        <v>93</v>
      </c>
      <c r="C12" s="31">
        <f>VLOOKUP(B12,종합Sheet!$B$4:$F$128,2,0)</f>
        <v>2022</v>
      </c>
      <c r="D12" s="2" t="str">
        <f>VLOOKUP(B12,종합Sheet!$B$4:$F$128,3,0)</f>
        <v>대상</v>
      </c>
      <c r="E12" s="2">
        <f>VLOOKUP(B12,종합Sheet!$B$4:$F$128,4,0)</f>
        <v>0</v>
      </c>
      <c r="F12" s="2" t="s">
        <v>37</v>
      </c>
      <c r="G12" s="2">
        <f t="shared" si="2"/>
        <v>13</v>
      </c>
      <c r="H12" s="6">
        <f>I12+개인기록Sheet!C18</f>
        <v>5.7</v>
      </c>
      <c r="I12" s="6">
        <f t="shared" si="3"/>
        <v>3</v>
      </c>
      <c r="J12" s="2"/>
      <c r="K12" s="2" t="s">
        <v>209</v>
      </c>
      <c r="L12" s="2" t="s">
        <v>209</v>
      </c>
      <c r="M12" s="2"/>
      <c r="N12" s="2"/>
      <c r="O12" s="2" t="s">
        <v>209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x14ac:dyDescent="0.25">
      <c r="A13" s="2">
        <v>10</v>
      </c>
      <c r="B13" s="2" t="s">
        <v>14</v>
      </c>
      <c r="C13" s="31" t="str">
        <f>VLOOKUP(B13,종합Sheet!$B$4:$F$128,2,0)</f>
        <v>Origin</v>
      </c>
      <c r="D13" s="2" t="str">
        <f>VLOOKUP(B13,종합Sheet!$B$4:$F$128,3,0)</f>
        <v>지급</v>
      </c>
      <c r="E13" s="2">
        <f>VLOOKUP(B13,종합Sheet!$B$4:$F$128,4,0)</f>
        <v>0</v>
      </c>
      <c r="F13" s="2" t="s">
        <v>37</v>
      </c>
      <c r="G13" s="2">
        <f t="shared" si="2"/>
        <v>27</v>
      </c>
      <c r="H13" s="6">
        <f>I13+개인기록Sheet!C22</f>
        <v>2</v>
      </c>
      <c r="I13" s="6">
        <f t="shared" si="3"/>
        <v>2</v>
      </c>
      <c r="J13" s="2"/>
      <c r="K13" s="2" t="s">
        <v>209</v>
      </c>
      <c r="L13" s="2"/>
      <c r="M13" s="2"/>
      <c r="N13" s="2" t="s">
        <v>209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1:82" x14ac:dyDescent="0.25">
      <c r="A14" s="2">
        <v>11</v>
      </c>
      <c r="B14" s="2" t="s">
        <v>138</v>
      </c>
      <c r="C14" s="31">
        <f>VLOOKUP(B14,종합Sheet!$B$4:$F$128,2,0)</f>
        <v>2023</v>
      </c>
      <c r="D14" s="2" t="str">
        <f>VLOOKUP(B14,종합Sheet!$B$4:$F$128,3,0)</f>
        <v>지급</v>
      </c>
      <c r="E14" s="2">
        <f>VLOOKUP(B14,종합Sheet!$B$4:$F$128,4,0)</f>
        <v>0</v>
      </c>
      <c r="F14" s="2" t="s">
        <v>37</v>
      </c>
      <c r="G14" s="2">
        <f t="shared" si="2"/>
        <v>19</v>
      </c>
      <c r="H14" s="6">
        <f>I14+개인기록Sheet!C23</f>
        <v>4</v>
      </c>
      <c r="I14" s="6">
        <f t="shared" si="3"/>
        <v>1</v>
      </c>
      <c r="J14" s="2" t="s">
        <v>209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2" x14ac:dyDescent="0.25">
      <c r="A15" s="2">
        <v>12</v>
      </c>
      <c r="B15" s="2" t="s">
        <v>206</v>
      </c>
      <c r="C15" s="31">
        <f>VLOOKUP(B15,종합Sheet!$B$4:$F$128,2,0)</f>
        <v>2024</v>
      </c>
      <c r="D15" s="2" t="str">
        <f>VLOOKUP(B15,종합Sheet!$B$4:$F$128,3,0)</f>
        <v>지급</v>
      </c>
      <c r="E15" s="2">
        <f>VLOOKUP(B15,종합Sheet!$B$4:$F$128,4,0)</f>
        <v>0</v>
      </c>
      <c r="F15" s="2"/>
      <c r="G15" s="2"/>
      <c r="H15" s="6"/>
      <c r="I15" s="6"/>
      <c r="J15" s="2"/>
      <c r="K15" s="2"/>
      <c r="L15" s="2"/>
      <c r="M15" s="2"/>
      <c r="N15" s="2"/>
      <c r="O15" s="2" t="s">
        <v>209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1:82" x14ac:dyDescent="0.25">
      <c r="A16" s="2">
        <v>13</v>
      </c>
      <c r="B16" s="2" t="s">
        <v>66</v>
      </c>
      <c r="C16" s="31" t="str">
        <f>VLOOKUP(B16,종합Sheet!$B$4:$F$128,2,0)</f>
        <v>Origin</v>
      </c>
      <c r="D16" s="2" t="str">
        <f>VLOOKUP(B16,종합Sheet!$B$4:$F$128,3,0)</f>
        <v>지급</v>
      </c>
      <c r="E16" s="2">
        <f>VLOOKUP(B16,종합Sheet!$B$4:$F$128,4,0)</f>
        <v>0</v>
      </c>
      <c r="F16" s="2" t="s">
        <v>37</v>
      </c>
      <c r="G16" s="2">
        <f t="shared" si="2"/>
        <v>6</v>
      </c>
      <c r="H16" s="6">
        <f>I16+개인기록Sheet!C25</f>
        <v>8.1</v>
      </c>
      <c r="I16" s="6">
        <f t="shared" si="3"/>
        <v>5</v>
      </c>
      <c r="J16" s="2" t="s">
        <v>209</v>
      </c>
      <c r="K16" s="2" t="s">
        <v>209</v>
      </c>
      <c r="L16" s="2" t="s">
        <v>209</v>
      </c>
      <c r="M16" s="2"/>
      <c r="N16" s="2" t="s">
        <v>209</v>
      </c>
      <c r="O16" s="2" t="s">
        <v>209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2" x14ac:dyDescent="0.25">
      <c r="A17" s="2">
        <v>14</v>
      </c>
      <c r="B17" s="2" t="s">
        <v>165</v>
      </c>
      <c r="C17" s="31">
        <f>VLOOKUP(B17,종합Sheet!$B$4:$F$128,2,0)</f>
        <v>2023</v>
      </c>
      <c r="D17" s="2">
        <f>VLOOKUP(B17,종합Sheet!$B$4:$F$128,3,0)</f>
        <v>0</v>
      </c>
      <c r="E17" s="2">
        <f>VLOOKUP(B17,종합Sheet!$B$4:$F$128,4,0)</f>
        <v>0</v>
      </c>
      <c r="F17" s="2" t="s">
        <v>37</v>
      </c>
      <c r="G17" s="2">
        <f t="shared" si="2"/>
        <v>5</v>
      </c>
      <c r="H17" s="6">
        <f>I17+개인기록Sheet!C26</f>
        <v>9.1999999999999993</v>
      </c>
      <c r="I17" s="6">
        <f t="shared" si="3"/>
        <v>1</v>
      </c>
      <c r="J17" s="2"/>
      <c r="K17" s="2"/>
      <c r="L17" s="2"/>
      <c r="M17" s="2" t="s">
        <v>209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5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spans="1:82" x14ac:dyDescent="0.25">
      <c r="A18" s="2">
        <v>15</v>
      </c>
      <c r="B18" s="2" t="s">
        <v>55</v>
      </c>
      <c r="C18" s="31" t="str">
        <f>VLOOKUP(B18,종합Sheet!$B$4:$F$128,2,0)</f>
        <v>Origin</v>
      </c>
      <c r="D18" s="2" t="str">
        <f>VLOOKUP(B18,종합Sheet!$B$4:$F$128,3,0)</f>
        <v>지급</v>
      </c>
      <c r="E18" s="2">
        <f>VLOOKUP(B18,종합Sheet!$B$4:$F$128,4,0)</f>
        <v>0</v>
      </c>
      <c r="F18" s="2" t="s">
        <v>37</v>
      </c>
      <c r="G18" s="2">
        <f t="shared" si="2"/>
        <v>16</v>
      </c>
      <c r="H18" s="6">
        <f>I18+개인기록Sheet!C29</f>
        <v>5</v>
      </c>
      <c r="I18" s="6">
        <f t="shared" si="3"/>
        <v>5</v>
      </c>
      <c r="J18" s="2" t="s">
        <v>209</v>
      </c>
      <c r="K18" s="2"/>
      <c r="L18" s="2" t="s">
        <v>209</v>
      </c>
      <c r="M18" s="2" t="s">
        <v>209</v>
      </c>
      <c r="N18" s="2" t="s">
        <v>209</v>
      </c>
      <c r="O18" s="2" t="s">
        <v>209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x14ac:dyDescent="0.25">
      <c r="A19" s="2">
        <v>16</v>
      </c>
      <c r="B19" s="2" t="s">
        <v>57</v>
      </c>
      <c r="C19" s="31" t="str">
        <f>VLOOKUP(B19,종합Sheet!$B$4:$F$128,2,0)</f>
        <v>Origin</v>
      </c>
      <c r="D19" s="2" t="str">
        <f>VLOOKUP(B19,종합Sheet!$B$4:$F$128,3,0)</f>
        <v>1차</v>
      </c>
      <c r="E19" s="2">
        <f>VLOOKUP(B19,종합Sheet!$B$4:$F$128,4,0)</f>
        <v>0</v>
      </c>
      <c r="F19" s="2" t="s">
        <v>37</v>
      </c>
      <c r="G19" s="2">
        <f t="shared" si="2"/>
        <v>8</v>
      </c>
      <c r="H19" s="6">
        <f>I19+개인기록Sheet!C34</f>
        <v>7.5</v>
      </c>
      <c r="I19" s="6">
        <f t="shared" si="3"/>
        <v>5</v>
      </c>
      <c r="J19" s="2" t="s">
        <v>209</v>
      </c>
      <c r="K19" s="2" t="s">
        <v>209</v>
      </c>
      <c r="L19" s="2" t="s">
        <v>209</v>
      </c>
      <c r="M19" s="2" t="s">
        <v>209</v>
      </c>
      <c r="N19" s="2"/>
      <c r="O19" s="2" t="s">
        <v>209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5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x14ac:dyDescent="0.25">
      <c r="A20" s="2">
        <v>17</v>
      </c>
      <c r="B20" s="2" t="s">
        <v>108</v>
      </c>
      <c r="C20" s="31">
        <f>VLOOKUP(B20,종합Sheet!$B$4:$F$128,2,0)</f>
        <v>2022</v>
      </c>
      <c r="D20" s="2" t="str">
        <f>VLOOKUP(B20,종합Sheet!$B$4:$F$128,3,0)</f>
        <v>지급</v>
      </c>
      <c r="E20" s="2">
        <f>VLOOKUP(B20,종합Sheet!$B$4:$F$128,4,0)</f>
        <v>0</v>
      </c>
      <c r="F20" s="2" t="s">
        <v>37</v>
      </c>
      <c r="G20" s="2">
        <f t="shared" si="2"/>
        <v>27</v>
      </c>
      <c r="H20" s="6">
        <f>I20+개인기록Sheet!C40</f>
        <v>2</v>
      </c>
      <c r="I20" s="6">
        <f t="shared" si="3"/>
        <v>2</v>
      </c>
      <c r="J20" s="2" t="s">
        <v>209</v>
      </c>
      <c r="K20" s="2"/>
      <c r="L20" s="2"/>
      <c r="M20" s="2"/>
      <c r="N20" s="2"/>
      <c r="O20" s="2" t="s">
        <v>209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5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x14ac:dyDescent="0.25">
      <c r="A21" s="2">
        <v>18</v>
      </c>
      <c r="B21" s="2" t="s">
        <v>120</v>
      </c>
      <c r="C21" s="31">
        <f>VLOOKUP(B21,종합Sheet!$B$4:$F$128,2,0)</f>
        <v>2022</v>
      </c>
      <c r="D21" s="2" t="str">
        <f>VLOOKUP(B21,종합Sheet!$B$4:$F$128,3,0)</f>
        <v>지급</v>
      </c>
      <c r="E21" s="2">
        <f>VLOOKUP(B21,종합Sheet!$B$4:$F$128,4,0)</f>
        <v>0</v>
      </c>
      <c r="F21" s="2" t="s">
        <v>37</v>
      </c>
      <c r="G21" s="2">
        <f t="shared" si="2"/>
        <v>24</v>
      </c>
      <c r="H21" s="6">
        <f>I21+개인기록Sheet!C44</f>
        <v>2.6</v>
      </c>
      <c r="I21" s="6">
        <f t="shared" si="3"/>
        <v>2</v>
      </c>
      <c r="J21" s="2"/>
      <c r="K21" s="2"/>
      <c r="L21" s="2"/>
      <c r="M21" s="2" t="s">
        <v>209</v>
      </c>
      <c r="N21" s="2"/>
      <c r="O21" s="2" t="s">
        <v>209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5">
      <c r="A22" s="2">
        <v>19</v>
      </c>
      <c r="B22" s="2" t="s">
        <v>122</v>
      </c>
      <c r="C22" s="31">
        <f>VLOOKUP(B22,종합Sheet!$B$4:$F$128,2,0)</f>
        <v>2022</v>
      </c>
      <c r="D22" s="2">
        <f>VLOOKUP(B22,종합Sheet!$B$4:$F$128,3,0)</f>
        <v>0</v>
      </c>
      <c r="E22" s="2">
        <f>VLOOKUP(B22,종합Sheet!$B$4:$F$128,4,0)</f>
        <v>0</v>
      </c>
      <c r="F22" s="2"/>
      <c r="G22" s="2"/>
      <c r="H22" s="6"/>
      <c r="I22" s="6"/>
      <c r="J22" s="2"/>
      <c r="K22" s="2"/>
      <c r="L22" s="2"/>
      <c r="M22" s="2"/>
      <c r="N22" s="2"/>
      <c r="O22" s="2" t="s">
        <v>209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5">
      <c r="A23" s="2">
        <v>20</v>
      </c>
      <c r="B23" s="2" t="s">
        <v>139</v>
      </c>
      <c r="C23" s="31">
        <f>VLOOKUP(B23,종합Sheet!$B$4:$F$128,2,0)</f>
        <v>2023</v>
      </c>
      <c r="D23" s="2" t="str">
        <f>VLOOKUP(B23,종합Sheet!$B$4:$F$128,3,0)</f>
        <v>지급</v>
      </c>
      <c r="E23" s="2">
        <f>VLOOKUP(B23,종합Sheet!$B$4:$F$128,4,0)</f>
        <v>0</v>
      </c>
      <c r="F23" s="2" t="s">
        <v>37</v>
      </c>
      <c r="G23" s="2">
        <f t="shared" si="2"/>
        <v>3</v>
      </c>
      <c r="H23" s="6">
        <f>I23+개인기록Sheet!C49</f>
        <v>10.600000000000001</v>
      </c>
      <c r="I23" s="6">
        <f t="shared" si="3"/>
        <v>4</v>
      </c>
      <c r="J23" s="2"/>
      <c r="K23" s="2" t="s">
        <v>209</v>
      </c>
      <c r="L23" s="2" t="s">
        <v>209</v>
      </c>
      <c r="M23" s="2"/>
      <c r="N23" s="2" t="s">
        <v>209</v>
      </c>
      <c r="O23" s="2" t="s">
        <v>209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1:82" x14ac:dyDescent="0.25">
      <c r="A24" s="2">
        <v>21</v>
      </c>
      <c r="B24" s="2" t="s">
        <v>112</v>
      </c>
      <c r="C24" s="31">
        <f>VLOOKUP(B24,종합Sheet!$B$4:$F$128,2,0)</f>
        <v>2022</v>
      </c>
      <c r="D24" s="2" t="str">
        <f>VLOOKUP(B24,종합Sheet!$B$4:$F$128,3,0)</f>
        <v>지급</v>
      </c>
      <c r="E24" s="2">
        <f>VLOOKUP(B24,종합Sheet!$B$4:$F$128,4,0)</f>
        <v>0</v>
      </c>
      <c r="F24" s="2" t="s">
        <v>37</v>
      </c>
      <c r="G24" s="2">
        <f t="shared" si="2"/>
        <v>26</v>
      </c>
      <c r="H24" s="6">
        <f>I24+개인기록Sheet!C57</f>
        <v>2.2000000000000002</v>
      </c>
      <c r="I24" s="6">
        <f t="shared" si="3"/>
        <v>2</v>
      </c>
      <c r="J24" s="2"/>
      <c r="K24" s="2"/>
      <c r="L24" s="2"/>
      <c r="M24" s="2" t="s">
        <v>209</v>
      </c>
      <c r="N24" s="2" t="s">
        <v>209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1:82" x14ac:dyDescent="0.25">
      <c r="A25" s="2">
        <v>22</v>
      </c>
      <c r="B25" s="2" t="s">
        <v>128</v>
      </c>
      <c r="C25" s="31">
        <f>VLOOKUP(B25,종합Sheet!$B$4:$F$128,2,0)</f>
        <v>2023</v>
      </c>
      <c r="D25" s="2" t="str">
        <f>VLOOKUP(B25,종합Sheet!$B$4:$F$128,3,0)</f>
        <v>지급</v>
      </c>
      <c r="E25" s="2">
        <f>VLOOKUP(B25,종합Sheet!$B$4:$F$128,4,0)</f>
        <v>0</v>
      </c>
      <c r="F25" s="2" t="s">
        <v>37</v>
      </c>
      <c r="G25" s="2">
        <f t="shared" si="2"/>
        <v>11</v>
      </c>
      <c r="H25" s="6">
        <f>I25+개인기록Sheet!C59</f>
        <v>6</v>
      </c>
      <c r="I25" s="6">
        <f t="shared" si="3"/>
        <v>3</v>
      </c>
      <c r="J25" s="2" t="s">
        <v>209</v>
      </c>
      <c r="K25" s="2"/>
      <c r="L25" s="2"/>
      <c r="M25" s="2"/>
      <c r="N25" s="2" t="s">
        <v>209</v>
      </c>
      <c r="O25" s="2" t="s">
        <v>209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1:82" x14ac:dyDescent="0.25">
      <c r="A26" s="2">
        <v>23</v>
      </c>
      <c r="B26" s="2" t="s">
        <v>99</v>
      </c>
      <c r="C26" s="31">
        <f>VLOOKUP(B26,종합Sheet!$B$4:$F$128,2,0)</f>
        <v>2021</v>
      </c>
      <c r="D26" s="2" t="str">
        <f>VLOOKUP(B26,종합Sheet!$B$4:$F$128,3,0)</f>
        <v>대상</v>
      </c>
      <c r="E26" s="2">
        <f>VLOOKUP(B26,종합Sheet!$B$4:$F$128,4,0)</f>
        <v>0</v>
      </c>
      <c r="F26" s="2" t="s">
        <v>37</v>
      </c>
      <c r="G26" s="2">
        <f t="shared" si="2"/>
        <v>15</v>
      </c>
      <c r="H26" s="6">
        <f>I26+개인기록Sheet!C60</f>
        <v>5.2</v>
      </c>
      <c r="I26" s="6">
        <f t="shared" si="3"/>
        <v>4</v>
      </c>
      <c r="J26" s="2" t="s">
        <v>209</v>
      </c>
      <c r="K26" s="2" t="s">
        <v>209</v>
      </c>
      <c r="L26" s="2"/>
      <c r="M26" s="2" t="s">
        <v>209</v>
      </c>
      <c r="N26" s="2" t="s">
        <v>209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x14ac:dyDescent="0.25">
      <c r="A27" s="2">
        <v>24</v>
      </c>
      <c r="B27" s="2" t="s">
        <v>48</v>
      </c>
      <c r="C27" s="31" t="e">
        <f>VLOOKUP(B27,종합Sheet!$B$4:$F$128,2,0)</f>
        <v>#N/A</v>
      </c>
      <c r="D27" s="2" t="e">
        <f>VLOOKUP(B27,종합Sheet!$B$4:$F$128,3,0)</f>
        <v>#N/A</v>
      </c>
      <c r="E27" s="2" t="e">
        <f>VLOOKUP(B27,종합Sheet!$B$4:$F$128,4,0)</f>
        <v>#N/A</v>
      </c>
      <c r="F27" s="2" t="s">
        <v>37</v>
      </c>
      <c r="G27" s="2">
        <f t="shared" si="2"/>
        <v>10</v>
      </c>
      <c r="H27" s="6">
        <f>I27+개인기록Sheet!C62</f>
        <v>6.5</v>
      </c>
      <c r="I27" s="6">
        <f t="shared" si="3"/>
        <v>3</v>
      </c>
      <c r="J27" s="2"/>
      <c r="K27" s="2"/>
      <c r="L27" s="2" t="s">
        <v>209</v>
      </c>
      <c r="M27" s="2" t="s">
        <v>209</v>
      </c>
      <c r="N27" s="2"/>
      <c r="O27" s="2" t="s">
        <v>209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5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x14ac:dyDescent="0.25">
      <c r="A28" s="2">
        <v>25</v>
      </c>
      <c r="B28" s="2" t="s">
        <v>77</v>
      </c>
      <c r="C28" s="31" t="str">
        <f>VLOOKUP(B28,종합Sheet!$B$4:$F$128,2,0)</f>
        <v>Origin</v>
      </c>
      <c r="D28" s="2" t="str">
        <f>VLOOKUP(B28,종합Sheet!$B$4:$F$128,3,0)</f>
        <v>지급</v>
      </c>
      <c r="E28" s="2">
        <f>VLOOKUP(B28,종합Sheet!$B$4:$F$128,4,0)</f>
        <v>0</v>
      </c>
      <c r="F28" s="2" t="s">
        <v>37</v>
      </c>
      <c r="G28" s="2">
        <f t="shared" si="2"/>
        <v>22</v>
      </c>
      <c r="H28" s="6">
        <f>I28+개인기록Sheet!C63</f>
        <v>3</v>
      </c>
      <c r="I28" s="6">
        <f t="shared" si="3"/>
        <v>3</v>
      </c>
      <c r="J28" s="2"/>
      <c r="K28" s="2" t="s">
        <v>209</v>
      </c>
      <c r="L28" s="2"/>
      <c r="M28" s="2" t="s">
        <v>209</v>
      </c>
      <c r="N28" s="2" t="s">
        <v>209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5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5">
      <c r="A29" s="2">
        <v>26</v>
      </c>
      <c r="B29" s="2" t="s">
        <v>183</v>
      </c>
      <c r="C29" s="31">
        <f>VLOOKUP(B29,종합Sheet!$B$4:$F$128,2,0)</f>
        <v>2023</v>
      </c>
      <c r="D29" s="2" t="str">
        <f>VLOOKUP(B29,종합Sheet!$B$4:$F$128,3,0)</f>
        <v>대상</v>
      </c>
      <c r="E29" s="2">
        <f>VLOOKUP(B29,종합Sheet!$B$4:$F$128,4,0)</f>
        <v>0</v>
      </c>
      <c r="F29" s="2" t="s">
        <v>37</v>
      </c>
      <c r="G29" s="2">
        <f t="shared" ref="G29" si="4">RANK(H29,$H$4:$H$37,0)</f>
        <v>31</v>
      </c>
      <c r="H29" s="6">
        <f>I29+개인기록Sheet!C64</f>
        <v>1.2</v>
      </c>
      <c r="I29" s="6">
        <f t="shared" ref="I29" si="5">(COUNTIF(J29:CD29,"출전")*1)</f>
        <v>1</v>
      </c>
      <c r="J29" s="2"/>
      <c r="K29" s="2"/>
      <c r="L29" s="2"/>
      <c r="M29" s="2"/>
      <c r="N29" s="2" t="s">
        <v>209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5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x14ac:dyDescent="0.25">
      <c r="A30" s="2">
        <v>27</v>
      </c>
      <c r="B30" s="2" t="s">
        <v>7</v>
      </c>
      <c r="C30" s="31" t="str">
        <f>VLOOKUP(B30,종합Sheet!$B$4:$F$128,2,0)</f>
        <v>Origin</v>
      </c>
      <c r="D30" s="2" t="str">
        <f>VLOOKUP(B30,종합Sheet!$B$4:$F$128,3,0)</f>
        <v>지급</v>
      </c>
      <c r="E30" s="2">
        <f>VLOOKUP(B30,종합Sheet!$B$4:$F$128,4,0)</f>
        <v>0</v>
      </c>
      <c r="F30" s="2" t="s">
        <v>37</v>
      </c>
      <c r="G30" s="2">
        <f t="shared" si="2"/>
        <v>18</v>
      </c>
      <c r="H30" s="6">
        <f>I30+개인기록Sheet!C69</f>
        <v>4.2</v>
      </c>
      <c r="I30" s="6">
        <f t="shared" ref="I30:I37" si="6">(COUNTIF(J30:CD30,"출전")*1)</f>
        <v>3</v>
      </c>
      <c r="J30" s="2"/>
      <c r="K30" s="2"/>
      <c r="L30" s="2" t="s">
        <v>209</v>
      </c>
      <c r="M30" s="2" t="s">
        <v>209</v>
      </c>
      <c r="N30" s="2" t="s">
        <v>209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5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1:82" x14ac:dyDescent="0.25">
      <c r="A31" s="2">
        <v>28</v>
      </c>
      <c r="B31" s="2" t="s">
        <v>5</v>
      </c>
      <c r="C31" s="31" t="str">
        <f>VLOOKUP(B31,종합Sheet!$B$4:$F$128,2,0)</f>
        <v>Origin</v>
      </c>
      <c r="D31" s="2" t="str">
        <f>VLOOKUP(B31,종합Sheet!$B$4:$F$128,3,0)</f>
        <v>대상</v>
      </c>
      <c r="E31" s="2">
        <f>VLOOKUP(B31,종합Sheet!$B$4:$F$128,4,0)</f>
        <v>0</v>
      </c>
      <c r="F31" s="2" t="s">
        <v>37</v>
      </c>
      <c r="G31" s="2">
        <f t="shared" si="2"/>
        <v>31</v>
      </c>
      <c r="H31" s="6">
        <f>I31+개인기록Sheet!C72</f>
        <v>1.2</v>
      </c>
      <c r="I31" s="6">
        <f t="shared" si="6"/>
        <v>1</v>
      </c>
      <c r="J31" s="2"/>
      <c r="K31" s="2"/>
      <c r="L31" s="2"/>
      <c r="M31" s="2" t="s">
        <v>209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spans="1:82" x14ac:dyDescent="0.25">
      <c r="A32" s="2">
        <v>29</v>
      </c>
      <c r="B32" s="2" t="s">
        <v>125</v>
      </c>
      <c r="C32" s="31" t="e">
        <f>VLOOKUP(B32,종합Sheet!$B$4:$F$128,2,0)</f>
        <v>#N/A</v>
      </c>
      <c r="D32" s="2" t="e">
        <f>VLOOKUP(B32,종합Sheet!$B$4:$F$128,3,0)</f>
        <v>#N/A</v>
      </c>
      <c r="E32" s="2" t="e">
        <f>VLOOKUP(B32,종합Sheet!$B$4:$F$128,4,0)</f>
        <v>#N/A</v>
      </c>
      <c r="F32" s="2" t="s">
        <v>37</v>
      </c>
      <c r="G32" s="2">
        <f t="shared" si="2"/>
        <v>9</v>
      </c>
      <c r="H32" s="6">
        <f>I32+개인기록Sheet!C79</f>
        <v>7.2</v>
      </c>
      <c r="I32" s="6">
        <f t="shared" si="6"/>
        <v>4</v>
      </c>
      <c r="J32" s="2" t="s">
        <v>209</v>
      </c>
      <c r="K32" s="2" t="s">
        <v>209</v>
      </c>
      <c r="L32" s="2" t="s">
        <v>209</v>
      </c>
      <c r="M32" s="2"/>
      <c r="N32" s="2"/>
      <c r="O32" s="2" t="s">
        <v>209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5"/>
      <c r="AG32" s="5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x14ac:dyDescent="0.25">
      <c r="A33" s="2">
        <v>30</v>
      </c>
      <c r="B33" s="2" t="s">
        <v>123</v>
      </c>
      <c r="C33" s="31">
        <f>VLOOKUP(B33,종합Sheet!$B$4:$F$128,2,0)</f>
        <v>2022</v>
      </c>
      <c r="D33" s="2">
        <f>VLOOKUP(B33,종합Sheet!$B$4:$F$128,3,0)</f>
        <v>0</v>
      </c>
      <c r="E33" s="2">
        <f>VLOOKUP(B33,종합Sheet!$B$4:$F$128,4,0)</f>
        <v>0</v>
      </c>
      <c r="F33" s="2" t="s">
        <v>37</v>
      </c>
      <c r="G33" s="2">
        <f t="shared" si="2"/>
        <v>29</v>
      </c>
      <c r="H33" s="6">
        <f>I33+개인기록Sheet!C83</f>
        <v>1.8</v>
      </c>
      <c r="I33" s="6">
        <f t="shared" si="6"/>
        <v>1</v>
      </c>
      <c r="J33" s="2"/>
      <c r="K33" s="2"/>
      <c r="L33" s="2"/>
      <c r="M33" s="2" t="s">
        <v>209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5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1:82" x14ac:dyDescent="0.25">
      <c r="A34" s="2">
        <v>31</v>
      </c>
      <c r="B34" s="2" t="s">
        <v>140</v>
      </c>
      <c r="C34" s="31">
        <f>VLOOKUP(B34,종합Sheet!$B$4:$F$128,2,0)</f>
        <v>2023</v>
      </c>
      <c r="D34" s="2" t="str">
        <f>VLOOKUP(B34,종합Sheet!$B$4:$F$128,3,0)</f>
        <v>대상</v>
      </c>
      <c r="E34" s="2">
        <f>VLOOKUP(B34,종합Sheet!$B$4:$F$128,4,0)</f>
        <v>0</v>
      </c>
      <c r="F34" s="2" t="s">
        <v>37</v>
      </c>
      <c r="G34" s="2">
        <f t="shared" si="2"/>
        <v>29</v>
      </c>
      <c r="H34" s="6">
        <f>I34+개인기록Sheet!C90</f>
        <v>1.8</v>
      </c>
      <c r="I34" s="6">
        <f t="shared" si="6"/>
        <v>1</v>
      </c>
      <c r="J34" s="2"/>
      <c r="K34" s="2" t="s">
        <v>209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5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1:82" x14ac:dyDescent="0.25">
      <c r="A35" s="2">
        <v>32</v>
      </c>
      <c r="B35" s="2" t="s">
        <v>126</v>
      </c>
      <c r="C35" s="31">
        <f>VLOOKUP(B35,종합Sheet!$B$4:$F$128,2,0)</f>
        <v>2023</v>
      </c>
      <c r="D35" s="2" t="str">
        <f>VLOOKUP(B35,종합Sheet!$B$4:$F$128,3,0)</f>
        <v>지급</v>
      </c>
      <c r="E35" s="2">
        <f>VLOOKUP(B35,종합Sheet!$B$4:$F$128,4,0)</f>
        <v>0</v>
      </c>
      <c r="F35" s="2" t="s">
        <v>37</v>
      </c>
      <c r="G35" s="2">
        <f t="shared" si="2"/>
        <v>7</v>
      </c>
      <c r="H35" s="6">
        <f>I35+개인기록Sheet!C97</f>
        <v>7.6</v>
      </c>
      <c r="I35" s="6">
        <f t="shared" si="6"/>
        <v>5</v>
      </c>
      <c r="J35" s="2" t="s">
        <v>209</v>
      </c>
      <c r="K35" s="2" t="s">
        <v>209</v>
      </c>
      <c r="L35" s="2" t="s">
        <v>209</v>
      </c>
      <c r="M35" s="2" t="s">
        <v>209</v>
      </c>
      <c r="N35" s="2"/>
      <c r="O35" s="2" t="s">
        <v>209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spans="1:82" x14ac:dyDescent="0.25">
      <c r="A36" s="2">
        <v>33</v>
      </c>
      <c r="B36" s="2" t="s">
        <v>32</v>
      </c>
      <c r="C36" s="31" t="str">
        <f>VLOOKUP(B36,종합Sheet!$B$4:$F$128,2,0)</f>
        <v>Origin</v>
      </c>
      <c r="D36" s="2" t="str">
        <f>VLOOKUP(B36,종합Sheet!$B$4:$F$128,3,0)</f>
        <v>대상</v>
      </c>
      <c r="E36" s="2">
        <f>VLOOKUP(B36,종합Sheet!$B$4:$F$128,4,0)</f>
        <v>0</v>
      </c>
      <c r="F36" s="2" t="s">
        <v>37</v>
      </c>
      <c r="G36" s="2">
        <f t="shared" si="2"/>
        <v>20</v>
      </c>
      <c r="H36" s="6">
        <f>I36+개인기록Sheet!C102</f>
        <v>3.8</v>
      </c>
      <c r="I36" s="6">
        <f t="shared" si="6"/>
        <v>3</v>
      </c>
      <c r="J36" s="2" t="s">
        <v>209</v>
      </c>
      <c r="K36" s="2" t="s">
        <v>209</v>
      </c>
      <c r="L36" s="2" t="s">
        <v>209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1:82" x14ac:dyDescent="0.25">
      <c r="A37" s="2">
        <v>34</v>
      </c>
      <c r="B37" s="2" t="s">
        <v>44</v>
      </c>
      <c r="C37" s="31" t="str">
        <f>VLOOKUP(B37,종합Sheet!$B$4:$F$128,2,0)</f>
        <v>Origin</v>
      </c>
      <c r="D37" s="2" t="str">
        <f>VLOOKUP(B37,종합Sheet!$B$4:$F$128,3,0)</f>
        <v>지급</v>
      </c>
      <c r="E37" s="2">
        <f>VLOOKUP(B37,종합Sheet!$B$4:$F$128,4,0)</f>
        <v>0</v>
      </c>
      <c r="F37" s="2" t="s">
        <v>37</v>
      </c>
      <c r="G37" s="2">
        <f t="shared" si="2"/>
        <v>12</v>
      </c>
      <c r="H37" s="6">
        <f>I37+개인기록Sheet!C104</f>
        <v>5.9</v>
      </c>
      <c r="I37" s="6">
        <f t="shared" si="6"/>
        <v>5</v>
      </c>
      <c r="J37" s="2" t="s">
        <v>209</v>
      </c>
      <c r="K37" s="2" t="s">
        <v>209</v>
      </c>
      <c r="L37" s="2" t="s">
        <v>209</v>
      </c>
      <c r="M37" s="2"/>
      <c r="N37" s="2" t="s">
        <v>209</v>
      </c>
      <c r="O37" s="2" t="s">
        <v>209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</sheetData>
  <autoFilter ref="A3:CT37" xr:uid="{00000000-0001-0000-0000-000000000000}">
    <sortState xmlns:xlrd2="http://schemas.microsoft.com/office/spreadsheetml/2017/richdata2" ref="A4:CT37">
      <sortCondition ref="A3:A37"/>
    </sortState>
  </autoFilter>
  <phoneticPr fontId="2" type="noConversion"/>
  <conditionalFormatting sqref="D4:E37">
    <cfRule type="containsText" dxfId="3" priority="2" operator="containsText" text="지급">
      <formula>NOT(ISERROR(SEARCH("지급",D4)))</formula>
    </cfRule>
  </conditionalFormatting>
  <conditionalFormatting sqref="G4:G37">
    <cfRule type="top10" dxfId="2" priority="426" bottom="1" rank="10"/>
  </conditionalFormatting>
  <conditionalFormatting sqref="H4:H37">
    <cfRule type="top10" dxfId="1" priority="428" rank="10"/>
  </conditionalFormatting>
  <conditionalFormatting sqref="I4:I37">
    <cfRule type="top10" dxfId="0" priority="430" rank="10"/>
  </conditionalFormatting>
  <pageMargins left="0.39347222447395325" right="0.39347222447395325" top="0.19666667282581329" bottom="0.19666667282581329" header="0.19666667282581329" footer="0.19666667282581329"/>
  <pageSetup paperSize="9" scale="9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46DD-3190-4B01-99D0-3AC5A9404CDF}">
  <dimension ref="A2:V26"/>
  <sheetViews>
    <sheetView topLeftCell="A7" zoomScaleNormal="125" workbookViewId="0">
      <selection activeCell="L24" sqref="L24"/>
    </sheetView>
  </sheetViews>
  <sheetFormatPr defaultColWidth="8.8984375" defaultRowHeight="15.6" x14ac:dyDescent="0.25"/>
  <cols>
    <col min="1" max="1" width="4.8984375" style="1" bestFit="1" customWidth="1"/>
    <col min="2" max="2" width="5.69921875" style="1" bestFit="1" customWidth="1"/>
    <col min="3" max="4" width="8.8984375" style="1" customWidth="1"/>
    <col min="5" max="22" width="5.796875" style="1" customWidth="1"/>
  </cols>
  <sheetData>
    <row r="2" spans="1:22" x14ac:dyDescent="0.25">
      <c r="B2" s="1" t="s">
        <v>210</v>
      </c>
    </row>
    <row r="4" spans="1:22" ht="13.35" customHeight="1" x14ac:dyDescent="0.25">
      <c r="A4" s="28"/>
      <c r="B4" s="11">
        <v>44985</v>
      </c>
      <c r="C4" s="10" t="s">
        <v>76</v>
      </c>
      <c r="D4" s="10" t="s">
        <v>213</v>
      </c>
      <c r="E4" s="80" t="s">
        <v>84</v>
      </c>
      <c r="F4" s="80"/>
      <c r="G4" s="80"/>
      <c r="H4" s="80"/>
      <c r="I4" s="81" t="s">
        <v>87</v>
      </c>
      <c r="J4" s="81"/>
      <c r="K4" s="81"/>
      <c r="L4" s="81"/>
      <c r="M4" s="82" t="s">
        <v>86</v>
      </c>
      <c r="N4" s="82"/>
      <c r="O4" s="82"/>
      <c r="P4" s="82"/>
      <c r="Q4" s="79" t="s">
        <v>80</v>
      </c>
      <c r="R4" s="79"/>
      <c r="S4" s="79"/>
      <c r="T4" s="79"/>
      <c r="U4" s="79"/>
      <c r="V4" s="79"/>
    </row>
    <row r="5" spans="1:22" x14ac:dyDescent="0.25">
      <c r="A5" s="27"/>
      <c r="B5" s="12" t="s">
        <v>67</v>
      </c>
      <c r="C5" s="10">
        <v>2</v>
      </c>
      <c r="D5" s="10">
        <v>0</v>
      </c>
      <c r="E5" s="7" t="s">
        <v>93</v>
      </c>
      <c r="F5" s="7" t="s">
        <v>111</v>
      </c>
      <c r="G5" s="7"/>
      <c r="H5" s="7"/>
      <c r="I5" s="8"/>
      <c r="J5" s="8" t="s">
        <v>99</v>
      </c>
      <c r="K5" s="8"/>
      <c r="L5" s="8"/>
      <c r="M5" s="20" t="s">
        <v>103</v>
      </c>
      <c r="N5" s="20" t="s">
        <v>109</v>
      </c>
      <c r="O5" s="20" t="s">
        <v>113</v>
      </c>
      <c r="P5" s="20"/>
      <c r="Q5" s="9" t="s">
        <v>137</v>
      </c>
      <c r="R5" s="9" t="s">
        <v>126</v>
      </c>
      <c r="S5" s="9" t="s">
        <v>216</v>
      </c>
      <c r="T5" s="9" t="s">
        <v>99</v>
      </c>
      <c r="U5" s="9"/>
      <c r="V5" s="13" t="s">
        <v>110</v>
      </c>
    </row>
    <row r="6" spans="1:22" x14ac:dyDescent="0.25">
      <c r="A6" s="27"/>
      <c r="B6" s="12" t="s">
        <v>73</v>
      </c>
      <c r="C6" s="10">
        <v>2</v>
      </c>
      <c r="D6" s="10">
        <v>1</v>
      </c>
      <c r="E6" s="7" t="s">
        <v>214</v>
      </c>
      <c r="F6" s="7" t="s">
        <v>215</v>
      </c>
      <c r="G6" s="7"/>
      <c r="H6" s="7"/>
      <c r="I6" s="8" t="s">
        <v>92</v>
      </c>
      <c r="J6" s="8"/>
      <c r="K6" s="8"/>
      <c r="L6" s="8"/>
      <c r="M6" s="20"/>
      <c r="N6" s="20"/>
      <c r="O6" s="20"/>
      <c r="P6" s="20"/>
      <c r="Q6" s="9"/>
      <c r="R6" s="9"/>
      <c r="S6" s="9"/>
      <c r="T6" s="9"/>
      <c r="U6" s="9"/>
      <c r="V6" s="13"/>
    </row>
    <row r="7" spans="1:22" x14ac:dyDescent="0.25">
      <c r="A7" s="27"/>
      <c r="B7" s="12" t="s">
        <v>75</v>
      </c>
      <c r="C7" s="10">
        <v>0</v>
      </c>
      <c r="D7" s="10">
        <v>2</v>
      </c>
      <c r="E7" s="7"/>
      <c r="F7" s="7"/>
      <c r="G7" s="7"/>
      <c r="H7" s="7"/>
      <c r="I7" s="8"/>
      <c r="J7" s="8"/>
      <c r="K7" s="8"/>
      <c r="L7" s="8"/>
      <c r="M7" s="20"/>
      <c r="N7" s="20"/>
      <c r="O7" s="20"/>
      <c r="P7" s="20"/>
      <c r="Q7" s="9"/>
      <c r="R7" s="9"/>
      <c r="S7" s="9"/>
      <c r="T7" s="9"/>
      <c r="U7" s="9"/>
      <c r="V7" s="13"/>
    </row>
    <row r="8" spans="1:22" x14ac:dyDescent="0.25">
      <c r="A8" s="28"/>
      <c r="B8" s="12" t="s">
        <v>43</v>
      </c>
      <c r="C8" s="10">
        <v>1</v>
      </c>
      <c r="D8" s="10">
        <v>0</v>
      </c>
      <c r="E8" s="7" t="s">
        <v>103</v>
      </c>
      <c r="F8" s="7"/>
      <c r="G8" s="7"/>
      <c r="H8" s="7"/>
      <c r="I8" s="8"/>
      <c r="J8" s="8"/>
      <c r="K8" s="8"/>
      <c r="L8" s="8"/>
      <c r="M8" s="20" t="s">
        <v>103</v>
      </c>
      <c r="N8" s="20" t="s">
        <v>109</v>
      </c>
      <c r="O8" s="20" t="s">
        <v>113</v>
      </c>
      <c r="P8" s="20" t="s">
        <v>93</v>
      </c>
      <c r="Q8" s="9" t="s">
        <v>137</v>
      </c>
      <c r="R8" s="9" t="s">
        <v>126</v>
      </c>
      <c r="S8" s="9" t="s">
        <v>140</v>
      </c>
      <c r="T8" s="9" t="s">
        <v>139</v>
      </c>
      <c r="U8" s="9"/>
      <c r="V8" s="13" t="s">
        <v>110</v>
      </c>
    </row>
    <row r="9" spans="1:22" x14ac:dyDescent="0.25">
      <c r="A9" s="27"/>
      <c r="B9" s="12" t="s">
        <v>42</v>
      </c>
      <c r="C9" s="10"/>
      <c r="D9" s="10"/>
      <c r="E9" s="7"/>
      <c r="F9" s="7"/>
      <c r="G9" s="7"/>
      <c r="H9" s="7"/>
      <c r="I9" s="8"/>
      <c r="J9" s="8"/>
      <c r="K9" s="8"/>
      <c r="L9" s="8"/>
      <c r="M9" s="20"/>
      <c r="N9" s="20"/>
      <c r="O9" s="20"/>
      <c r="P9" s="20"/>
      <c r="Q9" s="9"/>
      <c r="R9" s="9"/>
      <c r="S9" s="9"/>
      <c r="T9" s="9"/>
      <c r="U9" s="9"/>
      <c r="V9" s="13"/>
    </row>
    <row r="10" spans="1:22" x14ac:dyDescent="0.25">
      <c r="B10" s="2" t="s">
        <v>91</v>
      </c>
      <c r="C10" s="2">
        <f>SUM(C5:C9)</f>
        <v>5</v>
      </c>
      <c r="D10" s="2">
        <f>SUM(D5:D9)</f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2" spans="1:22" x14ac:dyDescent="0.25">
      <c r="B12" s="11">
        <v>45068</v>
      </c>
      <c r="C12" s="10" t="s">
        <v>76</v>
      </c>
      <c r="D12" s="10" t="s">
        <v>213</v>
      </c>
      <c r="E12" s="80" t="s">
        <v>84</v>
      </c>
      <c r="F12" s="80"/>
      <c r="G12" s="80"/>
      <c r="H12" s="80"/>
      <c r="I12" s="81" t="s">
        <v>87</v>
      </c>
      <c r="J12" s="81"/>
      <c r="K12" s="81"/>
      <c r="L12" s="81"/>
      <c r="M12" s="82" t="s">
        <v>86</v>
      </c>
      <c r="N12" s="82"/>
      <c r="O12" s="82"/>
      <c r="P12" s="82"/>
      <c r="Q12" s="79" t="s">
        <v>80</v>
      </c>
      <c r="R12" s="79"/>
      <c r="S12" s="79"/>
      <c r="T12" s="79"/>
      <c r="U12" s="79"/>
      <c r="V12" s="79"/>
    </row>
    <row r="13" spans="1:22" x14ac:dyDescent="0.25">
      <c r="B13" s="12" t="s">
        <v>67</v>
      </c>
      <c r="C13" s="10">
        <v>1</v>
      </c>
      <c r="D13" s="10">
        <v>0</v>
      </c>
      <c r="E13" s="7" t="s">
        <v>111</v>
      </c>
      <c r="F13" s="7"/>
      <c r="G13" s="7"/>
      <c r="H13" s="7"/>
      <c r="I13" s="8"/>
      <c r="J13" s="8"/>
      <c r="K13" s="8"/>
      <c r="L13" s="8"/>
      <c r="M13" s="20" t="s">
        <v>41</v>
      </c>
      <c r="N13" s="20" t="s">
        <v>231</v>
      </c>
      <c r="O13" s="20" t="s">
        <v>7</v>
      </c>
      <c r="P13" s="20"/>
      <c r="Q13" s="9" t="s">
        <v>120</v>
      </c>
      <c r="R13" s="9" t="s">
        <v>126</v>
      </c>
      <c r="S13" s="9" t="s">
        <v>222</v>
      </c>
      <c r="T13" s="9" t="s">
        <v>219</v>
      </c>
      <c r="U13" s="9"/>
      <c r="V13" s="13" t="s">
        <v>165</v>
      </c>
    </row>
    <row r="14" spans="1:22" x14ac:dyDescent="0.25">
      <c r="B14" s="12" t="s">
        <v>73</v>
      </c>
      <c r="C14" s="10">
        <v>3</v>
      </c>
      <c r="D14" s="10">
        <v>0</v>
      </c>
      <c r="E14" s="7" t="s">
        <v>99</v>
      </c>
      <c r="F14" s="7" t="s">
        <v>99</v>
      </c>
      <c r="G14" s="7" t="s">
        <v>111</v>
      </c>
      <c r="H14" s="7"/>
      <c r="I14" s="8" t="s">
        <v>103</v>
      </c>
      <c r="J14" s="8"/>
      <c r="K14" s="8"/>
      <c r="L14" s="8"/>
      <c r="M14" s="20" t="s">
        <v>105</v>
      </c>
      <c r="N14" s="20" t="s">
        <v>99</v>
      </c>
      <c r="O14" s="20" t="s">
        <v>103</v>
      </c>
      <c r="P14" s="20"/>
      <c r="Q14" s="9" t="s">
        <v>223</v>
      </c>
      <c r="R14" s="9" t="s">
        <v>222</v>
      </c>
      <c r="S14" s="9" t="s">
        <v>216</v>
      </c>
      <c r="T14" s="9" t="s">
        <v>219</v>
      </c>
      <c r="U14" s="9"/>
      <c r="V14" s="13" t="s">
        <v>165</v>
      </c>
    </row>
    <row r="15" spans="1:22" x14ac:dyDescent="0.25">
      <c r="B15" s="12" t="s">
        <v>75</v>
      </c>
      <c r="C15" s="10">
        <v>2</v>
      </c>
      <c r="D15" s="10">
        <v>0</v>
      </c>
      <c r="E15" s="7" t="s">
        <v>92</v>
      </c>
      <c r="F15" s="7" t="s">
        <v>92</v>
      </c>
      <c r="G15" s="7"/>
      <c r="H15" s="7"/>
      <c r="I15" s="8"/>
      <c r="J15" s="8"/>
      <c r="K15" s="8"/>
      <c r="L15" s="8"/>
      <c r="M15" s="20" t="s">
        <v>55</v>
      </c>
      <c r="N15" s="20" t="s">
        <v>7</v>
      </c>
      <c r="O15" s="20" t="s">
        <v>48</v>
      </c>
      <c r="P15" s="20"/>
      <c r="Q15" s="9" t="s">
        <v>120</v>
      </c>
      <c r="R15" s="9" t="s">
        <v>126</v>
      </c>
      <c r="S15" s="9" t="s">
        <v>216</v>
      </c>
      <c r="T15" s="9" t="s">
        <v>219</v>
      </c>
      <c r="U15" s="9"/>
      <c r="V15" s="13" t="s">
        <v>165</v>
      </c>
    </row>
    <row r="16" spans="1:22" x14ac:dyDescent="0.25">
      <c r="B16" s="12" t="s">
        <v>43</v>
      </c>
      <c r="C16" s="10">
        <v>1</v>
      </c>
      <c r="D16" s="10">
        <v>0</v>
      </c>
      <c r="E16" s="7" t="s">
        <v>123</v>
      </c>
      <c r="F16" s="7"/>
      <c r="G16" s="7"/>
      <c r="H16" s="7"/>
      <c r="I16" s="8" t="s">
        <v>99</v>
      </c>
      <c r="J16" s="8"/>
      <c r="K16" s="8"/>
      <c r="L16" s="8"/>
      <c r="M16" s="20"/>
      <c r="N16" s="20"/>
      <c r="O16" s="20"/>
      <c r="P16" s="20"/>
      <c r="Q16" s="9"/>
      <c r="R16" s="9"/>
      <c r="S16" s="9"/>
      <c r="T16" s="9"/>
      <c r="U16" s="9"/>
      <c r="V16" s="13"/>
    </row>
    <row r="17" spans="2:22" x14ac:dyDescent="0.25">
      <c r="B17" s="12" t="s">
        <v>42</v>
      </c>
      <c r="C17" s="10"/>
      <c r="D17" s="10"/>
      <c r="E17" s="7"/>
      <c r="F17" s="7"/>
      <c r="G17" s="7"/>
      <c r="H17" s="7"/>
      <c r="I17" s="8"/>
      <c r="J17" s="8"/>
      <c r="K17" s="8"/>
      <c r="L17" s="8"/>
      <c r="M17" s="20"/>
      <c r="N17" s="20"/>
      <c r="O17" s="20"/>
      <c r="P17" s="20"/>
      <c r="Q17" s="9"/>
      <c r="R17" s="9"/>
      <c r="S17" s="9"/>
      <c r="T17" s="9"/>
      <c r="U17" s="9"/>
      <c r="V17" s="13"/>
    </row>
    <row r="18" spans="2:22" x14ac:dyDescent="0.25">
      <c r="B18" s="2" t="s">
        <v>91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20" spans="2:22" x14ac:dyDescent="0.25">
      <c r="B20" s="11">
        <v>45074</v>
      </c>
      <c r="C20" s="10" t="s">
        <v>76</v>
      </c>
      <c r="D20" s="10" t="s">
        <v>224</v>
      </c>
      <c r="E20" s="80" t="s">
        <v>84</v>
      </c>
      <c r="F20" s="80"/>
      <c r="G20" s="80"/>
      <c r="H20" s="80"/>
      <c r="I20" s="81" t="s">
        <v>87</v>
      </c>
      <c r="J20" s="81"/>
      <c r="K20" s="81"/>
      <c r="L20" s="81"/>
      <c r="M20" s="82" t="s">
        <v>86</v>
      </c>
      <c r="N20" s="82"/>
      <c r="O20" s="82"/>
      <c r="P20" s="82"/>
      <c r="Q20" s="79" t="s">
        <v>80</v>
      </c>
      <c r="R20" s="79"/>
      <c r="S20" s="79"/>
      <c r="T20" s="79"/>
      <c r="U20" s="79"/>
      <c r="V20" s="79"/>
    </row>
    <row r="21" spans="2:22" x14ac:dyDescent="0.25">
      <c r="B21" s="12" t="s">
        <v>67</v>
      </c>
      <c r="C21" s="10">
        <v>1</v>
      </c>
      <c r="D21" s="10">
        <v>0</v>
      </c>
      <c r="E21" s="7" t="s">
        <v>111</v>
      </c>
      <c r="F21" s="7"/>
      <c r="G21" s="7"/>
      <c r="H21" s="7"/>
      <c r="I21" s="8" t="s">
        <v>102</v>
      </c>
      <c r="J21" s="8"/>
      <c r="K21" s="8"/>
      <c r="L21" s="8"/>
      <c r="M21" s="20" t="s">
        <v>128</v>
      </c>
      <c r="N21" s="20" t="s">
        <v>109</v>
      </c>
      <c r="O21" s="20" t="s">
        <v>99</v>
      </c>
      <c r="P21" s="20"/>
      <c r="Q21" s="9" t="s">
        <v>137</v>
      </c>
      <c r="R21" s="9" t="s">
        <v>104</v>
      </c>
      <c r="S21" s="9" t="s">
        <v>229</v>
      </c>
      <c r="T21" s="9" t="s">
        <v>219</v>
      </c>
      <c r="U21" s="9"/>
      <c r="V21" s="13" t="s">
        <v>110</v>
      </c>
    </row>
    <row r="22" spans="2:22" x14ac:dyDescent="0.25">
      <c r="B22" s="12" t="s">
        <v>73</v>
      </c>
      <c r="C22" s="10">
        <v>3</v>
      </c>
      <c r="D22" s="10">
        <v>0</v>
      </c>
      <c r="E22" s="7" t="s">
        <v>102</v>
      </c>
      <c r="F22" s="7" t="s">
        <v>111</v>
      </c>
      <c r="G22" s="7" t="s">
        <v>112</v>
      </c>
      <c r="H22" s="7"/>
      <c r="I22" s="8" t="s">
        <v>111</v>
      </c>
      <c r="J22" s="8" t="s">
        <v>218</v>
      </c>
      <c r="K22" s="8" t="s">
        <v>99</v>
      </c>
      <c r="L22" s="8"/>
      <c r="M22" s="20" t="s">
        <v>218</v>
      </c>
      <c r="N22" s="20" t="s">
        <v>105</v>
      </c>
      <c r="O22" s="20" t="s">
        <v>99</v>
      </c>
      <c r="P22" s="20"/>
      <c r="Q22" s="9" t="s">
        <v>183</v>
      </c>
      <c r="R22" s="9" t="s">
        <v>104</v>
      </c>
      <c r="S22" s="9" t="s">
        <v>229</v>
      </c>
      <c r="T22" s="9" t="s">
        <v>219</v>
      </c>
      <c r="U22" s="9"/>
      <c r="V22" s="13" t="s">
        <v>110</v>
      </c>
    </row>
    <row r="23" spans="2:22" x14ac:dyDescent="0.25">
      <c r="B23" s="12" t="s">
        <v>75</v>
      </c>
      <c r="C23" s="10">
        <v>4</v>
      </c>
      <c r="D23" s="10">
        <v>1</v>
      </c>
      <c r="E23" s="7" t="s">
        <v>218</v>
      </c>
      <c r="F23" s="7" t="s">
        <v>183</v>
      </c>
      <c r="G23" s="7" t="s">
        <v>218</v>
      </c>
      <c r="H23" s="7" t="s">
        <v>128</v>
      </c>
      <c r="I23" s="8" t="s">
        <v>183</v>
      </c>
      <c r="J23" s="8" t="s">
        <v>219</v>
      </c>
      <c r="K23" s="8" t="s">
        <v>183</v>
      </c>
      <c r="L23" s="8" t="s">
        <v>219</v>
      </c>
      <c r="M23" s="20"/>
      <c r="N23" s="20"/>
      <c r="O23" s="20"/>
      <c r="P23" s="20"/>
      <c r="Q23" s="9"/>
      <c r="R23" s="9"/>
      <c r="S23" s="9"/>
      <c r="T23" s="9"/>
      <c r="U23" s="9"/>
      <c r="V23" s="13"/>
    </row>
    <row r="24" spans="2:22" x14ac:dyDescent="0.25">
      <c r="B24" s="12" t="s">
        <v>43</v>
      </c>
      <c r="C24" s="10">
        <v>2</v>
      </c>
      <c r="D24" s="10">
        <v>1</v>
      </c>
      <c r="E24" s="7" t="s">
        <v>183</v>
      </c>
      <c r="F24" s="7" t="s">
        <v>183</v>
      </c>
      <c r="G24" s="7"/>
      <c r="H24" s="7"/>
      <c r="I24" s="8" t="s">
        <v>218</v>
      </c>
      <c r="J24" s="8" t="s">
        <v>105</v>
      </c>
      <c r="K24" s="8"/>
      <c r="L24" s="8"/>
      <c r="M24" s="20"/>
      <c r="N24" s="20"/>
      <c r="O24" s="20"/>
      <c r="P24" s="20"/>
      <c r="Q24" s="9"/>
      <c r="R24" s="9"/>
      <c r="S24" s="9"/>
      <c r="T24" s="9"/>
      <c r="U24" s="9"/>
      <c r="V24" s="13"/>
    </row>
    <row r="25" spans="2:22" x14ac:dyDescent="0.25">
      <c r="B25" s="12" t="s">
        <v>42</v>
      </c>
      <c r="C25" s="10"/>
      <c r="D25" s="10"/>
      <c r="E25" s="7"/>
      <c r="F25" s="7"/>
      <c r="G25" s="7"/>
      <c r="H25" s="7"/>
      <c r="I25" s="8"/>
      <c r="J25" s="8"/>
      <c r="K25" s="8"/>
      <c r="L25" s="8"/>
      <c r="M25" s="20"/>
      <c r="N25" s="20"/>
      <c r="O25" s="20"/>
      <c r="P25" s="20"/>
      <c r="Q25" s="9"/>
      <c r="R25" s="9"/>
      <c r="S25" s="9"/>
      <c r="T25" s="9"/>
      <c r="U25" s="9"/>
      <c r="V25" s="13"/>
    </row>
    <row r="26" spans="2:22" x14ac:dyDescent="0.25">
      <c r="B26" s="2" t="s">
        <v>91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</sheetData>
  <mergeCells count="12">
    <mergeCell ref="E20:H20"/>
    <mergeCell ref="I20:L20"/>
    <mergeCell ref="M20:P20"/>
    <mergeCell ref="Q20:V20"/>
    <mergeCell ref="E4:H4"/>
    <mergeCell ref="I4:L4"/>
    <mergeCell ref="M4:P4"/>
    <mergeCell ref="Q4:V4"/>
    <mergeCell ref="E12:H12"/>
    <mergeCell ref="I12:L12"/>
    <mergeCell ref="M12:P12"/>
    <mergeCell ref="Q12:V12"/>
  </mergeCells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종합Sheet</vt:lpstr>
      <vt:lpstr>경기기록Sheet</vt:lpstr>
      <vt:lpstr>개인기록Sheet</vt:lpstr>
      <vt:lpstr>시상대상(23)</vt:lpstr>
      <vt:lpstr>시상대상(24)</vt:lpstr>
      <vt:lpstr>시상대상(25)</vt:lpstr>
      <vt:lpstr>종합Sheet (외부)</vt:lpstr>
      <vt:lpstr>경기기록Sheet (외부)</vt:lpstr>
      <vt:lpstr>개인기록Sheet!Print_Area</vt:lpstr>
      <vt:lpstr>종합Sheet!Print_Area</vt:lpstr>
      <vt:lpstr>'종합Sheet (외부)'!Print_Area</vt:lpstr>
      <vt:lpstr>종합Sheet!Print_Titles</vt:lpstr>
      <vt:lpstr>'종합Sheet (외부)'!Print_Titles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김인혁</dc:creator>
  <cp:lastModifiedBy>INHYUK KIM</cp:lastModifiedBy>
  <cp:revision>152</cp:revision>
  <cp:lastPrinted>2022-05-11T15:40:21Z</cp:lastPrinted>
  <dcterms:created xsi:type="dcterms:W3CDTF">2018-03-08T15:43:48Z</dcterms:created>
  <dcterms:modified xsi:type="dcterms:W3CDTF">2025-12-02T15:56:34Z</dcterms:modified>
</cp:coreProperties>
</file>