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Han\codes\kcc\"/>
    </mc:Choice>
  </mc:AlternateContent>
  <xr:revisionPtr revIDLastSave="0" documentId="13_ncr:1_{45B99574-741D-41AE-9FEE-F076AF182266}" xr6:coauthVersionLast="47" xr6:coauthVersionMax="47" xr10:uidLastSave="{00000000-0000-0000-0000-000000000000}"/>
  <bookViews>
    <workbookView xWindow="-110" yWindow="-110" windowWidth="38620" windowHeight="21100" tabRatio="606" activeTab="1" xr2:uid="{00000000-000D-0000-FFFF-FFFF00000000}"/>
  </bookViews>
  <sheets>
    <sheet name="종합Sheet" sheetId="1" r:id="rId1"/>
    <sheet name="경기기록Sheet" sheetId="2" r:id="rId2"/>
    <sheet name="개인기록Sheet" sheetId="3" r:id="rId3"/>
    <sheet name="시상대상(23)" sheetId="7" state="hidden" r:id="rId4"/>
    <sheet name="시상대상(24)" sheetId="11" state="hidden" r:id="rId5"/>
    <sheet name="시상대상(25)" sheetId="12" state="hidden" r:id="rId6"/>
    <sheet name="종합Sheet (외부)" sheetId="8" state="hidden" r:id="rId7"/>
    <sheet name="경기기록Sheet (외부)" sheetId="9" state="hidden" r:id="rId8"/>
  </sheets>
  <definedNames>
    <definedName name="_xlnm._FilterDatabase" localSheetId="2" hidden="1">개인기록Sheet!$A$3:$I$3</definedName>
    <definedName name="_xlnm._FilterDatabase" localSheetId="0" hidden="1">종합Sheet!$A$3:$CT$114</definedName>
    <definedName name="_xlnm._FilterDatabase" localSheetId="6" hidden="1">'종합Sheet (외부)'!$A$3:$CT$37</definedName>
    <definedName name="_xlnm.Print_Area" localSheetId="2">개인기록Sheet!$A$2:$I$52</definedName>
    <definedName name="_xlnm.Print_Area" localSheetId="0">종합Sheet!$A$1:$L$114</definedName>
    <definedName name="_xlnm.Print_Area" localSheetId="6">'종합Sheet (외부)'!$A$1:$L$37</definedName>
    <definedName name="_xlnm.Print_Titles" localSheetId="0">종합Sheet!$3:$3</definedName>
    <definedName name="_xlnm.Print_Titles" localSheetId="6">'종합Sheet (외부)'!$3:$3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1" i="1"/>
  <c r="A29" i="3"/>
  <c r="B29" i="3"/>
  <c r="D29" i="3" s="1"/>
  <c r="A30" i="3"/>
  <c r="B30" i="3"/>
  <c r="A31" i="3"/>
  <c r="B31" i="3"/>
  <c r="A32" i="3"/>
  <c r="B32" i="3"/>
  <c r="D32" i="3" s="1"/>
  <c r="A33" i="3"/>
  <c r="B33" i="3"/>
  <c r="A24" i="3"/>
  <c r="B24" i="3"/>
  <c r="G24" i="3" s="1"/>
  <c r="A7" i="3"/>
  <c r="B7" i="3"/>
  <c r="D7" i="3" s="1"/>
  <c r="A34" i="3"/>
  <c r="B34" i="3"/>
  <c r="E34" i="3" s="1"/>
  <c r="A35" i="3"/>
  <c r="B35" i="3"/>
  <c r="F35" i="3" s="1"/>
  <c r="A36" i="3"/>
  <c r="B36" i="3"/>
  <c r="F36" i="3" s="1"/>
  <c r="A37" i="3"/>
  <c r="B37" i="3"/>
  <c r="A38" i="3"/>
  <c r="B38" i="3"/>
  <c r="A28" i="3"/>
  <c r="B28" i="3"/>
  <c r="H28" i="3" s="1"/>
  <c r="A39" i="3"/>
  <c r="B39" i="3"/>
  <c r="A40" i="3"/>
  <c r="B40" i="3"/>
  <c r="F40" i="3" s="1"/>
  <c r="A41" i="3"/>
  <c r="B41" i="3"/>
  <c r="D41" i="3" s="1"/>
  <c r="A42" i="3"/>
  <c r="B42" i="3"/>
  <c r="D42" i="3" s="1"/>
  <c r="A43" i="3"/>
  <c r="B43" i="3"/>
  <c r="F43" i="3" s="1"/>
  <c r="A44" i="3"/>
  <c r="B44" i="3"/>
  <c r="E44" i="3" s="1"/>
  <c r="A45" i="3"/>
  <c r="B45" i="3"/>
  <c r="A46" i="3"/>
  <c r="B46" i="3"/>
  <c r="G46" i="3" s="1"/>
  <c r="A4" i="3"/>
  <c r="B4" i="3"/>
  <c r="F4" i="3" s="1"/>
  <c r="A10" i="3"/>
  <c r="B10" i="3"/>
  <c r="A47" i="3"/>
  <c r="B47" i="3"/>
  <c r="G47" i="3" s="1"/>
  <c r="A48" i="3"/>
  <c r="B48" i="3"/>
  <c r="F48" i="3" s="1"/>
  <c r="A49" i="3"/>
  <c r="B49" i="3"/>
  <c r="A50" i="3"/>
  <c r="B50" i="3"/>
  <c r="A8" i="3"/>
  <c r="B8" i="3"/>
  <c r="F8" i="3" s="1"/>
  <c r="A12" i="3"/>
  <c r="B12" i="3"/>
  <c r="G12" i="3" s="1"/>
  <c r="A51" i="3"/>
  <c r="B51" i="3"/>
  <c r="A14" i="3"/>
  <c r="B14" i="3"/>
  <c r="D14" i="3" s="1"/>
  <c r="A52" i="3"/>
  <c r="B52" i="3"/>
  <c r="A53" i="3"/>
  <c r="B53" i="3"/>
  <c r="D53" i="3" s="1"/>
  <c r="A54" i="3"/>
  <c r="B54" i="3"/>
  <c r="F54" i="3" s="1"/>
  <c r="A20" i="3"/>
  <c r="B20" i="3"/>
  <c r="D20" i="3" s="1"/>
  <c r="A55" i="3"/>
  <c r="B55" i="3"/>
  <c r="H55" i="3" s="1"/>
  <c r="A56" i="3"/>
  <c r="B56" i="3"/>
  <c r="D56" i="3" s="1"/>
  <c r="A57" i="3"/>
  <c r="B57" i="3"/>
  <c r="A58" i="3"/>
  <c r="B58" i="3"/>
  <c r="A59" i="3"/>
  <c r="B59" i="3"/>
  <c r="G59" i="3" s="1"/>
  <c r="A6" i="3"/>
  <c r="B6" i="3"/>
  <c r="H6" i="3" s="1"/>
  <c r="A60" i="3"/>
  <c r="B60" i="3"/>
  <c r="D60" i="3" s="1"/>
  <c r="A61" i="3"/>
  <c r="B61" i="3"/>
  <c r="G61" i="3" s="1"/>
  <c r="A62" i="3"/>
  <c r="B62" i="3"/>
  <c r="A63" i="3"/>
  <c r="B63" i="3"/>
  <c r="E63" i="3" s="1"/>
  <c r="A64" i="3"/>
  <c r="B64" i="3"/>
  <c r="D64" i="3" s="1"/>
  <c r="A17" i="3"/>
  <c r="B17" i="3"/>
  <c r="D17" i="3" s="1"/>
  <c r="A65" i="3"/>
  <c r="B65" i="3"/>
  <c r="E65" i="3" s="1"/>
  <c r="A66" i="3"/>
  <c r="B66" i="3"/>
  <c r="G66" i="3" s="1"/>
  <c r="A67" i="3"/>
  <c r="B67" i="3"/>
  <c r="D67" i="3" s="1"/>
  <c r="A68" i="3"/>
  <c r="B68" i="3"/>
  <c r="A19" i="3"/>
  <c r="B19" i="3"/>
  <c r="A69" i="3"/>
  <c r="B69" i="3"/>
  <c r="A70" i="3"/>
  <c r="B70" i="3"/>
  <c r="D70" i="3" s="1"/>
  <c r="A71" i="3"/>
  <c r="B71" i="3"/>
  <c r="D71" i="3" s="1"/>
  <c r="A72" i="3"/>
  <c r="B72" i="3"/>
  <c r="F72" i="3" s="1"/>
  <c r="A5" i="3"/>
  <c r="B5" i="3"/>
  <c r="F5" i="3" s="1"/>
  <c r="A73" i="3"/>
  <c r="B73" i="3"/>
  <c r="H73" i="3" s="1"/>
  <c r="A74" i="3"/>
  <c r="B74" i="3"/>
  <c r="G74" i="3" s="1"/>
  <c r="A75" i="3"/>
  <c r="B75" i="3"/>
  <c r="D75" i="3" s="1"/>
  <c r="A15" i="3"/>
  <c r="B15" i="3"/>
  <c r="F15" i="3" s="1"/>
  <c r="A76" i="3"/>
  <c r="B76" i="3"/>
  <c r="E76" i="3" s="1"/>
  <c r="A77" i="3"/>
  <c r="B77" i="3"/>
  <c r="G77" i="3" s="1"/>
  <c r="A78" i="3"/>
  <c r="B78" i="3"/>
  <c r="G78" i="3" s="1"/>
  <c r="A79" i="3"/>
  <c r="B79" i="3"/>
  <c r="D79" i="3" s="1"/>
  <c r="A80" i="3"/>
  <c r="B80" i="3"/>
  <c r="D80" i="3" s="1"/>
  <c r="A13" i="3"/>
  <c r="B13" i="3"/>
  <c r="G13" i="3" s="1"/>
  <c r="A81" i="3"/>
  <c r="B81" i="3"/>
  <c r="A82" i="3"/>
  <c r="B82" i="3"/>
  <c r="D82" i="3" s="1"/>
  <c r="A26" i="3"/>
  <c r="B26" i="3"/>
  <c r="D26" i="3" s="1"/>
  <c r="A23" i="3"/>
  <c r="B23" i="3"/>
  <c r="G23" i="3" s="1"/>
  <c r="A83" i="3"/>
  <c r="B83" i="3"/>
  <c r="E83" i="3" s="1"/>
  <c r="A84" i="3"/>
  <c r="B84" i="3"/>
  <c r="G84" i="3" s="1"/>
  <c r="A85" i="3"/>
  <c r="B85" i="3"/>
  <c r="D85" i="3" s="1"/>
  <c r="A86" i="3"/>
  <c r="B86" i="3"/>
  <c r="A87" i="3"/>
  <c r="B87" i="3"/>
  <c r="H87" i="3" s="1"/>
  <c r="A88" i="3"/>
  <c r="B88" i="3"/>
  <c r="A89" i="3"/>
  <c r="B89" i="3"/>
  <c r="D89" i="3" s="1"/>
  <c r="A90" i="3"/>
  <c r="B90" i="3"/>
  <c r="E90" i="3" s="1"/>
  <c r="A91" i="3"/>
  <c r="B91" i="3"/>
  <c r="F91" i="3" s="1"/>
  <c r="A92" i="3"/>
  <c r="B92" i="3"/>
  <c r="H92" i="3" s="1"/>
  <c r="A93" i="3"/>
  <c r="B93" i="3"/>
  <c r="H93" i="3" s="1"/>
  <c r="A94" i="3"/>
  <c r="B94" i="3"/>
  <c r="G94" i="3" s="1"/>
  <c r="A95" i="3"/>
  <c r="B95" i="3"/>
  <c r="F95" i="3" s="1"/>
  <c r="A96" i="3"/>
  <c r="B96" i="3"/>
  <c r="F96" i="3" s="1"/>
  <c r="A97" i="3"/>
  <c r="B97" i="3"/>
  <c r="F97" i="3" s="1"/>
  <c r="A98" i="3"/>
  <c r="B98" i="3"/>
  <c r="G98" i="3" s="1"/>
  <c r="A99" i="3"/>
  <c r="B99" i="3"/>
  <c r="D99" i="3" s="1"/>
  <c r="A16" i="3"/>
  <c r="B16" i="3"/>
  <c r="A100" i="3"/>
  <c r="B100" i="3"/>
  <c r="D100" i="3" s="1"/>
  <c r="A9" i="3"/>
  <c r="B9" i="3"/>
  <c r="G9" i="3" s="1"/>
  <c r="A21" i="3"/>
  <c r="B21" i="3"/>
  <c r="A11" i="3"/>
  <c r="B11" i="3"/>
  <c r="D11" i="3" s="1"/>
  <c r="A101" i="3"/>
  <c r="B101" i="3"/>
  <c r="D101" i="3" s="1"/>
  <c r="A102" i="3"/>
  <c r="B102" i="3"/>
  <c r="G102" i="3" s="1"/>
  <c r="A18" i="3"/>
  <c r="B18" i="3"/>
  <c r="E18" i="3" s="1"/>
  <c r="A103" i="3"/>
  <c r="B103" i="3"/>
  <c r="A104" i="3"/>
  <c r="B104" i="3"/>
  <c r="D104" i="3" s="1"/>
  <c r="A105" i="3"/>
  <c r="B105" i="3"/>
  <c r="A106" i="3"/>
  <c r="B106" i="3"/>
  <c r="H106" i="3" s="1"/>
  <c r="A27" i="3"/>
  <c r="B27" i="3"/>
  <c r="A22" i="3"/>
  <c r="B22" i="3"/>
  <c r="E22" i="3" s="1"/>
  <c r="A107" i="3"/>
  <c r="B107" i="3"/>
  <c r="E107" i="3" s="1"/>
  <c r="A108" i="3"/>
  <c r="B108" i="3"/>
  <c r="F108" i="3" s="1"/>
  <c r="A109" i="3"/>
  <c r="B109" i="3"/>
  <c r="A110" i="3"/>
  <c r="B110" i="3"/>
  <c r="H110" i="3" s="1"/>
  <c r="A111" i="3"/>
  <c r="B111" i="3"/>
  <c r="D111" i="3" s="1"/>
  <c r="A112" i="3"/>
  <c r="B112" i="3"/>
  <c r="H112" i="3" s="1"/>
  <c r="A113" i="3"/>
  <c r="B113" i="3"/>
  <c r="F113" i="3" s="1"/>
  <c r="A114" i="3"/>
  <c r="B114" i="3"/>
  <c r="E114" i="3" s="1"/>
  <c r="I7" i="1"/>
  <c r="I8" i="1"/>
  <c r="I9" i="1"/>
  <c r="I10" i="1"/>
  <c r="E3" i="12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E5" i="12" s="1"/>
  <c r="I27" i="1"/>
  <c r="I28" i="1"/>
  <c r="I29" i="1"/>
  <c r="I30" i="1"/>
  <c r="I31" i="1"/>
  <c r="I32" i="1"/>
  <c r="I33" i="1"/>
  <c r="E14" i="12" s="1"/>
  <c r="I34" i="1"/>
  <c r="E10" i="12" s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E7" i="12" s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E16" i="12" s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5" i="1"/>
  <c r="I6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4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D34" i="3" l="1"/>
  <c r="E112" i="3"/>
  <c r="G60" i="3"/>
  <c r="E56" i="3"/>
  <c r="H29" i="3"/>
  <c r="F42" i="3"/>
  <c r="F24" i="3"/>
  <c r="G29" i="3"/>
  <c r="F85" i="3"/>
  <c r="D107" i="3"/>
  <c r="E78" i="3"/>
  <c r="G43" i="3"/>
  <c r="D63" i="3"/>
  <c r="F29" i="3"/>
  <c r="F13" i="3"/>
  <c r="D83" i="3"/>
  <c r="E13" i="3"/>
  <c r="E61" i="3"/>
  <c r="D61" i="3"/>
  <c r="D92" i="3"/>
  <c r="G42" i="3"/>
  <c r="D28" i="3"/>
  <c r="F60" i="3"/>
  <c r="D44" i="3"/>
  <c r="E40" i="3"/>
  <c r="E29" i="3"/>
  <c r="D94" i="3"/>
  <c r="G89" i="3"/>
  <c r="E5" i="3"/>
  <c r="D40" i="3"/>
  <c r="E72" i="3"/>
  <c r="G92" i="3"/>
  <c r="D72" i="3"/>
  <c r="D6" i="3"/>
  <c r="D9" i="3"/>
  <c r="D74" i="3"/>
  <c r="E71" i="3"/>
  <c r="F89" i="3"/>
  <c r="H43" i="3"/>
  <c r="E89" i="3"/>
  <c r="D84" i="3"/>
  <c r="E70" i="3"/>
  <c r="G104" i="3"/>
  <c r="D65" i="3"/>
  <c r="H61" i="3"/>
  <c r="E35" i="3"/>
  <c r="F80" i="3"/>
  <c r="E102" i="3"/>
  <c r="D102" i="3"/>
  <c r="E80" i="3"/>
  <c r="E48" i="3"/>
  <c r="E46" i="3"/>
  <c r="F46" i="3"/>
  <c r="D48" i="3"/>
  <c r="D46" i="3"/>
  <c r="F104" i="3"/>
  <c r="E104" i="3"/>
  <c r="D98" i="3"/>
  <c r="F44" i="3"/>
  <c r="F92" i="3"/>
  <c r="H99" i="3"/>
  <c r="E92" i="3"/>
  <c r="E84" i="3"/>
  <c r="F61" i="3"/>
  <c r="F59" i="3"/>
  <c r="E59" i="3"/>
  <c r="F12" i="3"/>
  <c r="G99" i="3"/>
  <c r="F99" i="3"/>
  <c r="H102" i="3"/>
  <c r="F9" i="3"/>
  <c r="E99" i="3"/>
  <c r="F74" i="3"/>
  <c r="F112" i="3"/>
  <c r="H104" i="3"/>
  <c r="F102" i="3"/>
  <c r="E9" i="3"/>
  <c r="E91" i="3"/>
  <c r="D87" i="3"/>
  <c r="E74" i="3"/>
  <c r="E12" i="3"/>
  <c r="H42" i="3"/>
  <c r="H53" i="3"/>
  <c r="G55" i="3"/>
  <c r="G53" i="3"/>
  <c r="F55" i="3"/>
  <c r="F53" i="3"/>
  <c r="G106" i="3"/>
  <c r="E97" i="3"/>
  <c r="F67" i="3"/>
  <c r="D59" i="3"/>
  <c r="E55" i="3"/>
  <c r="E53" i="3"/>
  <c r="D12" i="3"/>
  <c r="H89" i="3"/>
  <c r="E67" i="3"/>
  <c r="D55" i="3"/>
  <c r="D47" i="3"/>
  <c r="H32" i="3"/>
  <c r="G32" i="3"/>
  <c r="H36" i="3"/>
  <c r="F7" i="3"/>
  <c r="F32" i="3"/>
  <c r="E106" i="3"/>
  <c r="F87" i="3"/>
  <c r="H75" i="3"/>
  <c r="E60" i="3"/>
  <c r="F47" i="3"/>
  <c r="G36" i="3"/>
  <c r="E7" i="3"/>
  <c r="E32" i="3"/>
  <c r="G112" i="3"/>
  <c r="E108" i="3"/>
  <c r="D18" i="3"/>
  <c r="D90" i="3"/>
  <c r="E87" i="3"/>
  <c r="F78" i="3"/>
  <c r="E8" i="3"/>
  <c r="E47" i="3"/>
  <c r="D112" i="3"/>
  <c r="D108" i="3"/>
  <c r="F106" i="3"/>
  <c r="D23" i="3"/>
  <c r="D13" i="3"/>
  <c r="D78" i="3"/>
  <c r="G75" i="3"/>
  <c r="F75" i="3"/>
  <c r="E66" i="3"/>
  <c r="H56" i="3"/>
  <c r="E42" i="3"/>
  <c r="G28" i="3"/>
  <c r="H94" i="3"/>
  <c r="F114" i="3"/>
  <c r="D106" i="3"/>
  <c r="F94" i="3"/>
  <c r="E75" i="3"/>
  <c r="D66" i="3"/>
  <c r="F63" i="3"/>
  <c r="H59" i="3"/>
  <c r="G56" i="3"/>
  <c r="D8" i="3"/>
  <c r="H47" i="3"/>
  <c r="H46" i="3"/>
  <c r="F28" i="3"/>
  <c r="E94" i="3"/>
  <c r="G80" i="3"/>
  <c r="D77" i="3"/>
  <c r="F56" i="3"/>
  <c r="E28" i="3"/>
  <c r="D91" i="3"/>
  <c r="E85" i="3"/>
  <c r="F11" i="3"/>
  <c r="G100" i="3"/>
  <c r="H23" i="3"/>
  <c r="H70" i="3"/>
  <c r="F14" i="3"/>
  <c r="H8" i="3"/>
  <c r="H48" i="3"/>
  <c r="F22" i="3"/>
  <c r="E11" i="3"/>
  <c r="F100" i="3"/>
  <c r="E95" i="3"/>
  <c r="F23" i="3"/>
  <c r="H79" i="3"/>
  <c r="F76" i="3"/>
  <c r="D5" i="3"/>
  <c r="G70" i="3"/>
  <c r="H67" i="3"/>
  <c r="E14" i="3"/>
  <c r="G8" i="3"/>
  <c r="G48" i="3"/>
  <c r="D35" i="3"/>
  <c r="H24" i="3"/>
  <c r="E100" i="3"/>
  <c r="D95" i="3"/>
  <c r="G87" i="3"/>
  <c r="F84" i="3"/>
  <c r="E23" i="3"/>
  <c r="H13" i="3"/>
  <c r="F70" i="3"/>
  <c r="G67" i="3"/>
  <c r="D45" i="3"/>
  <c r="E45" i="3"/>
  <c r="D38" i="3"/>
  <c r="E38" i="3"/>
  <c r="F38" i="3"/>
  <c r="G38" i="3"/>
  <c r="H38" i="3"/>
  <c r="D31" i="3"/>
  <c r="E31" i="3"/>
  <c r="F31" i="3"/>
  <c r="G17" i="3"/>
  <c r="E17" i="3"/>
  <c r="F17" i="3"/>
  <c r="H17" i="3"/>
  <c r="D16" i="3"/>
  <c r="H16" i="3"/>
  <c r="H19" i="3"/>
  <c r="D19" i="3"/>
  <c r="E19" i="3"/>
  <c r="F19" i="3"/>
  <c r="G19" i="3"/>
  <c r="G111" i="3"/>
  <c r="E111" i="3"/>
  <c r="F111" i="3"/>
  <c r="H111" i="3"/>
  <c r="G103" i="3"/>
  <c r="D103" i="3"/>
  <c r="E103" i="3"/>
  <c r="F103" i="3"/>
  <c r="E82" i="3"/>
  <c r="F82" i="3"/>
  <c r="E41" i="3"/>
  <c r="F41" i="3"/>
  <c r="G41" i="3"/>
  <c r="H41" i="3"/>
  <c r="G54" i="3"/>
  <c r="H54" i="3"/>
  <c r="G4" i="3"/>
  <c r="H4" i="3"/>
  <c r="D33" i="3"/>
  <c r="E33" i="3"/>
  <c r="F33" i="3"/>
  <c r="G33" i="3"/>
  <c r="H33" i="3"/>
  <c r="D52" i="3"/>
  <c r="E52" i="3"/>
  <c r="D109" i="3"/>
  <c r="E109" i="3"/>
  <c r="F109" i="3"/>
  <c r="G109" i="3"/>
  <c r="H109" i="3"/>
  <c r="D22" i="3"/>
  <c r="G22" i="3"/>
  <c r="H22" i="3"/>
  <c r="H95" i="3"/>
  <c r="H5" i="3"/>
  <c r="H35" i="3"/>
  <c r="G95" i="3"/>
  <c r="H85" i="3"/>
  <c r="H78" i="3"/>
  <c r="G5" i="3"/>
  <c r="H12" i="3"/>
  <c r="G35" i="3"/>
  <c r="H9" i="3"/>
  <c r="G85" i="3"/>
  <c r="H74" i="3"/>
  <c r="F66" i="3"/>
  <c r="G86" i="3"/>
  <c r="D86" i="3"/>
  <c r="E86" i="3"/>
  <c r="F86" i="3"/>
  <c r="H86" i="3"/>
  <c r="D69" i="3"/>
  <c r="E69" i="3"/>
  <c r="F69" i="3"/>
  <c r="G69" i="3"/>
  <c r="H69" i="3"/>
  <c r="G105" i="3"/>
  <c r="D105" i="3"/>
  <c r="E105" i="3"/>
  <c r="F105" i="3"/>
  <c r="H105" i="3"/>
  <c r="D88" i="3"/>
  <c r="E88" i="3"/>
  <c r="F88" i="3"/>
  <c r="G88" i="3"/>
  <c r="H88" i="3"/>
  <c r="D27" i="3"/>
  <c r="E27" i="3"/>
  <c r="F27" i="3"/>
  <c r="G27" i="3"/>
  <c r="H27" i="3"/>
  <c r="G68" i="3"/>
  <c r="D68" i="3"/>
  <c r="E68" i="3"/>
  <c r="F68" i="3"/>
  <c r="H68" i="3"/>
  <c r="D51" i="3"/>
  <c r="E51" i="3"/>
  <c r="G50" i="3"/>
  <c r="H50" i="3"/>
  <c r="G37" i="3"/>
  <c r="H37" i="3"/>
  <c r="E37" i="3"/>
  <c r="F37" i="3"/>
  <c r="D113" i="3"/>
  <c r="E113" i="3"/>
  <c r="D21" i="3"/>
  <c r="E21" i="3"/>
  <c r="F21" i="3"/>
  <c r="D96" i="3"/>
  <c r="E96" i="3"/>
  <c r="D81" i="3"/>
  <c r="E81" i="3"/>
  <c r="F81" i="3"/>
  <c r="D15" i="3"/>
  <c r="E15" i="3"/>
  <c r="D62" i="3"/>
  <c r="E62" i="3"/>
  <c r="F62" i="3"/>
  <c r="G58" i="3"/>
  <c r="H58" i="3"/>
  <c r="G10" i="3"/>
  <c r="H10" i="3"/>
  <c r="E10" i="3"/>
  <c r="F10" i="3"/>
  <c r="G20" i="3"/>
  <c r="H20" i="3"/>
  <c r="E20" i="3"/>
  <c r="F20" i="3"/>
  <c r="D30" i="3"/>
  <c r="E30" i="3"/>
  <c r="F30" i="3"/>
  <c r="G30" i="3"/>
  <c r="H30" i="3"/>
  <c r="D39" i="3"/>
  <c r="E39" i="3"/>
  <c r="F39" i="3"/>
  <c r="G39" i="3"/>
  <c r="H39" i="3"/>
  <c r="D49" i="3"/>
  <c r="E49" i="3"/>
  <c r="F49" i="3"/>
  <c r="G49" i="3"/>
  <c r="H49" i="3"/>
  <c r="D57" i="3"/>
  <c r="E57" i="3"/>
  <c r="F57" i="3"/>
  <c r="G57" i="3"/>
  <c r="H57" i="3"/>
  <c r="D114" i="3"/>
  <c r="G114" i="3"/>
  <c r="H114" i="3"/>
  <c r="G11" i="3"/>
  <c r="H11" i="3"/>
  <c r="D97" i="3"/>
  <c r="G97" i="3"/>
  <c r="H97" i="3"/>
  <c r="G82" i="3"/>
  <c r="H82" i="3"/>
  <c r="D76" i="3"/>
  <c r="G76" i="3"/>
  <c r="H76" i="3"/>
  <c r="G63" i="3"/>
  <c r="H63" i="3"/>
  <c r="G107" i="3"/>
  <c r="F107" i="3"/>
  <c r="H107" i="3"/>
  <c r="H101" i="3"/>
  <c r="G90" i="3"/>
  <c r="F90" i="3"/>
  <c r="H90" i="3"/>
  <c r="H26" i="3"/>
  <c r="G71" i="3"/>
  <c r="F71" i="3"/>
  <c r="H71" i="3"/>
  <c r="H64" i="3"/>
  <c r="H51" i="3"/>
  <c r="F50" i="3"/>
  <c r="H108" i="3"/>
  <c r="G101" i="3"/>
  <c r="H98" i="3"/>
  <c r="H91" i="3"/>
  <c r="G26" i="3"/>
  <c r="H77" i="3"/>
  <c r="H72" i="3"/>
  <c r="G64" i="3"/>
  <c r="F58" i="3"/>
  <c r="G51" i="3"/>
  <c r="E50" i="3"/>
  <c r="F34" i="3"/>
  <c r="G34" i="3"/>
  <c r="H34" i="3"/>
  <c r="H113" i="3"/>
  <c r="D110" i="3"/>
  <c r="E110" i="3"/>
  <c r="F110" i="3"/>
  <c r="G110" i="3"/>
  <c r="G108" i="3"/>
  <c r="H103" i="3"/>
  <c r="F18" i="3"/>
  <c r="G18" i="3"/>
  <c r="H18" i="3"/>
  <c r="F101" i="3"/>
  <c r="H21" i="3"/>
  <c r="E16" i="3"/>
  <c r="F16" i="3"/>
  <c r="G16" i="3"/>
  <c r="F98" i="3"/>
  <c r="H96" i="3"/>
  <c r="D93" i="3"/>
  <c r="E93" i="3"/>
  <c r="F93" i="3"/>
  <c r="G93" i="3"/>
  <c r="G91" i="3"/>
  <c r="H84" i="3"/>
  <c r="F83" i="3"/>
  <c r="G83" i="3"/>
  <c r="H83" i="3"/>
  <c r="F26" i="3"/>
  <c r="H81" i="3"/>
  <c r="E79" i="3"/>
  <c r="F79" i="3"/>
  <c r="G79" i="3"/>
  <c r="F77" i="3"/>
  <c r="H15" i="3"/>
  <c r="D73" i="3"/>
  <c r="E73" i="3"/>
  <c r="F73" i="3"/>
  <c r="G73" i="3"/>
  <c r="G72" i="3"/>
  <c r="H66" i="3"/>
  <c r="F65" i="3"/>
  <c r="G65" i="3"/>
  <c r="H65" i="3"/>
  <c r="F64" i="3"/>
  <c r="H62" i="3"/>
  <c r="E6" i="3"/>
  <c r="F6" i="3"/>
  <c r="G6" i="3"/>
  <c r="E58" i="3"/>
  <c r="F51" i="3"/>
  <c r="D50" i="3"/>
  <c r="F45" i="3"/>
  <c r="G45" i="3"/>
  <c r="H45" i="3"/>
  <c r="D37" i="3"/>
  <c r="D24" i="3"/>
  <c r="E24" i="3"/>
  <c r="G31" i="3"/>
  <c r="H31" i="3"/>
  <c r="G113" i="3"/>
  <c r="E101" i="3"/>
  <c r="G21" i="3"/>
  <c r="H100" i="3"/>
  <c r="E98" i="3"/>
  <c r="G96" i="3"/>
  <c r="E26" i="3"/>
  <c r="G81" i="3"/>
  <c r="H80" i="3"/>
  <c r="E77" i="3"/>
  <c r="G15" i="3"/>
  <c r="E64" i="3"/>
  <c r="G62" i="3"/>
  <c r="H60" i="3"/>
  <c r="D58" i="3"/>
  <c r="F52" i="3"/>
  <c r="G52" i="3"/>
  <c r="H52" i="3"/>
  <c r="D10" i="3"/>
  <c r="D43" i="3"/>
  <c r="E43" i="3"/>
  <c r="G40" i="3"/>
  <c r="H40" i="3"/>
  <c r="D54" i="3"/>
  <c r="E54" i="3"/>
  <c r="D4" i="3"/>
  <c r="E4" i="3"/>
  <c r="D36" i="3"/>
  <c r="E36" i="3"/>
  <c r="G14" i="3"/>
  <c r="H14" i="3"/>
  <c r="G44" i="3"/>
  <c r="H44" i="3"/>
  <c r="G7" i="3"/>
  <c r="H7" i="3"/>
  <c r="E11" i="12"/>
  <c r="E15" i="12"/>
  <c r="E13" i="12"/>
  <c r="E12" i="12"/>
  <c r="E6" i="12"/>
  <c r="E9" i="12"/>
  <c r="E8" i="12"/>
  <c r="Q3" i="12"/>
  <c r="Q7" i="12"/>
  <c r="Q10" i="12"/>
  <c r="Q8" i="12"/>
  <c r="Q9" i="12"/>
  <c r="Q5" i="12"/>
  <c r="Q6" i="12"/>
  <c r="Q12" i="12"/>
  <c r="Q11" i="12"/>
  <c r="E22" i="8"/>
  <c r="E17" i="8"/>
  <c r="E15" i="8"/>
  <c r="E33" i="8"/>
  <c r="E27" i="8"/>
  <c r="I4" i="1"/>
  <c r="E5" i="8"/>
  <c r="E6" i="8"/>
  <c r="E7" i="8"/>
  <c r="E8" i="8"/>
  <c r="E9" i="8"/>
  <c r="E10" i="8"/>
  <c r="E11" i="8"/>
  <c r="E12" i="8"/>
  <c r="E13" i="8"/>
  <c r="E14" i="8"/>
  <c r="E16" i="8"/>
  <c r="E18" i="8"/>
  <c r="E19" i="8"/>
  <c r="E20" i="8"/>
  <c r="E21" i="8"/>
  <c r="E23" i="8"/>
  <c r="E24" i="8"/>
  <c r="E25" i="8"/>
  <c r="E26" i="8"/>
  <c r="E28" i="8"/>
  <c r="E29" i="8"/>
  <c r="E30" i="8"/>
  <c r="E31" i="8"/>
  <c r="E32" i="8"/>
  <c r="E34" i="8"/>
  <c r="E35" i="8"/>
  <c r="E36" i="8"/>
  <c r="E37" i="8"/>
  <c r="E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4" i="8"/>
  <c r="BF2" i="1"/>
  <c r="BG2" i="1"/>
  <c r="I29" i="8"/>
  <c r="D10" i="9"/>
  <c r="C10" i="9"/>
  <c r="C70" i="3" l="1"/>
  <c r="I29" i="3"/>
  <c r="C67" i="3"/>
  <c r="C7" i="3"/>
  <c r="C47" i="3"/>
  <c r="C107" i="3"/>
  <c r="C14" i="3"/>
  <c r="C11" i="3"/>
  <c r="C63" i="3"/>
  <c r="C26" i="3"/>
  <c r="C20" i="3"/>
  <c r="C28" i="3"/>
  <c r="C72" i="3"/>
  <c r="C56" i="3"/>
  <c r="C34" i="3"/>
  <c r="C97" i="3"/>
  <c r="C111" i="3"/>
  <c r="C99" i="3"/>
  <c r="C5" i="3"/>
  <c r="C100" i="3"/>
  <c r="C10" i="3"/>
  <c r="C82" i="3"/>
  <c r="C85" i="3"/>
  <c r="C46" i="3"/>
  <c r="C89" i="3"/>
  <c r="C83" i="3"/>
  <c r="C32" i="3"/>
  <c r="C80" i="3"/>
  <c r="C21" i="3"/>
  <c r="C17" i="3"/>
  <c r="C60" i="3"/>
  <c r="C12" i="3"/>
  <c r="C98" i="3"/>
  <c r="C57" i="3"/>
  <c r="C101" i="3"/>
  <c r="C64" i="3"/>
  <c r="C52" i="3"/>
  <c r="C75" i="3"/>
  <c r="C71" i="3"/>
  <c r="C104" i="3"/>
  <c r="C108" i="3"/>
  <c r="C24" i="3"/>
  <c r="C15" i="3"/>
  <c r="C31" i="3"/>
  <c r="C8" i="3"/>
  <c r="C37" i="3"/>
  <c r="C58" i="3"/>
  <c r="C51" i="3"/>
  <c r="C77" i="3"/>
  <c r="C23" i="3"/>
  <c r="C4" i="3"/>
  <c r="C69" i="3"/>
  <c r="C45" i="3"/>
  <c r="C106" i="3"/>
  <c r="C94" i="3"/>
  <c r="C54" i="3"/>
  <c r="C73" i="3"/>
  <c r="C30" i="3"/>
  <c r="C88" i="3"/>
  <c r="C109" i="3"/>
  <c r="H109" i="1" s="1"/>
  <c r="C112" i="3"/>
  <c r="H112" i="1" s="1"/>
  <c r="C55" i="3"/>
  <c r="C102" i="3"/>
  <c r="C62" i="3"/>
  <c r="C113" i="3"/>
  <c r="H113" i="1" s="1"/>
  <c r="C68" i="3"/>
  <c r="C74" i="3"/>
  <c r="C44" i="3"/>
  <c r="C29" i="3"/>
  <c r="C9" i="3"/>
  <c r="C93" i="3"/>
  <c r="C114" i="3"/>
  <c r="C81" i="3"/>
  <c r="C91" i="3"/>
  <c r="C18" i="3"/>
  <c r="H100" i="1" s="1"/>
  <c r="C59" i="3"/>
  <c r="C87" i="3"/>
  <c r="C61" i="3"/>
  <c r="C49" i="3"/>
  <c r="I42" i="3"/>
  <c r="C42" i="3"/>
  <c r="C41" i="3"/>
  <c r="C6" i="3"/>
  <c r="C43" i="3"/>
  <c r="C105" i="3"/>
  <c r="C19" i="3"/>
  <c r="C95" i="3"/>
  <c r="C76" i="3"/>
  <c r="C39" i="3"/>
  <c r="C27" i="3"/>
  <c r="C22" i="3"/>
  <c r="C33" i="3"/>
  <c r="C66" i="3"/>
  <c r="C78" i="3"/>
  <c r="H78" i="1" s="1"/>
  <c r="C48" i="3"/>
  <c r="C40" i="3"/>
  <c r="C86" i="3"/>
  <c r="C53" i="3"/>
  <c r="C79" i="3"/>
  <c r="C90" i="3"/>
  <c r="C65" i="3"/>
  <c r="C92" i="3"/>
  <c r="C36" i="3"/>
  <c r="C50" i="3"/>
  <c r="C110" i="3"/>
  <c r="C96" i="3"/>
  <c r="C103" i="3"/>
  <c r="H101" i="1" s="1"/>
  <c r="C16" i="3"/>
  <c r="C38" i="3"/>
  <c r="C35" i="3"/>
  <c r="C13" i="3"/>
  <c r="C84" i="3"/>
  <c r="I89" i="3"/>
  <c r="I61" i="3"/>
  <c r="I74" i="3"/>
  <c r="I92" i="3"/>
  <c r="I99" i="3"/>
  <c r="I102" i="3"/>
  <c r="I59" i="3"/>
  <c r="I32" i="3"/>
  <c r="I104" i="3"/>
  <c r="I9" i="3"/>
  <c r="I87" i="3"/>
  <c r="I55" i="3"/>
  <c r="I46" i="3"/>
  <c r="I48" i="3"/>
  <c r="I53" i="3"/>
  <c r="I67" i="3"/>
  <c r="I47" i="3"/>
  <c r="I112" i="3"/>
  <c r="I90" i="3"/>
  <c r="I60" i="3"/>
  <c r="I98" i="3"/>
  <c r="I75" i="3"/>
  <c r="I94" i="3"/>
  <c r="I106" i="3"/>
  <c r="I70" i="3"/>
  <c r="I28" i="3"/>
  <c r="I11" i="3"/>
  <c r="I100" i="3"/>
  <c r="I56" i="3"/>
  <c r="I12" i="3"/>
  <c r="I22" i="3"/>
  <c r="I35" i="3"/>
  <c r="I72" i="3"/>
  <c r="I17" i="3"/>
  <c r="I8" i="3"/>
  <c r="I23" i="3"/>
  <c r="I84" i="3"/>
  <c r="I101" i="3"/>
  <c r="I91" i="3"/>
  <c r="I71" i="3"/>
  <c r="I66" i="3"/>
  <c r="I77" i="3"/>
  <c r="I5" i="3"/>
  <c r="I13" i="3"/>
  <c r="I85" i="3"/>
  <c r="I111" i="3"/>
  <c r="I41" i="3"/>
  <c r="I33" i="3"/>
  <c r="I63" i="3"/>
  <c r="I19" i="3"/>
  <c r="I78" i="3"/>
  <c r="I38" i="3"/>
  <c r="I7" i="3"/>
  <c r="I6" i="3"/>
  <c r="I103" i="3"/>
  <c r="I20" i="3"/>
  <c r="I109" i="3"/>
  <c r="I82" i="3"/>
  <c r="I107" i="3"/>
  <c r="I95" i="3"/>
  <c r="I80" i="3"/>
  <c r="I69" i="3"/>
  <c r="I40" i="3"/>
  <c r="I24" i="3"/>
  <c r="I18" i="3"/>
  <c r="I34" i="3"/>
  <c r="I96" i="3"/>
  <c r="I64" i="3"/>
  <c r="I37" i="3"/>
  <c r="I57" i="3"/>
  <c r="I27" i="3"/>
  <c r="I43" i="3"/>
  <c r="I93" i="3"/>
  <c r="I76" i="3"/>
  <c r="I114" i="3"/>
  <c r="I10" i="3"/>
  <c r="I79" i="3"/>
  <c r="I21" i="3"/>
  <c r="I105" i="3"/>
  <c r="I36" i="3"/>
  <c r="I65" i="3"/>
  <c r="I88" i="3"/>
  <c r="I44" i="3"/>
  <c r="I45" i="3"/>
  <c r="I39" i="3"/>
  <c r="I30" i="3"/>
  <c r="I62" i="3"/>
  <c r="I113" i="3"/>
  <c r="I68" i="3"/>
  <c r="I4" i="3"/>
  <c r="I50" i="3"/>
  <c r="I110" i="3"/>
  <c r="I49" i="3"/>
  <c r="I108" i="3"/>
  <c r="I26" i="3"/>
  <c r="I14" i="3"/>
  <c r="I52" i="3"/>
  <c r="I16" i="3"/>
  <c r="I15" i="3"/>
  <c r="I54" i="3"/>
  <c r="I58" i="3"/>
  <c r="I83" i="3"/>
  <c r="I97" i="3"/>
  <c r="I86" i="3"/>
  <c r="I31" i="3"/>
  <c r="I73" i="3"/>
  <c r="I81" i="3"/>
  <c r="I51" i="3"/>
  <c r="E4" i="12"/>
  <c r="Q4" i="12"/>
  <c r="BE2" i="1"/>
  <c r="I37" i="8"/>
  <c r="I36" i="8"/>
  <c r="I35" i="8"/>
  <c r="I34" i="8"/>
  <c r="I33" i="8"/>
  <c r="I32" i="8"/>
  <c r="I31" i="8"/>
  <c r="I30" i="8"/>
  <c r="I28" i="8"/>
  <c r="I27" i="8"/>
  <c r="I26" i="8"/>
  <c r="I25" i="8"/>
  <c r="I24" i="8"/>
  <c r="I23" i="8"/>
  <c r="I21" i="8"/>
  <c r="I20" i="8"/>
  <c r="I19" i="8"/>
  <c r="I18" i="8"/>
  <c r="I17" i="8"/>
  <c r="I16" i="8"/>
  <c r="I14" i="8"/>
  <c r="I13" i="8"/>
  <c r="I12" i="8"/>
  <c r="I11" i="8"/>
  <c r="I10" i="8"/>
  <c r="I9" i="8"/>
  <c r="I8" i="8"/>
  <c r="I7" i="8"/>
  <c r="I6" i="8"/>
  <c r="I5" i="8"/>
  <c r="I4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E2" i="8"/>
  <c r="D2" i="8"/>
  <c r="H85" i="1" l="1"/>
  <c r="H107" i="1"/>
  <c r="H105" i="1"/>
  <c r="H24" i="1"/>
  <c r="H108" i="1"/>
  <c r="H44" i="1"/>
  <c r="H102" i="1"/>
  <c r="H114" i="1"/>
  <c r="H34" i="1"/>
  <c r="H110" i="1"/>
  <c r="H64" i="1"/>
  <c r="H104" i="1"/>
  <c r="H92" i="1"/>
  <c r="H111" i="1"/>
  <c r="H90" i="1"/>
  <c r="H28" i="1"/>
  <c r="H49" i="1"/>
  <c r="H97" i="1"/>
  <c r="H71" i="1"/>
  <c r="H48" i="1"/>
  <c r="H72" i="1"/>
  <c r="H68" i="1"/>
  <c r="H27" i="1"/>
  <c r="H88" i="1"/>
  <c r="H55" i="1"/>
  <c r="H43" i="1"/>
  <c r="H52" i="1"/>
  <c r="H42" i="1"/>
  <c r="H103" i="1"/>
  <c r="H96" i="1"/>
  <c r="H106" i="1"/>
  <c r="H20" i="1"/>
  <c r="H81" i="1"/>
  <c r="H30" i="1"/>
  <c r="H80" i="1"/>
  <c r="H62" i="1"/>
  <c r="H26" i="1"/>
  <c r="H54" i="1"/>
  <c r="H45" i="1"/>
  <c r="H76" i="1"/>
  <c r="H56" i="1"/>
  <c r="H33" i="1"/>
  <c r="G14" i="12" s="1"/>
  <c r="H38" i="1"/>
  <c r="H69" i="1"/>
  <c r="H39" i="1"/>
  <c r="H67" i="1"/>
  <c r="H22" i="1"/>
  <c r="H16" i="1"/>
  <c r="H59" i="1"/>
  <c r="H75" i="1"/>
  <c r="H93" i="1"/>
  <c r="H58" i="1"/>
  <c r="H53" i="1"/>
  <c r="H29" i="1"/>
  <c r="H70" i="1"/>
  <c r="H99" i="1"/>
  <c r="H65" i="1"/>
  <c r="H86" i="1"/>
  <c r="H89" i="1"/>
  <c r="H84" i="1"/>
  <c r="H46" i="1"/>
  <c r="H95" i="1"/>
  <c r="H87" i="1"/>
  <c r="H77" i="1"/>
  <c r="H5" i="1"/>
  <c r="H73" i="1"/>
  <c r="H61" i="1"/>
  <c r="H51" i="1"/>
  <c r="H63" i="1"/>
  <c r="H36" i="1"/>
  <c r="H12" i="1"/>
  <c r="H94" i="1"/>
  <c r="H40" i="1"/>
  <c r="H79" i="1"/>
  <c r="H31" i="1"/>
  <c r="H18" i="1"/>
  <c r="H91" i="1"/>
  <c r="H9" i="1"/>
  <c r="H21" i="1"/>
  <c r="H17" i="1"/>
  <c r="H74" i="1"/>
  <c r="H37" i="1"/>
  <c r="H57" i="1"/>
  <c r="H32" i="1"/>
  <c r="H50" i="1"/>
  <c r="H47" i="1"/>
  <c r="H66" i="1"/>
  <c r="H82" i="1"/>
  <c r="H19" i="1"/>
  <c r="H41" i="1"/>
  <c r="H98" i="1"/>
  <c r="H35" i="1"/>
  <c r="H23" i="1"/>
  <c r="H83" i="1"/>
  <c r="H60" i="1"/>
  <c r="G17" i="12"/>
  <c r="H2" i="8"/>
  <c r="S7" i="12" l="1"/>
  <c r="S5" i="12"/>
  <c r="S12" i="12"/>
  <c r="S4" i="12"/>
  <c r="S6" i="12"/>
  <c r="G5" i="12"/>
  <c r="S9" i="12"/>
  <c r="G4" i="12"/>
  <c r="G7" i="12"/>
  <c r="S11" i="12"/>
  <c r="G6" i="12"/>
  <c r="G13" i="12"/>
  <c r="G9" i="12"/>
  <c r="G11" i="12"/>
  <c r="H29" i="8"/>
  <c r="H7" i="8" l="1"/>
  <c r="H27" i="8"/>
  <c r="H32" i="8"/>
  <c r="H26" i="8"/>
  <c r="H25" i="8"/>
  <c r="H37" i="8"/>
  <c r="H28" i="8"/>
  <c r="H35" i="8"/>
  <c r="H36" i="8"/>
  <c r="H34" i="8"/>
  <c r="H30" i="8"/>
  <c r="H33" i="8"/>
  <c r="H31" i="8"/>
  <c r="E2" i="1" l="1"/>
  <c r="B25" i="3" l="1"/>
  <c r="U13" i="3" s="1"/>
  <c r="A25" i="3"/>
  <c r="H2" i="1"/>
  <c r="O13" i="3" l="1"/>
  <c r="U10" i="3"/>
  <c r="U11" i="3"/>
  <c r="U12" i="3"/>
  <c r="M13" i="3"/>
  <c r="O12" i="3"/>
  <c r="Q13" i="3"/>
  <c r="O11" i="3"/>
  <c r="U9" i="3"/>
  <c r="Q12" i="3"/>
  <c r="S13" i="3"/>
  <c r="S12" i="3"/>
  <c r="U8" i="3"/>
  <c r="O10" i="3"/>
  <c r="H25" i="3"/>
  <c r="D25" i="3"/>
  <c r="F25" i="3"/>
  <c r="E25" i="3"/>
  <c r="O6" i="3" s="1"/>
  <c r="G25" i="3"/>
  <c r="U7" i="3"/>
  <c r="U5" i="3"/>
  <c r="Q5" i="3"/>
  <c r="O7" i="3"/>
  <c r="Q6" i="3"/>
  <c r="O8" i="3"/>
  <c r="U4" i="3"/>
  <c r="S5" i="3"/>
  <c r="Q7" i="3"/>
  <c r="O4" i="3"/>
  <c r="O5" i="3"/>
  <c r="S6" i="3"/>
  <c r="Q8" i="3"/>
  <c r="M5" i="3"/>
  <c r="M4" i="3"/>
  <c r="S7" i="3"/>
  <c r="Q9" i="3"/>
  <c r="M6" i="3"/>
  <c r="S8" i="3"/>
  <c r="Q10" i="3"/>
  <c r="M7" i="3"/>
  <c r="S9" i="3"/>
  <c r="Q11" i="3"/>
  <c r="M8" i="3"/>
  <c r="S10" i="3"/>
  <c r="M9" i="3"/>
  <c r="S11" i="3"/>
  <c r="Q4" i="3"/>
  <c r="U6" i="3"/>
  <c r="O9" i="3"/>
  <c r="S4" i="3"/>
  <c r="M12" i="3" l="1"/>
  <c r="C25" i="3"/>
  <c r="H25" i="1" s="1"/>
  <c r="M11" i="3"/>
  <c r="M10" i="3"/>
  <c r="I25" i="3"/>
  <c r="H2" i="3"/>
  <c r="E2" i="3"/>
  <c r="G2" i="3"/>
  <c r="D2" i="3"/>
  <c r="F2" i="3"/>
  <c r="H15" i="1" l="1"/>
  <c r="H8" i="1"/>
  <c r="H6" i="1"/>
  <c r="H13" i="1"/>
  <c r="H14" i="1"/>
  <c r="H7" i="1"/>
  <c r="H10" i="1"/>
  <c r="S3" i="12" s="1"/>
  <c r="H11" i="1"/>
  <c r="G12" i="12" s="1"/>
  <c r="G16" i="12"/>
  <c r="S10" i="12"/>
  <c r="H20" i="8"/>
  <c r="H24" i="8"/>
  <c r="H23" i="8"/>
  <c r="H21" i="8"/>
  <c r="H14" i="8"/>
  <c r="H19" i="8"/>
  <c r="H8" i="8"/>
  <c r="H18" i="8"/>
  <c r="H12" i="8"/>
  <c r="H17" i="8"/>
  <c r="H11" i="8"/>
  <c r="H10" i="8"/>
  <c r="H4" i="1"/>
  <c r="H16" i="8"/>
  <c r="H13" i="8"/>
  <c r="H9" i="8"/>
  <c r="H5" i="8"/>
  <c r="H4" i="8"/>
  <c r="H6" i="8"/>
  <c r="G30" i="1" l="1"/>
  <c r="G87" i="1"/>
  <c r="G36" i="1"/>
  <c r="G69" i="1"/>
  <c r="G94" i="1"/>
  <c r="G26" i="1"/>
  <c r="G84" i="1"/>
  <c r="G86" i="1"/>
  <c r="G65" i="1"/>
  <c r="G14" i="1"/>
  <c r="G25" i="1"/>
  <c r="G54" i="1"/>
  <c r="G114" i="1"/>
  <c r="G93" i="1"/>
  <c r="G8" i="1"/>
  <c r="G96" i="1"/>
  <c r="G29" i="1"/>
  <c r="G89" i="1"/>
  <c r="G66" i="1"/>
  <c r="G47" i="1"/>
  <c r="G70" i="1"/>
  <c r="G51" i="1"/>
  <c r="G92" i="1"/>
  <c r="G52" i="1"/>
  <c r="G13" i="1"/>
  <c r="G104" i="1"/>
  <c r="G11" i="1"/>
  <c r="G19" i="1"/>
  <c r="G42" i="1"/>
  <c r="G12" i="1"/>
  <c r="G32" i="1"/>
  <c r="G9" i="1"/>
  <c r="G18" i="1"/>
  <c r="G21" i="1"/>
  <c r="G113" i="1"/>
  <c r="G31" i="1"/>
  <c r="G67" i="1"/>
  <c r="G80" i="1"/>
  <c r="G85" i="1"/>
  <c r="G75" i="1"/>
  <c r="G63" i="1"/>
  <c r="G44" i="1"/>
  <c r="G76" i="1"/>
  <c r="G101" i="1"/>
  <c r="G23" i="1"/>
  <c r="G110" i="1"/>
  <c r="G88" i="1"/>
  <c r="G49" i="1"/>
  <c r="G106" i="1"/>
  <c r="G27" i="1"/>
  <c r="G108" i="1"/>
  <c r="G53" i="1"/>
  <c r="G60" i="1"/>
  <c r="G83" i="1"/>
  <c r="G39" i="1"/>
  <c r="G102" i="1"/>
  <c r="G100" i="1"/>
  <c r="G56" i="1"/>
  <c r="G107" i="1"/>
  <c r="G73" i="1"/>
  <c r="G61" i="1"/>
  <c r="G103" i="1"/>
  <c r="G45" i="1"/>
  <c r="G98" i="1"/>
  <c r="G48" i="1"/>
  <c r="G33" i="1"/>
  <c r="G95" i="1"/>
  <c r="G17" i="1"/>
  <c r="G99" i="1"/>
  <c r="G72" i="1"/>
  <c r="G46" i="1"/>
  <c r="G43" i="1"/>
  <c r="G50" i="1"/>
  <c r="G91" i="1"/>
  <c r="G97" i="1"/>
  <c r="G109" i="1"/>
  <c r="G58" i="1"/>
  <c r="G71" i="1"/>
  <c r="G20" i="1"/>
  <c r="G82" i="1"/>
  <c r="G62" i="1"/>
  <c r="G59" i="1"/>
  <c r="G74" i="1"/>
  <c r="G7" i="1"/>
  <c r="G57" i="1"/>
  <c r="G55" i="1"/>
  <c r="G16" i="1"/>
  <c r="G40" i="1"/>
  <c r="G28" i="1"/>
  <c r="G22" i="1"/>
  <c r="G78" i="1"/>
  <c r="G38" i="1"/>
  <c r="G112" i="1"/>
  <c r="G37" i="1"/>
  <c r="G81" i="1"/>
  <c r="G15" i="1"/>
  <c r="G90" i="1"/>
  <c r="G68" i="1"/>
  <c r="G34" i="1"/>
  <c r="G24" i="1"/>
  <c r="G41" i="1"/>
  <c r="G77" i="1"/>
  <c r="G64" i="1"/>
  <c r="G10" i="1"/>
  <c r="G111" i="1"/>
  <c r="G35" i="1"/>
  <c r="G79" i="1"/>
  <c r="G105" i="1"/>
  <c r="S8" i="12"/>
  <c r="G5" i="1"/>
  <c r="G6" i="1"/>
  <c r="G3" i="12"/>
  <c r="G8" i="12"/>
  <c r="G15" i="12"/>
  <c r="G10" i="12"/>
  <c r="G4" i="1"/>
  <c r="G29" i="8"/>
  <c r="G36" i="8"/>
  <c r="G37" i="8"/>
  <c r="G23" i="8"/>
  <c r="G18" i="8"/>
  <c r="G7" i="8"/>
  <c r="G10" i="8"/>
  <c r="G16" i="8"/>
  <c r="G24" i="8"/>
  <c r="G13" i="8"/>
  <c r="G31" i="8"/>
  <c r="G12" i="8"/>
  <c r="G17" i="8"/>
  <c r="G32" i="8"/>
  <c r="G35" i="8"/>
  <c r="G14" i="8"/>
  <c r="G34" i="8"/>
  <c r="G28" i="8"/>
  <c r="G27" i="8"/>
  <c r="G25" i="8"/>
  <c r="G26" i="8"/>
  <c r="G5" i="8"/>
  <c r="G4" i="8"/>
  <c r="G6" i="8"/>
  <c r="G19" i="8"/>
  <c r="G11" i="8"/>
  <c r="G21" i="8"/>
  <c r="G33" i="8"/>
  <c r="G8" i="8"/>
  <c r="G9" i="8"/>
  <c r="G30" i="8"/>
  <c r="G20" i="8"/>
</calcChain>
</file>

<file path=xl/sharedStrings.xml><?xml version="1.0" encoding="utf-8"?>
<sst xmlns="http://schemas.openxmlformats.org/spreadsheetml/2006/main" count="1328" uniqueCount="370">
  <si>
    <t>C/S DF (0.2)</t>
  </si>
  <si>
    <t>Assist (0.2)</t>
  </si>
  <si>
    <t>Balance (0.3)</t>
  </si>
  <si>
    <t>오운용</t>
  </si>
  <si>
    <t>인원</t>
  </si>
  <si>
    <t>이연길</t>
  </si>
  <si>
    <t>이름</t>
  </si>
  <si>
    <t>이상현</t>
  </si>
  <si>
    <t>정효태</t>
  </si>
  <si>
    <t>전하늘</t>
  </si>
  <si>
    <t>21R</t>
  </si>
  <si>
    <t>7R</t>
  </si>
  <si>
    <t>9R</t>
  </si>
  <si>
    <t>2R</t>
  </si>
  <si>
    <t>김부건</t>
  </si>
  <si>
    <t>4R</t>
  </si>
  <si>
    <t>30R</t>
  </si>
  <si>
    <t>16R</t>
  </si>
  <si>
    <t>11R</t>
  </si>
  <si>
    <t>23R</t>
  </si>
  <si>
    <t>이종수</t>
  </si>
  <si>
    <t>13R</t>
  </si>
  <si>
    <t>3R</t>
  </si>
  <si>
    <t>15R</t>
  </si>
  <si>
    <t>28R</t>
  </si>
  <si>
    <t>35R</t>
  </si>
  <si>
    <t>5R</t>
  </si>
  <si>
    <t>구교훈</t>
  </si>
  <si>
    <t>33R</t>
  </si>
  <si>
    <t>17R</t>
  </si>
  <si>
    <t>22R</t>
  </si>
  <si>
    <t>19R</t>
  </si>
  <si>
    <t>김민성</t>
  </si>
  <si>
    <t>32R</t>
  </si>
  <si>
    <t>이성관</t>
  </si>
  <si>
    <t>27R</t>
  </si>
  <si>
    <t>김태호</t>
  </si>
  <si>
    <t>○</t>
  </si>
  <si>
    <t>박형기</t>
  </si>
  <si>
    <t>신재경</t>
  </si>
  <si>
    <t>5Q</t>
  </si>
  <si>
    <t>4Q</t>
  </si>
  <si>
    <t>최경영</t>
  </si>
  <si>
    <t>유진효</t>
  </si>
  <si>
    <t>카톡</t>
  </si>
  <si>
    <t>1R</t>
  </si>
  <si>
    <t>윤성용</t>
  </si>
  <si>
    <t>이승민</t>
  </si>
  <si>
    <t>강종찬</t>
  </si>
  <si>
    <t>순위</t>
  </si>
  <si>
    <t>김인혁</t>
  </si>
  <si>
    <t>8R</t>
  </si>
  <si>
    <t>29R</t>
  </si>
  <si>
    <t>김용현</t>
  </si>
  <si>
    <t>20R</t>
  </si>
  <si>
    <t>김종준</t>
  </si>
  <si>
    <t>12R</t>
  </si>
  <si>
    <t>10R</t>
  </si>
  <si>
    <t>25R</t>
  </si>
  <si>
    <t>14R</t>
  </si>
  <si>
    <t>6R</t>
  </si>
  <si>
    <t>26R</t>
  </si>
  <si>
    <t>조현우</t>
  </si>
  <si>
    <t>18R</t>
  </si>
  <si>
    <t>김송환</t>
  </si>
  <si>
    <t>1Q</t>
  </si>
  <si>
    <t>24R</t>
  </si>
  <si>
    <t>한중희</t>
  </si>
  <si>
    <t>31R</t>
  </si>
  <si>
    <t>이정석</t>
  </si>
  <si>
    <t>임수철</t>
  </si>
  <si>
    <t>2Q</t>
  </si>
  <si>
    <t>34R</t>
  </si>
  <si>
    <t>3Q</t>
  </si>
  <si>
    <t>김청축</t>
  </si>
  <si>
    <t>윤창현</t>
  </si>
  <si>
    <t>개인 Point</t>
  </si>
  <si>
    <t>출석 Point</t>
  </si>
  <si>
    <t>Clean Sheet</t>
  </si>
  <si>
    <t>종합 Point</t>
  </si>
  <si>
    <t>Goal (0.2)</t>
  </si>
  <si>
    <t>C/S GK</t>
  </si>
  <si>
    <t>Goal</t>
  </si>
  <si>
    <t>Check</t>
  </si>
  <si>
    <t>Balance</t>
  </si>
  <si>
    <t>Assist</t>
  </si>
  <si>
    <t>Rank</t>
  </si>
  <si>
    <t>Round</t>
  </si>
  <si>
    <t>C/S DF</t>
  </si>
  <si>
    <t>Total</t>
  </si>
  <si>
    <t>김대현</t>
    <phoneticPr fontId="2" type="noConversion"/>
  </si>
  <si>
    <t>김동인</t>
    <phoneticPr fontId="2" type="noConversion"/>
  </si>
  <si>
    <t>이새샘</t>
    <phoneticPr fontId="2" type="noConversion"/>
  </si>
  <si>
    <t>장희도</t>
    <phoneticPr fontId="2" type="noConversion"/>
  </si>
  <si>
    <t>장희준</t>
    <phoneticPr fontId="2" type="noConversion"/>
  </si>
  <si>
    <t>전나현</t>
    <phoneticPr fontId="2" type="noConversion"/>
  </si>
  <si>
    <t>최승훈</t>
    <phoneticPr fontId="2" type="noConversion"/>
  </si>
  <si>
    <t>유정훈</t>
    <phoneticPr fontId="2" type="noConversion"/>
  </si>
  <si>
    <t>정재명</t>
    <phoneticPr fontId="2" type="noConversion"/>
  </si>
  <si>
    <t>안진혁</t>
    <phoneticPr fontId="2" type="noConversion"/>
  </si>
  <si>
    <t>정효태</t>
    <phoneticPr fontId="2" type="noConversion"/>
  </si>
  <si>
    <t>신재경</t>
    <phoneticPr fontId="2" type="noConversion"/>
  </si>
  <si>
    <t>김부건</t>
    <phoneticPr fontId="2" type="noConversion"/>
  </si>
  <si>
    <t>김용현</t>
    <phoneticPr fontId="2" type="noConversion"/>
  </si>
  <si>
    <t>강종찬</t>
    <phoneticPr fontId="2" type="noConversion"/>
  </si>
  <si>
    <t>김인혁</t>
    <phoneticPr fontId="2" type="noConversion"/>
  </si>
  <si>
    <t>김형원</t>
    <phoneticPr fontId="2" type="noConversion"/>
  </si>
  <si>
    <t>김송환</t>
    <phoneticPr fontId="2" type="noConversion"/>
  </si>
  <si>
    <t>최경영</t>
    <phoneticPr fontId="2" type="noConversion"/>
  </si>
  <si>
    <t>강기혁</t>
    <phoneticPr fontId="2" type="noConversion"/>
  </si>
  <si>
    <t>오우영</t>
    <phoneticPr fontId="2" type="noConversion"/>
  </si>
  <si>
    <t>김기문</t>
    <phoneticPr fontId="2" type="noConversion"/>
  </si>
  <si>
    <t>김범기</t>
    <phoneticPr fontId="2" type="noConversion"/>
  </si>
  <si>
    <t>홍석준</t>
    <phoneticPr fontId="2" type="noConversion"/>
  </si>
  <si>
    <t>Total</t>
    <phoneticPr fontId="2" type="noConversion"/>
  </si>
  <si>
    <t>이성관</t>
    <phoneticPr fontId="2" type="noConversion"/>
  </si>
  <si>
    <t>유니폼</t>
    <phoneticPr fontId="2" type="noConversion"/>
  </si>
  <si>
    <t>박정호</t>
    <phoneticPr fontId="2" type="noConversion"/>
  </si>
  <si>
    <t>문준수</t>
    <phoneticPr fontId="2" type="noConversion"/>
  </si>
  <si>
    <t>강일수</t>
    <phoneticPr fontId="2" type="noConversion"/>
  </si>
  <si>
    <t>민건호</t>
    <phoneticPr fontId="2" type="noConversion"/>
  </si>
  <si>
    <t>전성환</t>
    <phoneticPr fontId="2" type="noConversion"/>
  </si>
  <si>
    <t>최령창</t>
    <phoneticPr fontId="2" type="noConversion"/>
  </si>
  <si>
    <t>임호연</t>
    <phoneticPr fontId="2" type="noConversion"/>
  </si>
  <si>
    <t>황석원</t>
    <phoneticPr fontId="2" type="noConversion"/>
  </si>
  <si>
    <t>김민준</t>
    <phoneticPr fontId="2" type="noConversion"/>
  </si>
  <si>
    <t>유인상</t>
    <phoneticPr fontId="2" type="noConversion"/>
  </si>
  <si>
    <t>바람막이</t>
    <phoneticPr fontId="2" type="noConversion"/>
  </si>
  <si>
    <t>Home</t>
    <phoneticPr fontId="2" type="noConversion"/>
  </si>
  <si>
    <t>Away</t>
    <phoneticPr fontId="2" type="noConversion"/>
  </si>
  <si>
    <t>C/S GK (0.2)</t>
    <phoneticPr fontId="2" type="noConversion"/>
  </si>
  <si>
    <t>손경호</t>
    <phoneticPr fontId="2" type="noConversion"/>
  </si>
  <si>
    <t>황재순</t>
    <phoneticPr fontId="2" type="noConversion"/>
  </si>
  <si>
    <t>박하빈</t>
    <phoneticPr fontId="2" type="noConversion"/>
  </si>
  <si>
    <t>김덕준</t>
    <phoneticPr fontId="2" type="noConversion"/>
  </si>
  <si>
    <t>김성수</t>
    <phoneticPr fontId="2" type="noConversion"/>
  </si>
  <si>
    <t>박주연</t>
    <phoneticPr fontId="2" type="noConversion"/>
  </si>
  <si>
    <t>차승원</t>
    <phoneticPr fontId="2" type="noConversion"/>
  </si>
  <si>
    <t>김용빈</t>
    <phoneticPr fontId="2" type="noConversion"/>
  </si>
  <si>
    <t>김민섭</t>
    <phoneticPr fontId="2" type="noConversion"/>
  </si>
  <si>
    <t>임태환</t>
    <phoneticPr fontId="2" type="noConversion"/>
  </si>
  <si>
    <t>득점왕</t>
    <phoneticPr fontId="2" type="noConversion"/>
  </si>
  <si>
    <t>도움왕</t>
    <phoneticPr fontId="2" type="noConversion"/>
  </si>
  <si>
    <t>수비왕1</t>
    <phoneticPr fontId="2" type="noConversion"/>
  </si>
  <si>
    <t>밸런스왕</t>
    <phoneticPr fontId="2" type="noConversion"/>
  </si>
  <si>
    <t>키퍼왕</t>
    <phoneticPr fontId="2" type="noConversion"/>
  </si>
  <si>
    <t>항목</t>
    <phoneticPr fontId="2" type="noConversion"/>
  </si>
  <si>
    <t>설명</t>
    <phoneticPr fontId="2" type="noConversion"/>
  </si>
  <si>
    <t>최다 득점</t>
    <phoneticPr fontId="2" type="noConversion"/>
  </si>
  <si>
    <t>최다 도움</t>
    <phoneticPr fontId="2" type="noConversion"/>
  </si>
  <si>
    <t>최다 밸런스</t>
    <phoneticPr fontId="2" type="noConversion"/>
  </si>
  <si>
    <t>최다 클린시트</t>
    <phoneticPr fontId="2" type="noConversion"/>
  </si>
  <si>
    <t>MVP</t>
    <phoneticPr fontId="2" type="noConversion"/>
  </si>
  <si>
    <t>비고</t>
    <phoneticPr fontId="2" type="noConversion"/>
  </si>
  <si>
    <t>신인왕1</t>
    <phoneticPr fontId="2" type="noConversion"/>
  </si>
  <si>
    <t>신인왕2</t>
    <phoneticPr fontId="2" type="noConversion"/>
  </si>
  <si>
    <t>신인왕3</t>
    <phoneticPr fontId="2" type="noConversion"/>
  </si>
  <si>
    <t>베스트11</t>
    <phoneticPr fontId="2" type="noConversion"/>
  </si>
  <si>
    <t>수상자 제외 최다 종합 포인트</t>
    <phoneticPr fontId="2" type="noConversion"/>
  </si>
  <si>
    <t>전년도 등록 최다 출석</t>
    <phoneticPr fontId="2" type="noConversion"/>
  </si>
  <si>
    <t>전년/금년 합산 최다 출석</t>
    <phoneticPr fontId="2" type="noConversion"/>
  </si>
  <si>
    <t>역대 수상자 제외</t>
    <phoneticPr fontId="2" type="noConversion"/>
  </si>
  <si>
    <t>김영태</t>
    <phoneticPr fontId="2" type="noConversion"/>
  </si>
  <si>
    <t>이민재</t>
    <phoneticPr fontId="2" type="noConversion"/>
  </si>
  <si>
    <t>김태성</t>
    <phoneticPr fontId="2" type="noConversion"/>
  </si>
  <si>
    <t>36R</t>
  </si>
  <si>
    <t>37R</t>
  </si>
  <si>
    <t>38R</t>
  </si>
  <si>
    <t>39R</t>
  </si>
  <si>
    <t>40R</t>
  </si>
  <si>
    <t>41R</t>
  </si>
  <si>
    <t>42R</t>
  </si>
  <si>
    <t>43R</t>
  </si>
  <si>
    <t>44R</t>
  </si>
  <si>
    <t>45R</t>
  </si>
  <si>
    <t>김우인</t>
    <phoneticPr fontId="2" type="noConversion"/>
  </si>
  <si>
    <t>금년 등록 최다 출석</t>
    <phoneticPr fontId="2" type="noConversion"/>
  </si>
  <si>
    <t>추천</t>
    <phoneticPr fontId="2" type="noConversion"/>
  </si>
  <si>
    <t>운영진 추천</t>
    <phoneticPr fontId="2" type="noConversion"/>
  </si>
  <si>
    <t>이상민</t>
    <phoneticPr fontId="2" type="noConversion"/>
  </si>
  <si>
    <t>46R</t>
    <phoneticPr fontId="2" type="noConversion"/>
  </si>
  <si>
    <t>기존 MVP 제외, 중복 수상 가능</t>
    <phoneticPr fontId="2" type="noConversion"/>
  </si>
  <si>
    <t>노민준</t>
    <phoneticPr fontId="2" type="noConversion"/>
  </si>
  <si>
    <t>47R</t>
    <phoneticPr fontId="2" type="noConversion"/>
  </si>
  <si>
    <t>최다 출석</t>
    <phoneticPr fontId="2" type="noConversion"/>
  </si>
  <si>
    <t>1순위</t>
    <phoneticPr fontId="2" type="noConversion"/>
  </si>
  <si>
    <t>2순위</t>
    <phoneticPr fontId="2" type="noConversion"/>
  </si>
  <si>
    <t>3순위</t>
    <phoneticPr fontId="2" type="noConversion"/>
  </si>
  <si>
    <t>4순위</t>
    <phoneticPr fontId="2" type="noConversion"/>
  </si>
  <si>
    <t>5순위</t>
    <phoneticPr fontId="2" type="noConversion"/>
  </si>
  <si>
    <t>이재민</t>
    <phoneticPr fontId="2" type="noConversion"/>
  </si>
  <si>
    <t>1명</t>
    <phoneticPr fontId="2" type="noConversion"/>
  </si>
  <si>
    <t>2명</t>
    <phoneticPr fontId="2" type="noConversion"/>
  </si>
  <si>
    <t>5명</t>
    <phoneticPr fontId="2" type="noConversion"/>
  </si>
  <si>
    <t>※ 24년 DF 2명, GK 1명에서 DF/GK 통합 2명으로 수정</t>
    <phoneticPr fontId="2" type="noConversion"/>
  </si>
  <si>
    <t>※ 베스트11 종합 포인트 5명에서 종합 포인트 3명, 출석 3명으로 수정</t>
    <phoneticPr fontId="2" type="noConversion"/>
  </si>
  <si>
    <t>한의현</t>
    <phoneticPr fontId="2" type="noConversion"/>
  </si>
  <si>
    <t>입단일</t>
    <phoneticPr fontId="2" type="noConversion"/>
  </si>
  <si>
    <t>48R</t>
  </si>
  <si>
    <t>49R</t>
  </si>
  <si>
    <t>50R</t>
  </si>
  <si>
    <t>박주현</t>
    <phoneticPr fontId="2" type="noConversion"/>
  </si>
  <si>
    <t>김성준</t>
    <phoneticPr fontId="2" type="noConversion"/>
  </si>
  <si>
    <t>정민수</t>
    <phoneticPr fontId="2" type="noConversion"/>
  </si>
  <si>
    <t>조진한</t>
    <phoneticPr fontId="2" type="noConversion"/>
  </si>
  <si>
    <t>출전</t>
  </si>
  <si>
    <t>MATCH</t>
    <phoneticPr fontId="2" type="noConversion"/>
  </si>
  <si>
    <t>FM</t>
    <phoneticPr fontId="2" type="noConversion"/>
  </si>
  <si>
    <t>vs Team</t>
    <phoneticPr fontId="2" type="noConversion"/>
  </si>
  <si>
    <t>Semi-Pro</t>
    <phoneticPr fontId="2" type="noConversion"/>
  </si>
  <si>
    <t>김민성</t>
    <phoneticPr fontId="2" type="noConversion"/>
  </si>
  <si>
    <t>OG</t>
    <phoneticPr fontId="2" type="noConversion"/>
  </si>
  <si>
    <t>김종준</t>
    <phoneticPr fontId="2" type="noConversion"/>
  </si>
  <si>
    <t>김덕준</t>
  </si>
  <si>
    <t>이상현</t>
    <phoneticPr fontId="2" type="noConversion"/>
  </si>
  <si>
    <t>윤창현</t>
    <phoneticPr fontId="2" type="noConversion"/>
  </si>
  <si>
    <t>윤성용</t>
    <phoneticPr fontId="2" type="noConversion"/>
  </si>
  <si>
    <t>이연길</t>
    <phoneticPr fontId="2" type="noConversion"/>
  </si>
  <si>
    <t>DS FC</t>
    <phoneticPr fontId="2" type="noConversion"/>
  </si>
  <si>
    <t>김현우</t>
    <phoneticPr fontId="2" type="noConversion"/>
  </si>
  <si>
    <t>류서진</t>
    <phoneticPr fontId="2" type="noConversion"/>
  </si>
  <si>
    <t>손경호</t>
  </si>
  <si>
    <t>김성준</t>
  </si>
  <si>
    <t>김병문</t>
    <phoneticPr fontId="2" type="noConversion"/>
  </si>
  <si>
    <t>강기혁</t>
  </si>
  <si>
    <t>유정훈</t>
  </si>
  <si>
    <t>이태한</t>
    <phoneticPr fontId="2" type="noConversion"/>
  </si>
  <si>
    <t>대상</t>
    <phoneticPr fontId="2" type="noConversion"/>
  </si>
  <si>
    <t>황재순</t>
  </si>
  <si>
    <t>김우인</t>
  </si>
  <si>
    <t>한의현</t>
  </si>
  <si>
    <t>정민수</t>
  </si>
  <si>
    <t>임태환</t>
  </si>
  <si>
    <t>문준수</t>
  </si>
  <si>
    <t>이승윤</t>
    <phoneticPr fontId="2" type="noConversion"/>
  </si>
  <si>
    <t>김병준</t>
    <phoneticPr fontId="2" type="noConversion"/>
  </si>
  <si>
    <t>Assist</t>
    <phoneticPr fontId="2" type="noConversion"/>
  </si>
  <si>
    <t>강관석</t>
    <phoneticPr fontId="2" type="noConversion"/>
  </si>
  <si>
    <t>이호행</t>
    <phoneticPr fontId="2" type="noConversion"/>
  </si>
  <si>
    <t>인원</t>
    <phoneticPr fontId="2" type="noConversion"/>
  </si>
  <si>
    <t>김민찬</t>
    <phoneticPr fontId="2" type="noConversion"/>
  </si>
  <si>
    <t>송명섭</t>
    <phoneticPr fontId="2" type="noConversion"/>
  </si>
  <si>
    <t>박주연</t>
  </si>
  <si>
    <t>박주연</t>
    <phoneticPr fontId="2" type="noConversion"/>
  </si>
  <si>
    <t>신재경</t>
    <phoneticPr fontId="2" type="noConversion"/>
  </si>
  <si>
    <t>Top Score</t>
    <phoneticPr fontId="2" type="noConversion"/>
  </si>
  <si>
    <t>Best Eleven</t>
    <phoneticPr fontId="2" type="noConversion"/>
  </si>
  <si>
    <t>Best MF</t>
    <phoneticPr fontId="2" type="noConversion"/>
  </si>
  <si>
    <t>Best DF/GK</t>
    <phoneticPr fontId="2" type="noConversion"/>
  </si>
  <si>
    <t>부분</t>
    <phoneticPr fontId="2" type="noConversion"/>
  </si>
  <si>
    <t>MVP (교대)</t>
    <phoneticPr fontId="2" type="noConversion"/>
  </si>
  <si>
    <t>Best Attendance</t>
    <phoneticPr fontId="2" type="noConversion"/>
  </si>
  <si>
    <t>Young Player</t>
    <phoneticPr fontId="2" type="noConversion"/>
  </si>
  <si>
    <t>최종 수상자</t>
    <phoneticPr fontId="2" type="noConversion"/>
  </si>
  <si>
    <t>문준수</t>
    <phoneticPr fontId="2" type="noConversion"/>
  </si>
  <si>
    <t>강기혁</t>
    <phoneticPr fontId="2" type="noConversion"/>
  </si>
  <si>
    <t>김대현</t>
    <phoneticPr fontId="2" type="noConversion"/>
  </si>
  <si>
    <t>김송환</t>
    <phoneticPr fontId="2" type="noConversion"/>
  </si>
  <si>
    <t>황석원</t>
    <phoneticPr fontId="2" type="noConversion"/>
  </si>
  <si>
    <t>최경영</t>
    <phoneticPr fontId="2" type="noConversion"/>
  </si>
  <si>
    <t>김부건</t>
    <phoneticPr fontId="2" type="noConversion"/>
  </si>
  <si>
    <t>정효태</t>
    <phoneticPr fontId="2" type="noConversion"/>
  </si>
  <si>
    <t>김성수</t>
    <phoneticPr fontId="2" type="noConversion"/>
  </si>
  <si>
    <t>이성관</t>
    <phoneticPr fontId="2" type="noConversion"/>
  </si>
  <si>
    <t>홍석준</t>
    <phoneticPr fontId="2" type="noConversion"/>
  </si>
  <si>
    <t>김형원</t>
    <phoneticPr fontId="2" type="noConversion"/>
  </si>
  <si>
    <t>손경호</t>
    <phoneticPr fontId="2" type="noConversion"/>
  </si>
  <si>
    <t>Best MF</t>
    <phoneticPr fontId="2" type="noConversion"/>
  </si>
  <si>
    <t>Score</t>
    <phoneticPr fontId="2" type="noConversion"/>
  </si>
  <si>
    <t>Assist</t>
    <phoneticPr fontId="2" type="noConversion"/>
  </si>
  <si>
    <t>Best DF</t>
    <phoneticPr fontId="2" type="noConversion"/>
  </si>
  <si>
    <t>Best GK</t>
    <phoneticPr fontId="2" type="noConversion"/>
  </si>
  <si>
    <t>Young Player</t>
    <phoneticPr fontId="2" type="noConversion"/>
  </si>
  <si>
    <t>비고</t>
    <phoneticPr fontId="2" type="noConversion"/>
  </si>
  <si>
    <t>인원</t>
    <phoneticPr fontId="2" type="noConversion"/>
  </si>
  <si>
    <t>김민섭</t>
  </si>
  <si>
    <t>비고1</t>
    <phoneticPr fontId="2" type="noConversion"/>
  </si>
  <si>
    <t>출석</t>
    <phoneticPr fontId="2" type="noConversion"/>
  </si>
  <si>
    <t>수상이력</t>
    <phoneticPr fontId="2" type="noConversion"/>
  </si>
  <si>
    <t>김인혁</t>
    <phoneticPr fontId="2" type="noConversion"/>
  </si>
  <si>
    <t>유정훈</t>
    <phoneticPr fontId="2" type="noConversion"/>
  </si>
  <si>
    <t>최경영</t>
    <phoneticPr fontId="2" type="noConversion"/>
  </si>
  <si>
    <t>문준수</t>
    <phoneticPr fontId="2" type="noConversion"/>
  </si>
  <si>
    <t>김종준</t>
    <phoneticPr fontId="2" type="noConversion"/>
  </si>
  <si>
    <t>김용현</t>
    <phoneticPr fontId="2" type="noConversion"/>
  </si>
  <si>
    <t>손경호</t>
    <phoneticPr fontId="2" type="noConversion"/>
  </si>
  <si>
    <t>강기혁</t>
    <phoneticPr fontId="2" type="noConversion"/>
  </si>
  <si>
    <t>김성수</t>
    <phoneticPr fontId="2" type="noConversion"/>
  </si>
  <si>
    <t>신재경</t>
    <phoneticPr fontId="2" type="noConversion"/>
  </si>
  <si>
    <t>김성준</t>
    <phoneticPr fontId="2" type="noConversion"/>
  </si>
  <si>
    <t>김우인</t>
    <phoneticPr fontId="2" type="noConversion"/>
  </si>
  <si>
    <t>이성관</t>
    <phoneticPr fontId="2" type="noConversion"/>
  </si>
  <si>
    <t>김송환</t>
    <phoneticPr fontId="2" type="noConversion"/>
  </si>
  <si>
    <t>임태환</t>
    <phoneticPr fontId="2" type="noConversion"/>
  </si>
  <si>
    <t>조진한</t>
    <phoneticPr fontId="2" type="noConversion"/>
  </si>
  <si>
    <t>김태성</t>
    <phoneticPr fontId="2" type="noConversion"/>
  </si>
  <si>
    <t>신종훈</t>
    <phoneticPr fontId="2" type="noConversion"/>
  </si>
  <si>
    <t>홍현석</t>
    <phoneticPr fontId="2" type="noConversion"/>
  </si>
  <si>
    <t>유상근</t>
    <phoneticPr fontId="2" type="noConversion"/>
  </si>
  <si>
    <t>강관석</t>
  </si>
  <si>
    <t>김기문</t>
  </si>
  <si>
    <t>김승철</t>
    <phoneticPr fontId="2" type="noConversion"/>
  </si>
  <si>
    <t>양진웅</t>
    <phoneticPr fontId="2" type="noConversion"/>
  </si>
  <si>
    <t>김태완</t>
    <phoneticPr fontId="2" type="noConversion"/>
  </si>
  <si>
    <t>황석원</t>
  </si>
  <si>
    <t>이찬영</t>
    <phoneticPr fontId="2" type="noConversion"/>
  </si>
  <si>
    <t>조진한</t>
  </si>
  <si>
    <t>윤원택</t>
    <phoneticPr fontId="2" type="noConversion"/>
  </si>
  <si>
    <t>허동혁</t>
    <phoneticPr fontId="2" type="noConversion"/>
  </si>
  <si>
    <t>송윤상</t>
    <phoneticPr fontId="2" type="noConversion"/>
  </si>
  <si>
    <t>이승윤</t>
  </si>
  <si>
    <t>송명섭</t>
  </si>
  <si>
    <t>김진호</t>
    <phoneticPr fontId="2" type="noConversion"/>
  </si>
  <si>
    <t>김종혁</t>
    <phoneticPr fontId="2" type="noConversion"/>
  </si>
  <si>
    <t>이정범</t>
    <phoneticPr fontId="2" type="noConversion"/>
  </si>
  <si>
    <t>오우영</t>
  </si>
  <si>
    <t>허동혁</t>
  </si>
  <si>
    <t>권주용</t>
    <phoneticPr fontId="2" type="noConversion"/>
  </si>
  <si>
    <t>오진환</t>
    <phoneticPr fontId="2" type="noConversion"/>
  </si>
  <si>
    <t>황철우</t>
    <phoneticPr fontId="2" type="noConversion"/>
  </si>
  <si>
    <t>양진웅</t>
  </si>
  <si>
    <t>김준영</t>
    <phoneticPr fontId="2" type="noConversion"/>
  </si>
  <si>
    <t>입단년도</t>
    <phoneticPr fontId="2" type="noConversion"/>
  </si>
  <si>
    <t>Origin</t>
    <phoneticPr fontId="2" type="noConversion"/>
  </si>
  <si>
    <t>김용만</t>
    <phoneticPr fontId="2" type="noConversion"/>
  </si>
  <si>
    <t>김태양</t>
    <phoneticPr fontId="2" type="noConversion"/>
  </si>
  <si>
    <t>차승원</t>
  </si>
  <si>
    <t>유상근</t>
  </si>
  <si>
    <t>지급</t>
    <phoneticPr fontId="2" type="noConversion"/>
  </si>
  <si>
    <t>강도일</t>
    <phoneticPr fontId="2" type="noConversion"/>
  </si>
  <si>
    <t>한상규</t>
    <phoneticPr fontId="2" type="noConversion"/>
  </si>
  <si>
    <t>이경석</t>
    <phoneticPr fontId="2" type="noConversion"/>
  </si>
  <si>
    <t>출전 Point</t>
  </si>
  <si>
    <t>포인트</t>
    <phoneticPr fontId="2" type="noConversion"/>
  </si>
  <si>
    <t>Point</t>
    <phoneticPr fontId="2" type="noConversion"/>
  </si>
  <si>
    <t>TOP SCORER</t>
    <phoneticPr fontId="2" type="noConversion"/>
  </si>
  <si>
    <t>BEST ASSIST</t>
    <phoneticPr fontId="2" type="noConversion"/>
  </si>
  <si>
    <t>MF OF THE SEASON</t>
    <phoneticPr fontId="2" type="noConversion"/>
  </si>
  <si>
    <t>DF OF THE SEASON</t>
    <phoneticPr fontId="2" type="noConversion"/>
  </si>
  <si>
    <t>유휴민</t>
  </si>
  <si>
    <t>Best Eleven
&amp;
MVP</t>
    <phoneticPr fontId="2" type="noConversion"/>
  </si>
  <si>
    <t>단장추천</t>
    <phoneticPr fontId="2" type="noConversion"/>
  </si>
  <si>
    <t>대회준비</t>
    <phoneticPr fontId="2" type="noConversion"/>
  </si>
  <si>
    <t>운동장예약</t>
    <phoneticPr fontId="2" type="noConversion"/>
  </si>
  <si>
    <t>이승민</t>
    <phoneticPr fontId="2" type="noConversion"/>
  </si>
  <si>
    <t>총무10년</t>
    <phoneticPr fontId="2" type="noConversion"/>
  </si>
  <si>
    <t>김기태</t>
    <phoneticPr fontId="2" type="noConversion"/>
  </si>
  <si>
    <t>김주식</t>
    <phoneticPr fontId="2" type="noConversion"/>
  </si>
  <si>
    <t>김진형</t>
    <phoneticPr fontId="2" type="noConversion"/>
  </si>
  <si>
    <t>마창기</t>
    <phoneticPr fontId="2" type="noConversion"/>
  </si>
  <si>
    <t>박수천</t>
    <phoneticPr fontId="2" type="noConversion"/>
  </si>
  <si>
    <t>신기웅</t>
    <phoneticPr fontId="2" type="noConversion"/>
  </si>
  <si>
    <t>우보광</t>
    <phoneticPr fontId="2" type="noConversion"/>
  </si>
  <si>
    <t>이병현</t>
    <phoneticPr fontId="2" type="noConversion"/>
  </si>
  <si>
    <t>윤현기</t>
    <phoneticPr fontId="2" type="noConversion"/>
  </si>
  <si>
    <t>출전</t>
    <phoneticPr fontId="2" type="noConversion"/>
  </si>
  <si>
    <t>발주</t>
    <phoneticPr fontId="2" type="noConversion"/>
  </si>
  <si>
    <t>김진호</t>
  </si>
  <si>
    <t>조현우</t>
    <phoneticPr fontId="2" type="noConversion"/>
  </si>
  <si>
    <t>한상규</t>
  </si>
  <si>
    <t>김종혁</t>
  </si>
  <si>
    <t>노민준</t>
  </si>
  <si>
    <t>이상민</t>
  </si>
  <si>
    <t>홍현석</t>
  </si>
  <si>
    <t>김청축</t>
    <phoneticPr fontId="2" type="noConversion"/>
  </si>
  <si>
    <t>CT24</t>
    <phoneticPr fontId="2" type="noConversion"/>
  </si>
  <si>
    <t>윤현기</t>
  </si>
  <si>
    <t>이병현</t>
  </si>
  <si>
    <t>김기태</t>
  </si>
  <si>
    <t>송윤상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</si>
</sst>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&quot;/&quot;d;@"/>
    <numFmt numFmtId="165" formatCode="0.0"/>
    <numFmt numFmtId="166" formatCode="0_);[Red]\(0\)"/>
  </numFmts>
  <fonts count="8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sz val="10"/>
      <color rgb="FF2828A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9EDF5"/>
        <bgColor indexed="64"/>
      </patternFill>
    </fill>
    <fill>
      <patternFill patternType="solid">
        <fgColor rgb="FFE7F4F6"/>
        <bgColor indexed="64"/>
      </patternFill>
    </fill>
    <fill>
      <patternFill patternType="solid">
        <fgColor rgb="FFFCF5E7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BFAF7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F6E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0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164" fontId="1" fillId="13" borderId="1" xfId="0" applyNumberFormat="1" applyFont="1" applyFill="1" applyBorder="1" applyAlignment="1">
      <alignment horizontal="center" vertical="center"/>
    </xf>
    <xf numFmtId="164" fontId="1" fillId="14" borderId="1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12" borderId="1" xfId="1" applyFont="1" applyFill="1" applyBorder="1" applyAlignment="1">
      <alignment horizontal="center" vertical="center"/>
    </xf>
    <xf numFmtId="0" fontId="1" fillId="13" borderId="1" xfId="1" applyFont="1" applyFill="1" applyBorder="1" applyAlignment="1">
      <alignment horizontal="center" vertical="center"/>
    </xf>
    <xf numFmtId="0" fontId="1" fillId="14" borderId="1" xfId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8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8" borderId="1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8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12" borderId="1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0" xfId="0" applyFont="1">
      <alignment vertical="center"/>
    </xf>
    <xf numFmtId="0" fontId="5" fillId="12" borderId="15" xfId="0" applyFont="1" applyFill="1" applyBorder="1">
      <alignment vertical="center"/>
    </xf>
    <xf numFmtId="0" fontId="5" fillId="12" borderId="15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0" fontId="1" fillId="12" borderId="15" xfId="0" applyFont="1" applyFill="1" applyBorder="1">
      <alignment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표준" xfId="0" builtinId="0"/>
    <cellStyle name="표준 2" xfId="1" xr:uid="{F9D42588-B7C5-4A50-82F2-2C75805140AA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Light Style 1 - Accent 1" table="0" count="7" xr9:uid="{00000000-0011-0000-FFFF-FFFF01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</tableStyles>
  <colors>
    <mruColors>
      <color rgb="FF2828A0"/>
      <color rgb="FF000064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T114"/>
  <sheetViews>
    <sheetView showGridLines="0" topLeftCell="A73" zoomScale="98" zoomScaleNormal="98" workbookViewId="0">
      <pane xSplit="9" topLeftCell="J1" activePane="topRight" state="frozen"/>
      <selection pane="topRight" activeCell="P101" sqref="P101"/>
    </sheetView>
  </sheetViews>
  <sheetFormatPr defaultColWidth="8.9140625" defaultRowHeight="16" x14ac:dyDescent="0.25"/>
  <cols>
    <col min="1" max="1" width="4.1640625" style="1" bestFit="1" customWidth="1"/>
    <col min="2" max="2" width="6.33203125" style="1" customWidth="1"/>
    <col min="3" max="3" width="8.1640625" style="60" bestFit="1" customWidth="1"/>
    <col min="4" max="4" width="8.1640625" style="54" customWidth="1"/>
    <col min="5" max="5" width="8.1640625" style="54" bestFit="1" customWidth="1"/>
    <col min="6" max="6" width="5.9140625" style="1" customWidth="1"/>
    <col min="7" max="7" width="4.4140625" style="1" customWidth="1"/>
    <col min="8" max="8" width="8.9140625" style="1" customWidth="1"/>
    <col min="9" max="9" width="8.1640625" style="1" customWidth="1"/>
    <col min="10" max="30" width="5.1640625" style="1" customWidth="1"/>
    <col min="31" max="33" width="5.1640625" style="3" customWidth="1"/>
    <col min="34" max="59" width="5.1640625" style="1" customWidth="1"/>
    <col min="60" max="82" width="4.83203125" style="1" customWidth="1"/>
    <col min="83" max="90" width="8.9140625" style="1"/>
    <col min="91" max="98" width="8.9140625" style="3"/>
  </cols>
  <sheetData>
    <row r="1" spans="1:82" x14ac:dyDescent="0.25">
      <c r="D1" s="54">
        <f>COUNTIF(D4:D150,"발주")</f>
        <v>24</v>
      </c>
      <c r="I1" s="18" t="s">
        <v>87</v>
      </c>
      <c r="J1" s="19" t="s">
        <v>45</v>
      </c>
      <c r="K1" s="1" t="s">
        <v>13</v>
      </c>
      <c r="L1" s="1" t="s">
        <v>22</v>
      </c>
      <c r="M1" s="1" t="s">
        <v>15</v>
      </c>
      <c r="N1" s="1" t="s">
        <v>26</v>
      </c>
      <c r="O1" s="1" t="s">
        <v>60</v>
      </c>
      <c r="P1" s="1" t="s">
        <v>11</v>
      </c>
      <c r="Q1" s="1" t="s">
        <v>51</v>
      </c>
      <c r="R1" s="1" t="s">
        <v>12</v>
      </c>
      <c r="S1" s="1" t="s">
        <v>57</v>
      </c>
      <c r="T1" s="1" t="s">
        <v>18</v>
      </c>
      <c r="U1" s="1" t="s">
        <v>56</v>
      </c>
      <c r="V1" s="1" t="s">
        <v>21</v>
      </c>
      <c r="W1" s="1" t="s">
        <v>59</v>
      </c>
      <c r="X1" s="1" t="s">
        <v>23</v>
      </c>
      <c r="Y1" s="1" t="s">
        <v>17</v>
      </c>
      <c r="Z1" s="1" t="s">
        <v>29</v>
      </c>
      <c r="AA1" s="1" t="s">
        <v>63</v>
      </c>
      <c r="AB1" s="1" t="s">
        <v>31</v>
      </c>
      <c r="AC1" s="1" t="s">
        <v>54</v>
      </c>
      <c r="AD1" s="1" t="s">
        <v>10</v>
      </c>
      <c r="AE1" s="1" t="s">
        <v>30</v>
      </c>
      <c r="AF1" s="1" t="s">
        <v>19</v>
      </c>
      <c r="AG1" s="1" t="s">
        <v>66</v>
      </c>
      <c r="AH1" s="1" t="s">
        <v>58</v>
      </c>
      <c r="AI1" s="1" t="s">
        <v>61</v>
      </c>
      <c r="AJ1" s="1" t="s">
        <v>35</v>
      </c>
      <c r="AK1" s="1" t="s">
        <v>24</v>
      </c>
      <c r="AL1" s="1" t="s">
        <v>52</v>
      </c>
      <c r="AM1" s="1" t="s">
        <v>16</v>
      </c>
      <c r="AN1" s="1" t="s">
        <v>68</v>
      </c>
      <c r="AO1" s="1" t="s">
        <v>33</v>
      </c>
      <c r="AP1" s="1" t="s">
        <v>28</v>
      </c>
      <c r="AQ1" s="1" t="s">
        <v>72</v>
      </c>
      <c r="AR1" s="1" t="s">
        <v>25</v>
      </c>
      <c r="AS1" s="1" t="s">
        <v>165</v>
      </c>
      <c r="AT1" s="1" t="s">
        <v>166</v>
      </c>
      <c r="AU1" s="1" t="s">
        <v>167</v>
      </c>
      <c r="AV1" s="1" t="s">
        <v>168</v>
      </c>
      <c r="AW1" s="1" t="s">
        <v>169</v>
      </c>
      <c r="AX1" s="1" t="s">
        <v>170</v>
      </c>
      <c r="AY1" s="1" t="s">
        <v>171</v>
      </c>
      <c r="AZ1" s="1" t="s">
        <v>172</v>
      </c>
      <c r="BA1" s="1" t="s">
        <v>173</v>
      </c>
      <c r="BB1" s="1" t="s">
        <v>174</v>
      </c>
      <c r="BC1" s="1" t="s">
        <v>180</v>
      </c>
      <c r="BD1" s="1" t="s">
        <v>183</v>
      </c>
      <c r="BE1" s="1" t="s">
        <v>198</v>
      </c>
      <c r="BF1" s="1" t="s">
        <v>199</v>
      </c>
      <c r="BG1" s="1" t="s">
        <v>200</v>
      </c>
    </row>
    <row r="2" spans="1:82" x14ac:dyDescent="0.25">
      <c r="D2" s="54">
        <f>COUNTIF(D4:D150,"지급")</f>
        <v>42</v>
      </c>
      <c r="E2" s="54">
        <f>COUNTIF(E4:E133,"지급")</f>
        <v>0</v>
      </c>
      <c r="H2" s="18">
        <f>SUM(J2:AR2)/COUNTA(J2:BB2)</f>
        <v>3.0444444444444443</v>
      </c>
      <c r="I2" s="18" t="s">
        <v>83</v>
      </c>
      <c r="J2" s="1">
        <f t="shared" ref="J2:AO2" si="0">COUNTA(J4:J145)</f>
        <v>15</v>
      </c>
      <c r="K2" s="1">
        <f t="shared" si="0"/>
        <v>31</v>
      </c>
      <c r="L2" s="1">
        <f t="shared" si="0"/>
        <v>17</v>
      </c>
      <c r="M2" s="1">
        <f t="shared" si="0"/>
        <v>20</v>
      </c>
      <c r="N2" s="1">
        <f t="shared" si="0"/>
        <v>23</v>
      </c>
      <c r="O2" s="1">
        <f t="shared" si="0"/>
        <v>19</v>
      </c>
      <c r="P2" s="1">
        <f t="shared" si="0"/>
        <v>12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  <c r="V2" s="1">
        <f t="shared" si="0"/>
        <v>0</v>
      </c>
      <c r="W2" s="1">
        <f t="shared" si="0"/>
        <v>0</v>
      </c>
      <c r="X2" s="1">
        <f t="shared" si="0"/>
        <v>0</v>
      </c>
      <c r="Y2" s="1">
        <f t="shared" si="0"/>
        <v>0</v>
      </c>
      <c r="Z2" s="1">
        <f t="shared" si="0"/>
        <v>0</v>
      </c>
      <c r="AA2" s="1">
        <f t="shared" si="0"/>
        <v>0</v>
      </c>
      <c r="AB2" s="1">
        <f t="shared" si="0"/>
        <v>0</v>
      </c>
      <c r="AC2" s="1">
        <f t="shared" si="0"/>
        <v>0</v>
      </c>
      <c r="AD2" s="1">
        <f t="shared" si="0"/>
        <v>0</v>
      </c>
      <c r="AE2" s="1">
        <f t="shared" si="0"/>
        <v>0</v>
      </c>
      <c r="AF2" s="1">
        <f t="shared" si="0"/>
        <v>0</v>
      </c>
      <c r="AG2" s="1">
        <f t="shared" si="0"/>
        <v>0</v>
      </c>
      <c r="AH2" s="1">
        <f t="shared" si="0"/>
        <v>0</v>
      </c>
      <c r="AI2" s="1">
        <f t="shared" si="0"/>
        <v>0</v>
      </c>
      <c r="AJ2" s="1">
        <f t="shared" si="0"/>
        <v>0</v>
      </c>
      <c r="AK2" s="1">
        <f t="shared" si="0"/>
        <v>0</v>
      </c>
      <c r="AL2" s="1">
        <f t="shared" si="0"/>
        <v>0</v>
      </c>
      <c r="AM2" s="1">
        <f t="shared" si="0"/>
        <v>0</v>
      </c>
      <c r="AN2" s="1">
        <f t="shared" si="0"/>
        <v>0</v>
      </c>
      <c r="AO2" s="1">
        <f t="shared" si="0"/>
        <v>0</v>
      </c>
      <c r="AP2" s="1">
        <f t="shared" ref="AP2:BG2" si="1">COUNTA(AP4:AP145)</f>
        <v>0</v>
      </c>
      <c r="AQ2" s="1">
        <f t="shared" si="1"/>
        <v>0</v>
      </c>
      <c r="AR2" s="1">
        <f t="shared" si="1"/>
        <v>0</v>
      </c>
      <c r="AS2" s="1">
        <f t="shared" si="1"/>
        <v>0</v>
      </c>
      <c r="AT2" s="1">
        <f t="shared" si="1"/>
        <v>0</v>
      </c>
      <c r="AU2" s="1">
        <f t="shared" si="1"/>
        <v>0</v>
      </c>
      <c r="AV2" s="1">
        <f t="shared" si="1"/>
        <v>0</v>
      </c>
      <c r="AW2" s="1">
        <f t="shared" si="1"/>
        <v>0</v>
      </c>
      <c r="AX2" s="1">
        <f t="shared" si="1"/>
        <v>0</v>
      </c>
      <c r="AY2" s="1">
        <f t="shared" si="1"/>
        <v>0</v>
      </c>
      <c r="AZ2" s="1">
        <f t="shared" si="1"/>
        <v>0</v>
      </c>
      <c r="BA2" s="1">
        <f t="shared" si="1"/>
        <v>0</v>
      </c>
      <c r="BB2" s="1">
        <f t="shared" si="1"/>
        <v>0</v>
      </c>
      <c r="BC2" s="1">
        <f t="shared" si="1"/>
        <v>0</v>
      </c>
      <c r="BD2" s="1">
        <f t="shared" si="1"/>
        <v>0</v>
      </c>
      <c r="BE2" s="1">
        <f t="shared" si="1"/>
        <v>0</v>
      </c>
      <c r="BF2" s="1">
        <f t="shared" si="1"/>
        <v>0</v>
      </c>
      <c r="BG2" s="1">
        <f t="shared" si="1"/>
        <v>0</v>
      </c>
    </row>
    <row r="3" spans="1:82" x14ac:dyDescent="0.25">
      <c r="A3" s="2" t="s">
        <v>4</v>
      </c>
      <c r="B3" s="2" t="s">
        <v>6</v>
      </c>
      <c r="C3" s="58" t="s">
        <v>322</v>
      </c>
      <c r="D3" s="55" t="s">
        <v>116</v>
      </c>
      <c r="E3" s="55" t="s">
        <v>127</v>
      </c>
      <c r="F3" s="2" t="s">
        <v>44</v>
      </c>
      <c r="G3" s="2" t="s">
        <v>86</v>
      </c>
      <c r="H3" s="2" t="s">
        <v>79</v>
      </c>
      <c r="I3" s="2" t="s">
        <v>332</v>
      </c>
      <c r="J3" s="4">
        <v>46076</v>
      </c>
      <c r="K3" s="4">
        <v>46079</v>
      </c>
      <c r="L3" s="4">
        <v>46085</v>
      </c>
      <c r="M3" s="4">
        <v>46086</v>
      </c>
      <c r="N3" s="4">
        <v>46094</v>
      </c>
      <c r="O3" s="4">
        <v>46096</v>
      </c>
      <c r="P3" s="4">
        <v>46097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spans="1:82" x14ac:dyDescent="0.25">
      <c r="A4" s="2">
        <v>1</v>
      </c>
      <c r="B4" s="2" t="s">
        <v>50</v>
      </c>
      <c r="C4" s="58" t="s">
        <v>323</v>
      </c>
      <c r="D4" s="55" t="s">
        <v>356</v>
      </c>
      <c r="E4" s="55"/>
      <c r="F4" s="2" t="s">
        <v>37</v>
      </c>
      <c r="G4" s="2">
        <f>RANK(H4,$H$4:$H$122,0)</f>
        <v>1</v>
      </c>
      <c r="H4" s="6">
        <f>I4+개인기록Sheet!C4</f>
        <v>6.4</v>
      </c>
      <c r="I4" s="6">
        <f t="shared" ref="I4" si="2">(COUNTIF(J4:CD4,"출전")*1)</f>
        <v>5</v>
      </c>
      <c r="J4" s="2" t="s">
        <v>355</v>
      </c>
      <c r="K4" s="2"/>
      <c r="L4" s="2"/>
      <c r="M4" s="2" t="s">
        <v>355</v>
      </c>
      <c r="N4" s="2" t="s">
        <v>355</v>
      </c>
      <c r="O4" s="2" t="s">
        <v>355</v>
      </c>
      <c r="P4" s="2" t="s">
        <v>355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5">
      <c r="A5" s="2">
        <v>2</v>
      </c>
      <c r="B5" s="2" t="s">
        <v>39</v>
      </c>
      <c r="C5" s="58">
        <v>2021</v>
      </c>
      <c r="D5" s="55" t="s">
        <v>356</v>
      </c>
      <c r="E5" s="55"/>
      <c r="F5" s="2" t="s">
        <v>37</v>
      </c>
      <c r="G5" s="2">
        <f>RANK(H5,$H$4:$H$122,0)</f>
        <v>26</v>
      </c>
      <c r="H5" s="6">
        <f>I5+개인기록Sheet!C5</f>
        <v>2</v>
      </c>
      <c r="I5" s="6">
        <f t="shared" ref="I5:I7" si="3">(COUNTIF(J5:CD5,"출전")*1)</f>
        <v>1</v>
      </c>
      <c r="J5" s="2"/>
      <c r="K5" s="2"/>
      <c r="L5" s="2" t="s">
        <v>355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</row>
    <row r="6" spans="1:82" x14ac:dyDescent="0.25">
      <c r="A6" s="2">
        <v>3</v>
      </c>
      <c r="B6" s="2" t="s">
        <v>8</v>
      </c>
      <c r="C6" s="58" t="s">
        <v>323</v>
      </c>
      <c r="D6" s="55" t="s">
        <v>356</v>
      </c>
      <c r="E6" s="55"/>
      <c r="F6" s="2" t="s">
        <v>37</v>
      </c>
      <c r="G6" s="2">
        <f>RANK(H6,$H$4:$H$122,0)</f>
        <v>44</v>
      </c>
      <c r="H6" s="6">
        <f>I6+개인기록Sheet!C6</f>
        <v>1</v>
      </c>
      <c r="I6" s="6">
        <f t="shared" si="3"/>
        <v>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spans="1:82" x14ac:dyDescent="0.25">
      <c r="A7" s="2">
        <v>4</v>
      </c>
      <c r="B7" s="2" t="s">
        <v>47</v>
      </c>
      <c r="C7" s="58" t="s">
        <v>323</v>
      </c>
      <c r="D7" s="55"/>
      <c r="E7" s="55"/>
      <c r="F7" s="2" t="s">
        <v>37</v>
      </c>
      <c r="G7" s="2">
        <f t="shared" ref="G7:G70" si="4">RANK(H7,$H$4:$H$122,0)</f>
        <v>44</v>
      </c>
      <c r="H7" s="6">
        <f>I7+개인기록Sheet!C7</f>
        <v>1</v>
      </c>
      <c r="I7" s="6">
        <f t="shared" si="3"/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</row>
    <row r="8" spans="1:82" x14ac:dyDescent="0.25">
      <c r="A8" s="2">
        <v>5</v>
      </c>
      <c r="B8" s="2" t="s">
        <v>69</v>
      </c>
      <c r="C8" s="58" t="s">
        <v>323</v>
      </c>
      <c r="D8" s="55" t="s">
        <v>227</v>
      </c>
      <c r="E8" s="55"/>
      <c r="F8" s="2" t="s">
        <v>37</v>
      </c>
      <c r="G8" s="2">
        <f t="shared" si="4"/>
        <v>60</v>
      </c>
      <c r="H8" s="6">
        <f>I8+개인기록Sheet!C8</f>
        <v>0.8</v>
      </c>
      <c r="I8" s="6">
        <f t="shared" ref="I8:I71" si="5">(COUNTIF(J8:CD8,"출전")*1)</f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spans="1:82" x14ac:dyDescent="0.25">
      <c r="A9" s="2">
        <v>6</v>
      </c>
      <c r="B9" s="2" t="s">
        <v>48</v>
      </c>
      <c r="C9" s="58" t="s">
        <v>323</v>
      </c>
      <c r="D9" s="55" t="s">
        <v>328</v>
      </c>
      <c r="E9" s="55"/>
      <c r="F9" s="2" t="s">
        <v>37</v>
      </c>
      <c r="G9" s="2">
        <f t="shared" si="4"/>
        <v>21</v>
      </c>
      <c r="H9" s="6">
        <f>I9+개인기록Sheet!C9</f>
        <v>2.8</v>
      </c>
      <c r="I9" s="6">
        <f t="shared" si="5"/>
        <v>2</v>
      </c>
      <c r="J9" s="2"/>
      <c r="K9" s="2" t="s">
        <v>355</v>
      </c>
      <c r="L9" s="2"/>
      <c r="M9" s="2"/>
      <c r="N9" s="2"/>
      <c r="O9" s="2" t="s">
        <v>355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 x14ac:dyDescent="0.25">
      <c r="A10" s="2">
        <v>7</v>
      </c>
      <c r="B10" s="2" t="s">
        <v>237</v>
      </c>
      <c r="C10" s="59">
        <v>2024</v>
      </c>
      <c r="D10" s="55" t="s">
        <v>356</v>
      </c>
      <c r="E10" s="55"/>
      <c r="F10" s="2" t="s">
        <v>37</v>
      </c>
      <c r="G10" s="2">
        <f t="shared" si="4"/>
        <v>21</v>
      </c>
      <c r="H10" s="6">
        <f>I10+개인기록Sheet!C10</f>
        <v>2.8</v>
      </c>
      <c r="I10" s="6">
        <f t="shared" si="5"/>
        <v>2</v>
      </c>
      <c r="J10" s="2" t="s">
        <v>355</v>
      </c>
      <c r="K10" s="2"/>
      <c r="L10" s="2"/>
      <c r="M10" s="2"/>
      <c r="N10" s="2" t="s">
        <v>355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spans="1:82" x14ac:dyDescent="0.25">
      <c r="A11" s="2">
        <v>8</v>
      </c>
      <c r="B11" s="2" t="s">
        <v>109</v>
      </c>
      <c r="C11" s="58">
        <v>2022</v>
      </c>
      <c r="D11" s="55" t="s">
        <v>328</v>
      </c>
      <c r="E11" s="55"/>
      <c r="F11" s="2" t="s">
        <v>37</v>
      </c>
      <c r="G11" s="2">
        <f t="shared" si="4"/>
        <v>12</v>
      </c>
      <c r="H11" s="6">
        <f>I11+개인기록Sheet!C11</f>
        <v>3.8</v>
      </c>
      <c r="I11" s="6">
        <f t="shared" si="5"/>
        <v>3</v>
      </c>
      <c r="J11" s="2" t="s">
        <v>355</v>
      </c>
      <c r="K11" s="2"/>
      <c r="L11" s="2" t="s">
        <v>355</v>
      </c>
      <c r="M11" s="2" t="s">
        <v>355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1:82" x14ac:dyDescent="0.25">
      <c r="A12" s="2">
        <v>9</v>
      </c>
      <c r="B12" s="2" t="s">
        <v>329</v>
      </c>
      <c r="C12" s="59">
        <v>2025</v>
      </c>
      <c r="D12" s="55"/>
      <c r="E12" s="55"/>
      <c r="F12" s="2" t="s">
        <v>37</v>
      </c>
      <c r="G12" s="2">
        <f t="shared" si="4"/>
        <v>60</v>
      </c>
      <c r="H12" s="6">
        <f>I12+개인기록Sheet!C12</f>
        <v>0.8</v>
      </c>
      <c r="I12" s="6">
        <f t="shared" si="5"/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spans="1:82" x14ac:dyDescent="0.25">
      <c r="A13" s="2">
        <v>10</v>
      </c>
      <c r="B13" s="2" t="s">
        <v>119</v>
      </c>
      <c r="C13" s="58">
        <v>2022</v>
      </c>
      <c r="D13" s="55"/>
      <c r="E13" s="55"/>
      <c r="F13" s="2" t="s">
        <v>37</v>
      </c>
      <c r="G13" s="2">
        <f t="shared" si="4"/>
        <v>62</v>
      </c>
      <c r="H13" s="6">
        <f>I13+개인기록Sheet!C13</f>
        <v>0.7</v>
      </c>
      <c r="I13" s="6">
        <f t="shared" si="5"/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</row>
    <row r="14" spans="1:82" x14ac:dyDescent="0.25">
      <c r="A14" s="2">
        <v>11</v>
      </c>
      <c r="B14" s="2" t="s">
        <v>27</v>
      </c>
      <c r="C14" s="58" t="s">
        <v>323</v>
      </c>
      <c r="D14" s="55"/>
      <c r="E14" s="55"/>
      <c r="F14" s="2" t="s">
        <v>37</v>
      </c>
      <c r="G14" s="2">
        <f t="shared" si="4"/>
        <v>63</v>
      </c>
      <c r="H14" s="6">
        <f>I14+개인기록Sheet!C14</f>
        <v>0.60000000000000009</v>
      </c>
      <c r="I14" s="6">
        <f t="shared" si="5"/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spans="1:82" x14ac:dyDescent="0.25">
      <c r="A15" s="2">
        <v>12</v>
      </c>
      <c r="B15" s="2" t="s">
        <v>317</v>
      </c>
      <c r="C15" s="59">
        <v>2025</v>
      </c>
      <c r="D15" s="55"/>
      <c r="E15" s="55"/>
      <c r="F15" s="2" t="s">
        <v>37</v>
      </c>
      <c r="G15" s="2">
        <f t="shared" si="4"/>
        <v>63</v>
      </c>
      <c r="H15" s="6">
        <f>I15+개인기록Sheet!C15</f>
        <v>0.60000000000000009</v>
      </c>
      <c r="I15" s="6">
        <f t="shared" si="5"/>
        <v>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</row>
    <row r="16" spans="1:82" x14ac:dyDescent="0.25">
      <c r="A16" s="2">
        <v>13</v>
      </c>
      <c r="B16" s="2" t="s">
        <v>111</v>
      </c>
      <c r="C16" s="58">
        <v>2022</v>
      </c>
      <c r="D16" s="55" t="s">
        <v>328</v>
      </c>
      <c r="E16" s="55"/>
      <c r="F16" s="2" t="s">
        <v>37</v>
      </c>
      <c r="G16" s="2">
        <f t="shared" si="4"/>
        <v>13</v>
      </c>
      <c r="H16" s="6">
        <f>I16+개인기록Sheet!C16</f>
        <v>3.6</v>
      </c>
      <c r="I16" s="6">
        <f t="shared" si="5"/>
        <v>3</v>
      </c>
      <c r="J16" s="2"/>
      <c r="K16" s="2" t="s">
        <v>355</v>
      </c>
      <c r="L16" s="2" t="s">
        <v>355</v>
      </c>
      <c r="M16" s="2"/>
      <c r="N16" s="2"/>
      <c r="O16" s="2" t="s">
        <v>355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spans="1:82" x14ac:dyDescent="0.25">
      <c r="A17" s="2">
        <v>14</v>
      </c>
      <c r="B17" s="2" t="s">
        <v>346</v>
      </c>
      <c r="C17" s="59">
        <v>2026</v>
      </c>
      <c r="D17" s="55" t="s">
        <v>356</v>
      </c>
      <c r="E17" s="55"/>
      <c r="F17" s="2" t="s">
        <v>37</v>
      </c>
      <c r="G17" s="2">
        <f t="shared" si="4"/>
        <v>13</v>
      </c>
      <c r="H17" s="6">
        <f>I17+개인기록Sheet!C17</f>
        <v>3.6</v>
      </c>
      <c r="I17" s="6">
        <f t="shared" si="5"/>
        <v>3</v>
      </c>
      <c r="J17" s="2"/>
      <c r="K17" s="2" t="s">
        <v>355</v>
      </c>
      <c r="L17" s="2"/>
      <c r="M17" s="2"/>
      <c r="N17" s="2" t="s">
        <v>355</v>
      </c>
      <c r="O17" s="2"/>
      <c r="P17" s="2" t="s">
        <v>355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</row>
    <row r="18" spans="1:82" x14ac:dyDescent="0.25">
      <c r="A18" s="2">
        <v>15</v>
      </c>
      <c r="B18" s="2" t="s">
        <v>134</v>
      </c>
      <c r="C18" s="58">
        <v>2023</v>
      </c>
      <c r="D18" s="55" t="s">
        <v>356</v>
      </c>
      <c r="E18" s="55"/>
      <c r="F18" s="2" t="s">
        <v>37</v>
      </c>
      <c r="G18" s="2">
        <f t="shared" si="4"/>
        <v>63</v>
      </c>
      <c r="H18" s="6">
        <f>I18+개인기록Sheet!C18</f>
        <v>0.60000000000000009</v>
      </c>
      <c r="I18" s="6">
        <f t="shared" si="5"/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spans="1:82" x14ac:dyDescent="0.25">
      <c r="A19" s="2">
        <v>16</v>
      </c>
      <c r="B19" s="2" t="s">
        <v>91</v>
      </c>
      <c r="C19" s="58">
        <v>2022</v>
      </c>
      <c r="D19" s="55" t="s">
        <v>356</v>
      </c>
      <c r="E19" s="55"/>
      <c r="F19" s="2" t="s">
        <v>37</v>
      </c>
      <c r="G19" s="2">
        <f t="shared" si="4"/>
        <v>9</v>
      </c>
      <c r="H19" s="6">
        <f>I19+개인기록Sheet!C19</f>
        <v>4.5999999999999996</v>
      </c>
      <c r="I19" s="6">
        <f t="shared" si="5"/>
        <v>4</v>
      </c>
      <c r="J19" s="2" t="s">
        <v>355</v>
      </c>
      <c r="K19" s="2" t="s">
        <v>355</v>
      </c>
      <c r="L19" s="2"/>
      <c r="M19" s="2"/>
      <c r="N19" s="2" t="s">
        <v>355</v>
      </c>
      <c r="O19" s="2" t="s">
        <v>355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spans="1:82" x14ac:dyDescent="0.25">
      <c r="A20" s="2">
        <v>17</v>
      </c>
      <c r="B20" s="2" t="s">
        <v>139</v>
      </c>
      <c r="C20" s="58">
        <v>2023</v>
      </c>
      <c r="D20" s="55" t="s">
        <v>328</v>
      </c>
      <c r="E20" s="55"/>
      <c r="F20" s="2" t="s">
        <v>37</v>
      </c>
      <c r="G20" s="2">
        <f t="shared" si="4"/>
        <v>23</v>
      </c>
      <c r="H20" s="6">
        <f>I20+개인기록Sheet!C20</f>
        <v>2.4</v>
      </c>
      <c r="I20" s="6">
        <f t="shared" si="5"/>
        <v>2</v>
      </c>
      <c r="J20" s="2"/>
      <c r="K20" s="2" t="s">
        <v>355</v>
      </c>
      <c r="L20" s="2"/>
      <c r="M20" s="2"/>
      <c r="N20" s="2"/>
      <c r="O20" s="2" t="s">
        <v>355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spans="1:82" x14ac:dyDescent="0.25">
      <c r="A21" s="2">
        <v>18</v>
      </c>
      <c r="B21" s="2" t="s">
        <v>125</v>
      </c>
      <c r="C21" s="58">
        <v>2023</v>
      </c>
      <c r="D21" s="55"/>
      <c r="E21" s="55"/>
      <c r="F21" s="61"/>
      <c r="G21" s="2">
        <f t="shared" si="4"/>
        <v>66</v>
      </c>
      <c r="H21" s="6">
        <f>I21+개인기록Sheet!C21</f>
        <v>0.4</v>
      </c>
      <c r="I21" s="6">
        <f t="shared" si="5"/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spans="1:82" x14ac:dyDescent="0.25">
      <c r="A22" s="2">
        <v>19</v>
      </c>
      <c r="B22" s="2" t="s">
        <v>112</v>
      </c>
      <c r="C22" s="58">
        <v>2022</v>
      </c>
      <c r="D22" s="55"/>
      <c r="E22" s="55"/>
      <c r="F22" s="2" t="s">
        <v>37</v>
      </c>
      <c r="G22" s="2">
        <f t="shared" si="4"/>
        <v>66</v>
      </c>
      <c r="H22" s="6">
        <f>I22+개인기록Sheet!C22</f>
        <v>0.4</v>
      </c>
      <c r="I22" s="6">
        <f t="shared" si="5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spans="1:82" x14ac:dyDescent="0.25">
      <c r="A23" s="2">
        <v>20</v>
      </c>
      <c r="B23" s="2" t="s">
        <v>235</v>
      </c>
      <c r="C23" s="59">
        <v>2024</v>
      </c>
      <c r="D23" s="55" t="s">
        <v>328</v>
      </c>
      <c r="E23" s="55"/>
      <c r="F23" s="2" t="s">
        <v>37</v>
      </c>
      <c r="G23" s="2">
        <f t="shared" si="4"/>
        <v>66</v>
      </c>
      <c r="H23" s="6">
        <f>I23+개인기록Sheet!C23</f>
        <v>0.4</v>
      </c>
      <c r="I23" s="6">
        <f t="shared" si="5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  <row r="24" spans="1:82" x14ac:dyDescent="0.25">
      <c r="A24" s="2">
        <v>21</v>
      </c>
      <c r="B24" s="2" t="s">
        <v>14</v>
      </c>
      <c r="C24" s="58" t="s">
        <v>323</v>
      </c>
      <c r="D24" s="55" t="s">
        <v>328</v>
      </c>
      <c r="E24" s="55"/>
      <c r="F24" s="2" t="s">
        <v>37</v>
      </c>
      <c r="G24" s="2">
        <f t="shared" si="4"/>
        <v>43</v>
      </c>
      <c r="H24" s="6">
        <f>I24+개인기록Sheet!C24</f>
        <v>1.3</v>
      </c>
      <c r="I24" s="6">
        <f t="shared" si="5"/>
        <v>1</v>
      </c>
      <c r="J24" s="2"/>
      <c r="K24" s="2"/>
      <c r="L24" s="2" t="s">
        <v>355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</row>
    <row r="25" spans="1:82" x14ac:dyDescent="0.25">
      <c r="A25" s="2">
        <v>22</v>
      </c>
      <c r="B25" s="2" t="s">
        <v>135</v>
      </c>
      <c r="C25" s="58">
        <v>2023</v>
      </c>
      <c r="D25" s="55" t="s">
        <v>328</v>
      </c>
      <c r="E25" s="55"/>
      <c r="F25" s="2" t="s">
        <v>37</v>
      </c>
      <c r="G25" s="2">
        <f t="shared" si="4"/>
        <v>24</v>
      </c>
      <c r="H25" s="6">
        <f>I25+개인기록Sheet!C25</f>
        <v>2.2000000000000002</v>
      </c>
      <c r="I25" s="6">
        <f t="shared" si="5"/>
        <v>2</v>
      </c>
      <c r="J25" s="2"/>
      <c r="K25" s="2" t="s">
        <v>355</v>
      </c>
      <c r="L25" s="2" t="s">
        <v>355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</row>
    <row r="26" spans="1:82" x14ac:dyDescent="0.25">
      <c r="A26" s="2">
        <v>23</v>
      </c>
      <c r="B26" s="2" t="s">
        <v>202</v>
      </c>
      <c r="C26" s="59">
        <v>2024</v>
      </c>
      <c r="D26" s="55" t="s">
        <v>328</v>
      </c>
      <c r="E26" s="55"/>
      <c r="F26" s="2" t="s">
        <v>37</v>
      </c>
      <c r="G26" s="2">
        <f t="shared" si="4"/>
        <v>2</v>
      </c>
      <c r="H26" s="6">
        <f>I26+개인기록Sheet!C26</f>
        <v>5.2</v>
      </c>
      <c r="I26" s="6">
        <f t="shared" si="5"/>
        <v>5</v>
      </c>
      <c r="J26" s="2"/>
      <c r="K26" s="2" t="s">
        <v>355</v>
      </c>
      <c r="L26" s="2" t="s">
        <v>355</v>
      </c>
      <c r="M26" s="2" t="s">
        <v>355</v>
      </c>
      <c r="N26" s="2" t="s">
        <v>355</v>
      </c>
      <c r="O26" s="2"/>
      <c r="P26" s="2" t="s">
        <v>355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spans="1:82" x14ac:dyDescent="0.25">
      <c r="A27" s="2">
        <v>24</v>
      </c>
      <c r="B27" s="2" t="s">
        <v>64</v>
      </c>
      <c r="C27" s="58" t="s">
        <v>323</v>
      </c>
      <c r="D27" s="55" t="s">
        <v>328</v>
      </c>
      <c r="E27" s="55"/>
      <c r="F27" s="2" t="s">
        <v>37</v>
      </c>
      <c r="G27" s="2">
        <f t="shared" si="4"/>
        <v>24</v>
      </c>
      <c r="H27" s="6">
        <f>I27+개인기록Sheet!C27</f>
        <v>2.2000000000000002</v>
      </c>
      <c r="I27" s="6">
        <f t="shared" si="5"/>
        <v>2</v>
      </c>
      <c r="J27" s="2"/>
      <c r="K27" s="2"/>
      <c r="L27" s="2" t="s">
        <v>355</v>
      </c>
      <c r="M27" s="2"/>
      <c r="N27" s="2" t="s">
        <v>355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spans="1:82" x14ac:dyDescent="0.25">
      <c r="A28" s="2">
        <v>25</v>
      </c>
      <c r="B28" s="2" t="s">
        <v>301</v>
      </c>
      <c r="C28" s="59">
        <v>2025</v>
      </c>
      <c r="D28" s="55"/>
      <c r="E28" s="55"/>
      <c r="F28" s="2" t="s">
        <v>37</v>
      </c>
      <c r="G28" s="2">
        <f t="shared" si="4"/>
        <v>69</v>
      </c>
      <c r="H28" s="6">
        <f>I28+개인기록Sheet!C28</f>
        <v>0.2</v>
      </c>
      <c r="I28" s="6">
        <f t="shared" si="5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spans="1:82" x14ac:dyDescent="0.25">
      <c r="A29" s="2">
        <v>26</v>
      </c>
      <c r="B29" s="2" t="s">
        <v>162</v>
      </c>
      <c r="C29" s="58">
        <v>2023</v>
      </c>
      <c r="D29" s="55"/>
      <c r="E29" s="55"/>
      <c r="F29" s="2" t="s">
        <v>37</v>
      </c>
      <c r="G29" s="2">
        <f t="shared" si="4"/>
        <v>70</v>
      </c>
      <c r="H29" s="6">
        <f>I29+개인기록Sheet!C29</f>
        <v>0</v>
      </c>
      <c r="I29" s="6">
        <f t="shared" si="5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spans="1:82" x14ac:dyDescent="0.25">
      <c r="A30" s="2">
        <v>27</v>
      </c>
      <c r="B30" s="2" t="s">
        <v>324</v>
      </c>
      <c r="C30" s="59">
        <v>2025</v>
      </c>
      <c r="D30" s="55"/>
      <c r="E30" s="55"/>
      <c r="F30" s="2" t="s">
        <v>37</v>
      </c>
      <c r="G30" s="2">
        <f t="shared" si="4"/>
        <v>70</v>
      </c>
      <c r="H30" s="6">
        <f>I30+개인기록Sheet!C30</f>
        <v>0</v>
      </c>
      <c r="I30" s="6">
        <f t="shared" si="5"/>
        <v>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</row>
    <row r="31" spans="1:82" x14ac:dyDescent="0.25">
      <c r="A31" s="2">
        <v>28</v>
      </c>
      <c r="B31" s="2" t="s">
        <v>138</v>
      </c>
      <c r="C31" s="58">
        <v>2023</v>
      </c>
      <c r="D31" s="55" t="s">
        <v>356</v>
      </c>
      <c r="E31" s="55"/>
      <c r="F31" s="2" t="s">
        <v>37</v>
      </c>
      <c r="G31" s="2">
        <f t="shared" si="4"/>
        <v>26</v>
      </c>
      <c r="H31" s="6">
        <f>I31+개인기록Sheet!C31</f>
        <v>2</v>
      </c>
      <c r="I31" s="6">
        <f t="shared" si="5"/>
        <v>2</v>
      </c>
      <c r="J31" s="2"/>
      <c r="K31" s="2" t="s">
        <v>355</v>
      </c>
      <c r="L31" s="2"/>
      <c r="M31" s="2" t="s">
        <v>355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</row>
    <row r="32" spans="1:82" x14ac:dyDescent="0.25">
      <c r="A32" s="2">
        <v>29</v>
      </c>
      <c r="B32" s="2" t="s">
        <v>53</v>
      </c>
      <c r="C32" s="58" t="s">
        <v>323</v>
      </c>
      <c r="D32" s="55" t="s">
        <v>328</v>
      </c>
      <c r="E32" s="55"/>
      <c r="F32" s="2" t="s">
        <v>37</v>
      </c>
      <c r="G32" s="2">
        <f t="shared" si="4"/>
        <v>15</v>
      </c>
      <c r="H32" s="6">
        <f>I32+개인기록Sheet!C32</f>
        <v>3</v>
      </c>
      <c r="I32" s="6">
        <f t="shared" si="5"/>
        <v>3</v>
      </c>
      <c r="J32" s="2"/>
      <c r="K32" s="2" t="s">
        <v>355</v>
      </c>
      <c r="L32" s="2" t="s">
        <v>355</v>
      </c>
      <c r="M32" s="2"/>
      <c r="N32" s="2" t="s">
        <v>355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spans="1:82" x14ac:dyDescent="0.25">
      <c r="A33" s="2">
        <v>30</v>
      </c>
      <c r="B33" s="2" t="s">
        <v>175</v>
      </c>
      <c r="C33" s="58">
        <v>2023</v>
      </c>
      <c r="D33" s="55" t="s">
        <v>328</v>
      </c>
      <c r="E33" s="55"/>
      <c r="F33" s="2" t="s">
        <v>37</v>
      </c>
      <c r="G33" s="2">
        <f t="shared" si="4"/>
        <v>3</v>
      </c>
      <c r="H33" s="6">
        <f>I33+개인기록Sheet!C33</f>
        <v>5</v>
      </c>
      <c r="I33" s="6">
        <f t="shared" si="5"/>
        <v>5</v>
      </c>
      <c r="J33" s="2" t="s">
        <v>355</v>
      </c>
      <c r="K33" s="2" t="s">
        <v>355</v>
      </c>
      <c r="L33" s="2"/>
      <c r="M33" s="2" t="s">
        <v>355</v>
      </c>
      <c r="N33" s="2" t="s">
        <v>355</v>
      </c>
      <c r="O33" s="2" t="s">
        <v>355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</row>
    <row r="34" spans="1:82" x14ac:dyDescent="0.25">
      <c r="A34" s="2">
        <v>31</v>
      </c>
      <c r="B34" s="2" t="s">
        <v>55</v>
      </c>
      <c r="C34" s="58" t="s">
        <v>323</v>
      </c>
      <c r="D34" s="55" t="s">
        <v>356</v>
      </c>
      <c r="E34" s="55"/>
      <c r="F34" s="2" t="s">
        <v>37</v>
      </c>
      <c r="G34" s="2">
        <f t="shared" si="4"/>
        <v>3</v>
      </c>
      <c r="H34" s="6">
        <f>I34+개인기록Sheet!C34</f>
        <v>5</v>
      </c>
      <c r="I34" s="6">
        <f t="shared" si="5"/>
        <v>5</v>
      </c>
      <c r="J34" s="2"/>
      <c r="K34" s="2" t="s">
        <v>355</v>
      </c>
      <c r="L34" s="2" t="s">
        <v>355</v>
      </c>
      <c r="M34" s="2" t="s">
        <v>355</v>
      </c>
      <c r="N34" s="2" t="s">
        <v>355</v>
      </c>
      <c r="O34" s="2" t="s">
        <v>355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</row>
    <row r="35" spans="1:82" x14ac:dyDescent="0.25">
      <c r="A35" s="2">
        <v>32</v>
      </c>
      <c r="B35" s="2" t="s">
        <v>313</v>
      </c>
      <c r="C35" s="59">
        <v>2025</v>
      </c>
      <c r="D35" s="55" t="s">
        <v>356</v>
      </c>
      <c r="E35" s="55"/>
      <c r="F35" s="2" t="s">
        <v>37</v>
      </c>
      <c r="G35" s="2">
        <f t="shared" si="4"/>
        <v>3</v>
      </c>
      <c r="H35" s="6">
        <f>I35+개인기록Sheet!C35</f>
        <v>5</v>
      </c>
      <c r="I35" s="6">
        <f t="shared" si="5"/>
        <v>5</v>
      </c>
      <c r="J35" s="2"/>
      <c r="K35" s="2" t="s">
        <v>355</v>
      </c>
      <c r="L35" s="2"/>
      <c r="M35" s="2" t="s">
        <v>355</v>
      </c>
      <c r="N35" s="2" t="s">
        <v>355</v>
      </c>
      <c r="O35" s="2" t="s">
        <v>355</v>
      </c>
      <c r="P35" s="2" t="s">
        <v>355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</row>
    <row r="36" spans="1:82" x14ac:dyDescent="0.25">
      <c r="A36" s="2">
        <v>33</v>
      </c>
      <c r="B36" s="2" t="s">
        <v>347</v>
      </c>
      <c r="C36" s="59">
        <v>2026</v>
      </c>
      <c r="D36" s="55"/>
      <c r="E36" s="55"/>
      <c r="F36" s="2" t="s">
        <v>37</v>
      </c>
      <c r="G36" s="2">
        <f t="shared" si="4"/>
        <v>70</v>
      </c>
      <c r="H36" s="6">
        <f>I36+개인기록Sheet!C36</f>
        <v>0</v>
      </c>
      <c r="I36" s="6">
        <f t="shared" si="5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</row>
    <row r="37" spans="1:82" x14ac:dyDescent="0.25">
      <c r="A37" s="2">
        <v>34</v>
      </c>
      <c r="B37" s="2" t="s">
        <v>321</v>
      </c>
      <c r="C37" s="59">
        <v>2025</v>
      </c>
      <c r="D37" s="55"/>
      <c r="E37" s="55"/>
      <c r="F37" s="2" t="s">
        <v>37</v>
      </c>
      <c r="G37" s="2">
        <f t="shared" si="4"/>
        <v>70</v>
      </c>
      <c r="H37" s="6">
        <f>I37+개인기록Sheet!C37</f>
        <v>0</v>
      </c>
      <c r="I37" s="6">
        <f t="shared" si="5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</row>
    <row r="38" spans="1:82" x14ac:dyDescent="0.25">
      <c r="A38" s="2">
        <v>35</v>
      </c>
      <c r="B38" s="2" t="s">
        <v>348</v>
      </c>
      <c r="C38" s="59">
        <v>2025</v>
      </c>
      <c r="D38" s="55"/>
      <c r="E38" s="55"/>
      <c r="F38" s="2" t="s">
        <v>37</v>
      </c>
      <c r="G38" s="2">
        <f t="shared" si="4"/>
        <v>70</v>
      </c>
      <c r="H38" s="6">
        <f>I38+개인기록Sheet!C38</f>
        <v>0</v>
      </c>
      <c r="I38" s="6">
        <f t="shared" si="5"/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</row>
    <row r="39" spans="1:82" x14ac:dyDescent="0.25">
      <c r="A39" s="2">
        <v>36</v>
      </c>
      <c r="B39" s="2" t="s">
        <v>312</v>
      </c>
      <c r="C39" s="59">
        <v>2025</v>
      </c>
      <c r="D39" s="55" t="s">
        <v>328</v>
      </c>
      <c r="E39" s="55"/>
      <c r="F39" s="2" t="s">
        <v>37</v>
      </c>
      <c r="G39" s="2">
        <f t="shared" si="4"/>
        <v>15</v>
      </c>
      <c r="H39" s="6">
        <f>I39+개인기록Sheet!C39</f>
        <v>3</v>
      </c>
      <c r="I39" s="6">
        <f t="shared" si="5"/>
        <v>3</v>
      </c>
      <c r="J39" s="2"/>
      <c r="K39" s="2" t="s">
        <v>355</v>
      </c>
      <c r="L39" s="2" t="s">
        <v>355</v>
      </c>
      <c r="M39" s="2"/>
      <c r="N39" s="2" t="s">
        <v>355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</row>
    <row r="40" spans="1:82" x14ac:dyDescent="0.25">
      <c r="A40" s="2">
        <v>37</v>
      </c>
      <c r="B40" s="2" t="s">
        <v>164</v>
      </c>
      <c r="C40" s="58">
        <v>2023</v>
      </c>
      <c r="D40" s="55" t="s">
        <v>356</v>
      </c>
      <c r="E40" s="55"/>
      <c r="F40" s="2" t="s">
        <v>37</v>
      </c>
      <c r="G40" s="2">
        <f t="shared" si="4"/>
        <v>26</v>
      </c>
      <c r="H40" s="6">
        <f>I40+개인기록Sheet!C40</f>
        <v>2</v>
      </c>
      <c r="I40" s="6">
        <f t="shared" si="5"/>
        <v>2</v>
      </c>
      <c r="J40" s="2"/>
      <c r="K40" s="2" t="s">
        <v>355</v>
      </c>
      <c r="L40" s="2"/>
      <c r="M40" s="2"/>
      <c r="N40" s="2" t="s">
        <v>355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</row>
    <row r="41" spans="1:82" x14ac:dyDescent="0.25">
      <c r="A41" s="2">
        <v>38</v>
      </c>
      <c r="B41" s="2" t="s">
        <v>325</v>
      </c>
      <c r="C41" s="59">
        <v>2025</v>
      </c>
      <c r="D41" s="55"/>
      <c r="E41" s="55"/>
      <c r="F41" s="2" t="s">
        <v>37</v>
      </c>
      <c r="G41" s="2">
        <f t="shared" si="4"/>
        <v>70</v>
      </c>
      <c r="H41" s="6">
        <f>I41+개인기록Sheet!C41</f>
        <v>0</v>
      </c>
      <c r="I41" s="6">
        <f t="shared" si="5"/>
        <v>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</row>
    <row r="42" spans="1:82" x14ac:dyDescent="0.25">
      <c r="A42" s="2">
        <v>39</v>
      </c>
      <c r="B42" s="2" t="s">
        <v>303</v>
      </c>
      <c r="C42" s="59">
        <v>2025</v>
      </c>
      <c r="D42" s="55" t="s">
        <v>356</v>
      </c>
      <c r="E42" s="55"/>
      <c r="F42" s="2" t="s">
        <v>37</v>
      </c>
      <c r="G42" s="2">
        <f t="shared" si="4"/>
        <v>70</v>
      </c>
      <c r="H42" s="6">
        <f>I42+개인기록Sheet!C42</f>
        <v>0</v>
      </c>
      <c r="I42" s="6">
        <f t="shared" si="5"/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</row>
    <row r="43" spans="1:82" x14ac:dyDescent="0.25">
      <c r="A43" s="2">
        <v>40</v>
      </c>
      <c r="B43" s="2" t="s">
        <v>36</v>
      </c>
      <c r="C43" s="58" t="s">
        <v>323</v>
      </c>
      <c r="D43" s="55"/>
      <c r="E43" s="55"/>
      <c r="F43" s="2" t="s">
        <v>37</v>
      </c>
      <c r="G43" s="2">
        <f t="shared" si="4"/>
        <v>70</v>
      </c>
      <c r="H43" s="6">
        <f>I43+개인기록Sheet!C43</f>
        <v>0</v>
      </c>
      <c r="I43" s="6">
        <f t="shared" si="5"/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</row>
    <row r="44" spans="1:82" x14ac:dyDescent="0.25">
      <c r="A44" s="2">
        <v>41</v>
      </c>
      <c r="B44" s="2" t="s">
        <v>106</v>
      </c>
      <c r="C44" s="58">
        <v>2022</v>
      </c>
      <c r="D44" s="55" t="s">
        <v>328</v>
      </c>
      <c r="E44" s="55"/>
      <c r="F44" s="2" t="s">
        <v>37</v>
      </c>
      <c r="G44" s="2">
        <f t="shared" si="4"/>
        <v>44</v>
      </c>
      <c r="H44" s="6">
        <f>I44+개인기록Sheet!C44</f>
        <v>1</v>
      </c>
      <c r="I44" s="6">
        <f t="shared" si="5"/>
        <v>1</v>
      </c>
      <c r="J44" s="2"/>
      <c r="K44" s="2" t="s">
        <v>355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</row>
    <row r="45" spans="1:82" x14ac:dyDescent="0.25">
      <c r="A45" s="2">
        <v>42</v>
      </c>
      <c r="B45" s="2" t="s">
        <v>182</v>
      </c>
      <c r="C45" s="58">
        <v>2023</v>
      </c>
      <c r="D45" s="55" t="s">
        <v>328</v>
      </c>
      <c r="E45" s="55"/>
      <c r="F45" s="2" t="s">
        <v>37</v>
      </c>
      <c r="G45" s="2">
        <f t="shared" si="4"/>
        <v>10</v>
      </c>
      <c r="H45" s="6">
        <f>I45+개인기록Sheet!C45</f>
        <v>4</v>
      </c>
      <c r="I45" s="6">
        <f t="shared" si="5"/>
        <v>4</v>
      </c>
      <c r="J45" s="2"/>
      <c r="K45" s="2" t="s">
        <v>355</v>
      </c>
      <c r="L45" s="2"/>
      <c r="M45" s="2"/>
      <c r="N45" s="2" t="s">
        <v>355</v>
      </c>
      <c r="O45" s="2" t="s">
        <v>355</v>
      </c>
      <c r="P45" s="2" t="s">
        <v>355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</row>
    <row r="46" spans="1:82" x14ac:dyDescent="0.25">
      <c r="A46" s="2">
        <v>43</v>
      </c>
      <c r="B46" s="2" t="s">
        <v>349</v>
      </c>
      <c r="C46" s="59">
        <v>2026</v>
      </c>
      <c r="D46" s="55"/>
      <c r="E46" s="55"/>
      <c r="F46" s="2"/>
      <c r="G46" s="2">
        <f t="shared" si="4"/>
        <v>70</v>
      </c>
      <c r="H46" s="6">
        <f>I46+개인기록Sheet!C46</f>
        <v>0</v>
      </c>
      <c r="I46" s="6">
        <f t="shared" si="5"/>
        <v>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</row>
    <row r="47" spans="1:82" x14ac:dyDescent="0.25">
      <c r="A47" s="2">
        <v>44</v>
      </c>
      <c r="B47" s="2" t="s">
        <v>118</v>
      </c>
      <c r="C47" s="58">
        <v>2022</v>
      </c>
      <c r="D47" s="55" t="s">
        <v>328</v>
      </c>
      <c r="E47" s="55"/>
      <c r="F47" s="2" t="s">
        <v>37</v>
      </c>
      <c r="G47" s="2">
        <f t="shared" si="4"/>
        <v>15</v>
      </c>
      <c r="H47" s="6">
        <f>I47+개인기록Sheet!C47</f>
        <v>3</v>
      </c>
      <c r="I47" s="6">
        <f t="shared" si="5"/>
        <v>3</v>
      </c>
      <c r="J47" s="2"/>
      <c r="K47" s="2" t="s">
        <v>355</v>
      </c>
      <c r="L47" s="2"/>
      <c r="M47" s="2" t="s">
        <v>355</v>
      </c>
      <c r="N47" s="2"/>
      <c r="O47" s="2" t="s">
        <v>355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</row>
    <row r="48" spans="1:82" x14ac:dyDescent="0.25">
      <c r="A48" s="2">
        <v>45</v>
      </c>
      <c r="B48" s="2" t="s">
        <v>120</v>
      </c>
      <c r="C48" s="58">
        <v>2022</v>
      </c>
      <c r="D48" s="55"/>
      <c r="E48" s="55"/>
      <c r="F48" s="2" t="s">
        <v>37</v>
      </c>
      <c r="G48" s="2">
        <f t="shared" si="4"/>
        <v>70</v>
      </c>
      <c r="H48" s="6">
        <f>I48+개인기록Sheet!C48</f>
        <v>0</v>
      </c>
      <c r="I48" s="6">
        <f t="shared" si="5"/>
        <v>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</row>
    <row r="49" spans="1:82" x14ac:dyDescent="0.25">
      <c r="A49" s="2">
        <v>46</v>
      </c>
      <c r="B49" s="2" t="s">
        <v>350</v>
      </c>
      <c r="C49" s="59">
        <v>2025</v>
      </c>
      <c r="D49" s="55"/>
      <c r="E49" s="55"/>
      <c r="F49" s="2" t="s">
        <v>37</v>
      </c>
      <c r="G49" s="2">
        <f t="shared" si="4"/>
        <v>70</v>
      </c>
      <c r="H49" s="6">
        <f>I49+개인기록Sheet!C49</f>
        <v>0</v>
      </c>
      <c r="I49" s="6">
        <f t="shared" si="5"/>
        <v>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</row>
    <row r="50" spans="1:82" x14ac:dyDescent="0.25">
      <c r="A50" s="2">
        <v>47</v>
      </c>
      <c r="B50" s="2" t="s">
        <v>117</v>
      </c>
      <c r="C50" s="58">
        <v>2022</v>
      </c>
      <c r="D50" s="55"/>
      <c r="E50" s="55"/>
      <c r="F50" s="2" t="s">
        <v>37</v>
      </c>
      <c r="G50" s="2">
        <f t="shared" si="4"/>
        <v>70</v>
      </c>
      <c r="H50" s="6">
        <f>I50+개인기록Sheet!C50</f>
        <v>0</v>
      </c>
      <c r="I50" s="6">
        <f t="shared" si="5"/>
        <v>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</row>
    <row r="51" spans="1:82" x14ac:dyDescent="0.25">
      <c r="A51" s="2">
        <v>48</v>
      </c>
      <c r="B51" s="2" t="s">
        <v>136</v>
      </c>
      <c r="C51" s="58">
        <v>2023</v>
      </c>
      <c r="D51" s="55" t="s">
        <v>328</v>
      </c>
      <c r="E51" s="55"/>
      <c r="F51" s="2" t="s">
        <v>37</v>
      </c>
      <c r="G51" s="2">
        <f t="shared" si="4"/>
        <v>15</v>
      </c>
      <c r="H51" s="6">
        <f>I51+개인기록Sheet!C51</f>
        <v>3</v>
      </c>
      <c r="I51" s="6">
        <f t="shared" si="5"/>
        <v>3</v>
      </c>
      <c r="J51" s="2"/>
      <c r="K51" s="2" t="s">
        <v>355</v>
      </c>
      <c r="L51" s="2"/>
      <c r="M51" s="2"/>
      <c r="N51" s="2"/>
      <c r="O51" s="2" t="s">
        <v>355</v>
      </c>
      <c r="P51" s="2" t="s">
        <v>355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</row>
    <row r="52" spans="1:82" x14ac:dyDescent="0.25">
      <c r="A52" s="2">
        <v>49</v>
      </c>
      <c r="B52" s="2" t="s">
        <v>201</v>
      </c>
      <c r="C52" s="58">
        <v>2023</v>
      </c>
      <c r="D52" s="55"/>
      <c r="E52" s="55"/>
      <c r="F52" s="2" t="s">
        <v>37</v>
      </c>
      <c r="G52" s="2">
        <f t="shared" si="4"/>
        <v>70</v>
      </c>
      <c r="H52" s="6">
        <f>I52+개인기록Sheet!C52</f>
        <v>0</v>
      </c>
      <c r="I52" s="6">
        <f t="shared" si="5"/>
        <v>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</row>
    <row r="53" spans="1:82" x14ac:dyDescent="0.25">
      <c r="A53" s="2">
        <v>50</v>
      </c>
      <c r="B53" s="2" t="s">
        <v>133</v>
      </c>
      <c r="C53" s="58">
        <v>2023</v>
      </c>
      <c r="D53" s="55"/>
      <c r="E53" s="55"/>
      <c r="F53" s="2" t="s">
        <v>37</v>
      </c>
      <c r="G53" s="2">
        <f t="shared" si="4"/>
        <v>70</v>
      </c>
      <c r="H53" s="6">
        <f>I53+개인기록Sheet!C53</f>
        <v>0</v>
      </c>
      <c r="I53" s="6">
        <f t="shared" si="5"/>
        <v>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</row>
    <row r="54" spans="1:82" x14ac:dyDescent="0.25">
      <c r="A54" s="2">
        <v>51</v>
      </c>
      <c r="B54" s="2" t="s">
        <v>38</v>
      </c>
      <c r="C54" s="58">
        <v>2022</v>
      </c>
      <c r="D54" s="55"/>
      <c r="E54" s="55"/>
      <c r="F54" s="2" t="s">
        <v>37</v>
      </c>
      <c r="G54" s="2">
        <f t="shared" si="4"/>
        <v>70</v>
      </c>
      <c r="H54" s="6">
        <f>I54+개인기록Sheet!C54</f>
        <v>0</v>
      </c>
      <c r="I54" s="6">
        <f t="shared" si="5"/>
        <v>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</row>
    <row r="55" spans="1:82" x14ac:dyDescent="0.25">
      <c r="A55" s="2">
        <v>52</v>
      </c>
      <c r="B55" s="2" t="s">
        <v>131</v>
      </c>
      <c r="C55" s="58">
        <v>2023</v>
      </c>
      <c r="D55" s="55" t="s">
        <v>227</v>
      </c>
      <c r="E55" s="55"/>
      <c r="F55" s="2" t="s">
        <v>37</v>
      </c>
      <c r="G55" s="2">
        <f t="shared" si="4"/>
        <v>44</v>
      </c>
      <c r="H55" s="6">
        <f>I55+개인기록Sheet!C55</f>
        <v>1</v>
      </c>
      <c r="I55" s="6">
        <f t="shared" si="5"/>
        <v>1</v>
      </c>
      <c r="J55" s="2"/>
      <c r="K55" s="2" t="s">
        <v>355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</row>
    <row r="56" spans="1:82" x14ac:dyDescent="0.25">
      <c r="A56" s="2">
        <v>53</v>
      </c>
      <c r="B56" s="2" t="s">
        <v>309</v>
      </c>
      <c r="C56" s="59">
        <v>2025</v>
      </c>
      <c r="D56" s="55" t="s">
        <v>328</v>
      </c>
      <c r="E56" s="55"/>
      <c r="F56" s="2" t="s">
        <v>37</v>
      </c>
      <c r="G56" s="2">
        <f t="shared" si="4"/>
        <v>26</v>
      </c>
      <c r="H56" s="6">
        <f>I56+개인기록Sheet!C56</f>
        <v>2</v>
      </c>
      <c r="I56" s="6">
        <f t="shared" si="5"/>
        <v>2</v>
      </c>
      <c r="J56" s="2" t="s">
        <v>355</v>
      </c>
      <c r="K56" s="2"/>
      <c r="L56" s="2"/>
      <c r="M56" s="2"/>
      <c r="N56" s="2"/>
      <c r="O56" s="2"/>
      <c r="P56" s="2" t="s">
        <v>355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</row>
    <row r="57" spans="1:82" x14ac:dyDescent="0.25">
      <c r="A57" s="2">
        <v>54</v>
      </c>
      <c r="B57" s="2" t="s">
        <v>351</v>
      </c>
      <c r="C57" s="59">
        <v>2025</v>
      </c>
      <c r="D57" s="55"/>
      <c r="E57" s="55"/>
      <c r="F57" s="2" t="s">
        <v>37</v>
      </c>
      <c r="G57" s="2">
        <f t="shared" si="4"/>
        <v>44</v>
      </c>
      <c r="H57" s="6">
        <f>I57+개인기록Sheet!C57</f>
        <v>1</v>
      </c>
      <c r="I57" s="6">
        <f t="shared" si="5"/>
        <v>1</v>
      </c>
      <c r="J57" s="2"/>
      <c r="K57" s="2"/>
      <c r="L57" s="2"/>
      <c r="M57" s="2" t="s">
        <v>355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</row>
    <row r="58" spans="1:82" x14ac:dyDescent="0.25">
      <c r="A58" s="2">
        <v>55</v>
      </c>
      <c r="B58" s="2" t="s">
        <v>296</v>
      </c>
      <c r="C58" s="59">
        <v>2024</v>
      </c>
      <c r="D58" s="55"/>
      <c r="E58" s="55"/>
      <c r="F58" s="2" t="s">
        <v>37</v>
      </c>
      <c r="G58" s="2">
        <f t="shared" si="4"/>
        <v>70</v>
      </c>
      <c r="H58" s="6">
        <f>I58+개인기록Sheet!C58</f>
        <v>0</v>
      </c>
      <c r="I58" s="6">
        <f t="shared" si="5"/>
        <v>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</row>
    <row r="59" spans="1:82" x14ac:dyDescent="0.25">
      <c r="A59" s="2">
        <v>56</v>
      </c>
      <c r="B59" s="2" t="s">
        <v>99</v>
      </c>
      <c r="C59" s="58">
        <v>2022</v>
      </c>
      <c r="D59" s="55" t="s">
        <v>328</v>
      </c>
      <c r="E59" s="55"/>
      <c r="F59" s="2" t="s">
        <v>37</v>
      </c>
      <c r="G59" s="2">
        <f t="shared" si="4"/>
        <v>44</v>
      </c>
      <c r="H59" s="6">
        <f>I59+개인기록Sheet!C59</f>
        <v>1</v>
      </c>
      <c r="I59" s="6">
        <f t="shared" si="5"/>
        <v>1</v>
      </c>
      <c r="J59" s="2"/>
      <c r="K59" s="2" t="s">
        <v>355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</row>
    <row r="60" spans="1:82" x14ac:dyDescent="0.25">
      <c r="A60" s="2">
        <v>57</v>
      </c>
      <c r="B60" s="2" t="s">
        <v>302</v>
      </c>
      <c r="C60" s="59">
        <v>2025</v>
      </c>
      <c r="D60" s="55" t="s">
        <v>328</v>
      </c>
      <c r="E60" s="55"/>
      <c r="F60" s="2" t="s">
        <v>37</v>
      </c>
      <c r="G60" s="2">
        <f t="shared" si="4"/>
        <v>3</v>
      </c>
      <c r="H60" s="6">
        <f>I60+개인기록Sheet!C60</f>
        <v>5</v>
      </c>
      <c r="I60" s="6">
        <f t="shared" si="5"/>
        <v>5</v>
      </c>
      <c r="J60" s="2" t="s">
        <v>355</v>
      </c>
      <c r="K60" s="2" t="s">
        <v>355</v>
      </c>
      <c r="L60" s="2" t="s">
        <v>355</v>
      </c>
      <c r="M60" s="2" t="s">
        <v>355</v>
      </c>
      <c r="N60" s="2"/>
      <c r="O60" s="2" t="s">
        <v>355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</row>
    <row r="61" spans="1:82" x14ac:dyDescent="0.25">
      <c r="A61" s="2">
        <v>58</v>
      </c>
      <c r="B61" s="2" t="s">
        <v>110</v>
      </c>
      <c r="C61" s="58">
        <v>2022</v>
      </c>
      <c r="D61" s="55" t="s">
        <v>328</v>
      </c>
      <c r="E61" s="55"/>
      <c r="F61" s="2" t="s">
        <v>37</v>
      </c>
      <c r="G61" s="2">
        <f t="shared" si="4"/>
        <v>44</v>
      </c>
      <c r="H61" s="6">
        <f>I61+개인기록Sheet!C61</f>
        <v>1</v>
      </c>
      <c r="I61" s="6">
        <f t="shared" si="5"/>
        <v>1</v>
      </c>
      <c r="J61" s="2"/>
      <c r="K61" s="2"/>
      <c r="L61" s="2"/>
      <c r="M61" s="2"/>
      <c r="N61" s="2" t="s">
        <v>355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</row>
    <row r="62" spans="1:82" x14ac:dyDescent="0.25">
      <c r="A62" s="2">
        <v>59</v>
      </c>
      <c r="B62" s="2" t="s">
        <v>3</v>
      </c>
      <c r="C62" s="58" t="s">
        <v>323</v>
      </c>
      <c r="D62" s="55"/>
      <c r="E62" s="55"/>
      <c r="F62" s="2" t="s">
        <v>37</v>
      </c>
      <c r="G62" s="2">
        <f t="shared" si="4"/>
        <v>70</v>
      </c>
      <c r="H62" s="6">
        <f>I62+개인기록Sheet!C62</f>
        <v>0</v>
      </c>
      <c r="I62" s="6">
        <f t="shared" si="5"/>
        <v>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</row>
    <row r="63" spans="1:82" x14ac:dyDescent="0.25">
      <c r="A63" s="2">
        <v>60</v>
      </c>
      <c r="B63" s="2" t="s">
        <v>318</v>
      </c>
      <c r="C63" s="59">
        <v>2025</v>
      </c>
      <c r="D63" s="55"/>
      <c r="E63" s="55"/>
      <c r="F63" s="2" t="s">
        <v>37</v>
      </c>
      <c r="G63" s="2">
        <f t="shared" si="4"/>
        <v>70</v>
      </c>
      <c r="H63" s="6">
        <f>I63+개인기록Sheet!C63</f>
        <v>0</v>
      </c>
      <c r="I63" s="6">
        <f t="shared" si="5"/>
        <v>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</row>
    <row r="64" spans="1:82" x14ac:dyDescent="0.25">
      <c r="A64" s="2">
        <v>61</v>
      </c>
      <c r="B64" s="2" t="s">
        <v>352</v>
      </c>
      <c r="C64" s="59">
        <v>2025</v>
      </c>
      <c r="D64" s="55"/>
      <c r="E64" s="55"/>
      <c r="F64" s="2" t="s">
        <v>37</v>
      </c>
      <c r="G64" s="2">
        <f t="shared" si="4"/>
        <v>70</v>
      </c>
      <c r="H64" s="6">
        <f>I64+개인기록Sheet!C64</f>
        <v>0</v>
      </c>
      <c r="I64" s="6">
        <f t="shared" si="5"/>
        <v>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</row>
    <row r="65" spans="1:82" x14ac:dyDescent="0.25">
      <c r="A65" s="2">
        <v>62</v>
      </c>
      <c r="B65" s="2" t="s">
        <v>298</v>
      </c>
      <c r="C65" s="59">
        <v>2025</v>
      </c>
      <c r="D65" s="55" t="s">
        <v>328</v>
      </c>
      <c r="E65" s="55"/>
      <c r="F65" s="2" t="s">
        <v>37</v>
      </c>
      <c r="G65" s="2">
        <f t="shared" si="4"/>
        <v>26</v>
      </c>
      <c r="H65" s="6">
        <f>I65+개인기록Sheet!C65</f>
        <v>2</v>
      </c>
      <c r="I65" s="6">
        <f t="shared" si="5"/>
        <v>2</v>
      </c>
      <c r="J65" s="2"/>
      <c r="K65" s="2" t="s">
        <v>355</v>
      </c>
      <c r="L65" s="2"/>
      <c r="M65" s="2"/>
      <c r="N65" s="2" t="s">
        <v>355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</row>
    <row r="66" spans="1:82" x14ac:dyDescent="0.25">
      <c r="A66" s="2">
        <v>63</v>
      </c>
      <c r="B66" s="2" t="s">
        <v>126</v>
      </c>
      <c r="C66" s="58">
        <v>2023</v>
      </c>
      <c r="D66" s="55" t="s">
        <v>328</v>
      </c>
      <c r="E66" s="55"/>
      <c r="F66" s="2" t="s">
        <v>37</v>
      </c>
      <c r="G66" s="2">
        <f t="shared" si="4"/>
        <v>26</v>
      </c>
      <c r="H66" s="6">
        <f>I66+개인기록Sheet!C66</f>
        <v>2</v>
      </c>
      <c r="I66" s="6">
        <f t="shared" si="5"/>
        <v>2</v>
      </c>
      <c r="J66" s="2"/>
      <c r="K66" s="2"/>
      <c r="L66" s="2" t="s">
        <v>355</v>
      </c>
      <c r="M66" s="2"/>
      <c r="N66" s="2"/>
      <c r="O66" s="2"/>
      <c r="P66" s="2" t="s">
        <v>355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</row>
    <row r="67" spans="1:82" x14ac:dyDescent="0.25">
      <c r="A67" s="2">
        <v>64</v>
      </c>
      <c r="B67" s="2" t="s">
        <v>97</v>
      </c>
      <c r="C67" s="58">
        <v>2021</v>
      </c>
      <c r="D67" s="55" t="s">
        <v>356</v>
      </c>
      <c r="E67" s="55"/>
      <c r="F67" s="2" t="s">
        <v>37</v>
      </c>
      <c r="G67" s="2">
        <f t="shared" si="4"/>
        <v>26</v>
      </c>
      <c r="H67" s="6">
        <f>I67+개인기록Sheet!C67</f>
        <v>2</v>
      </c>
      <c r="I67" s="6">
        <f t="shared" si="5"/>
        <v>2</v>
      </c>
      <c r="J67" s="2"/>
      <c r="K67" s="2" t="s">
        <v>355</v>
      </c>
      <c r="L67" s="2"/>
      <c r="M67" s="2"/>
      <c r="N67" s="2"/>
      <c r="O67" s="2" t="s">
        <v>355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</row>
    <row r="68" spans="1:82" x14ac:dyDescent="0.25">
      <c r="A68" s="2">
        <v>65</v>
      </c>
      <c r="B68" s="2" t="s">
        <v>43</v>
      </c>
      <c r="C68" s="58" t="s">
        <v>323</v>
      </c>
      <c r="D68" s="55"/>
      <c r="E68" s="55"/>
      <c r="F68" s="2" t="s">
        <v>37</v>
      </c>
      <c r="G68" s="2">
        <f t="shared" si="4"/>
        <v>70</v>
      </c>
      <c r="H68" s="6">
        <f>I68+개인기록Sheet!C68</f>
        <v>0</v>
      </c>
      <c r="I68" s="6">
        <f t="shared" si="5"/>
        <v>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</row>
    <row r="69" spans="1:82" x14ac:dyDescent="0.25">
      <c r="A69" s="2">
        <v>66</v>
      </c>
      <c r="B69" s="2" t="s">
        <v>307</v>
      </c>
      <c r="C69" s="59">
        <v>2025</v>
      </c>
      <c r="D69" s="55" t="s">
        <v>356</v>
      </c>
      <c r="E69" s="55"/>
      <c r="F69" s="2" t="s">
        <v>37</v>
      </c>
      <c r="G69" s="2">
        <f t="shared" si="4"/>
        <v>26</v>
      </c>
      <c r="H69" s="6">
        <f>I69+개인기록Sheet!C69</f>
        <v>2</v>
      </c>
      <c r="I69" s="6">
        <f t="shared" si="5"/>
        <v>2</v>
      </c>
      <c r="J69" s="2"/>
      <c r="K69" s="2" t="s">
        <v>355</v>
      </c>
      <c r="L69" s="2"/>
      <c r="M69" s="2" t="s">
        <v>355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</row>
    <row r="70" spans="1:82" x14ac:dyDescent="0.25">
      <c r="A70" s="2">
        <v>67</v>
      </c>
      <c r="B70" s="2" t="s">
        <v>75</v>
      </c>
      <c r="C70" s="58" t="s">
        <v>323</v>
      </c>
      <c r="D70" s="55" t="s">
        <v>328</v>
      </c>
      <c r="E70" s="55"/>
      <c r="F70" s="2" t="s">
        <v>37</v>
      </c>
      <c r="G70" s="2">
        <f t="shared" si="4"/>
        <v>44</v>
      </c>
      <c r="H70" s="6">
        <f>I70+개인기록Sheet!C70</f>
        <v>1</v>
      </c>
      <c r="I70" s="6">
        <f t="shared" si="5"/>
        <v>1</v>
      </c>
      <c r="J70" s="2"/>
      <c r="K70" s="2" t="s">
        <v>355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</row>
    <row r="71" spans="1:82" x14ac:dyDescent="0.25">
      <c r="A71" s="2">
        <v>68</v>
      </c>
      <c r="B71" s="2" t="s">
        <v>354</v>
      </c>
      <c r="C71" s="58">
        <v>2026</v>
      </c>
      <c r="D71" s="55"/>
      <c r="E71" s="55"/>
      <c r="F71" s="2" t="s">
        <v>37</v>
      </c>
      <c r="G71" s="2">
        <f t="shared" ref="G71:G114" si="6">RANK(H71,$H$4:$H$122,0)</f>
        <v>26</v>
      </c>
      <c r="H71" s="6">
        <f>I71+개인기록Sheet!C71</f>
        <v>2</v>
      </c>
      <c r="I71" s="6">
        <f t="shared" si="5"/>
        <v>2</v>
      </c>
      <c r="J71" s="2"/>
      <c r="K71" s="2"/>
      <c r="L71" s="2"/>
      <c r="M71" s="2" t="s">
        <v>355</v>
      </c>
      <c r="N71" s="2"/>
      <c r="O71" s="2"/>
      <c r="P71" s="2" t="s">
        <v>355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</row>
    <row r="72" spans="1:82" x14ac:dyDescent="0.25">
      <c r="A72" s="2">
        <v>69</v>
      </c>
      <c r="B72" s="2" t="s">
        <v>331</v>
      </c>
      <c r="C72" s="59">
        <v>2025</v>
      </c>
      <c r="D72" s="55"/>
      <c r="E72" s="55"/>
      <c r="F72" s="2" t="s">
        <v>37</v>
      </c>
      <c r="G72" s="2">
        <f t="shared" si="6"/>
        <v>70</v>
      </c>
      <c r="H72" s="6">
        <f>I72+개인기록Sheet!C72</f>
        <v>0</v>
      </c>
      <c r="I72" s="6">
        <f t="shared" ref="I72:I114" si="7">(COUNTIF(J72:CD72,"출전")*1)</f>
        <v>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</row>
    <row r="73" spans="1:82" x14ac:dyDescent="0.25">
      <c r="A73" s="2">
        <v>70</v>
      </c>
      <c r="B73" s="2" t="s">
        <v>163</v>
      </c>
      <c r="C73" s="58">
        <v>2023</v>
      </c>
      <c r="D73" s="55"/>
      <c r="E73" s="55"/>
      <c r="F73" s="2" t="s">
        <v>37</v>
      </c>
      <c r="G73" s="2">
        <f t="shared" si="6"/>
        <v>70</v>
      </c>
      <c r="H73" s="6">
        <f>I73+개인기록Sheet!C73</f>
        <v>0</v>
      </c>
      <c r="I73" s="6">
        <f t="shared" si="7"/>
        <v>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</row>
    <row r="74" spans="1:82" x14ac:dyDescent="0.25">
      <c r="A74" s="2">
        <v>71</v>
      </c>
      <c r="B74" s="2" t="s">
        <v>353</v>
      </c>
      <c r="C74" s="59">
        <v>2025</v>
      </c>
      <c r="D74" s="55"/>
      <c r="E74" s="55"/>
      <c r="F74" s="2" t="s">
        <v>37</v>
      </c>
      <c r="G74" s="2">
        <f t="shared" si="6"/>
        <v>26</v>
      </c>
      <c r="H74" s="6">
        <f>I74+개인기록Sheet!C74</f>
        <v>2</v>
      </c>
      <c r="I74" s="6">
        <f t="shared" si="7"/>
        <v>2</v>
      </c>
      <c r="J74" s="2"/>
      <c r="K74" s="2"/>
      <c r="L74" s="2"/>
      <c r="M74" s="2" t="s">
        <v>355</v>
      </c>
      <c r="N74" s="2"/>
      <c r="O74" s="2"/>
      <c r="P74" s="2" t="s">
        <v>355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</row>
    <row r="75" spans="1:82" x14ac:dyDescent="0.25">
      <c r="A75" s="2">
        <v>72</v>
      </c>
      <c r="B75" s="2" t="s">
        <v>179</v>
      </c>
      <c r="C75" s="58">
        <v>2023</v>
      </c>
      <c r="D75" s="55" t="s">
        <v>328</v>
      </c>
      <c r="E75" s="55"/>
      <c r="F75" s="2" t="s">
        <v>37</v>
      </c>
      <c r="G75" s="2">
        <f t="shared" si="6"/>
        <v>26</v>
      </c>
      <c r="H75" s="6">
        <f>I75+개인기록Sheet!C75</f>
        <v>2</v>
      </c>
      <c r="I75" s="6">
        <f t="shared" si="7"/>
        <v>2</v>
      </c>
      <c r="J75" s="2"/>
      <c r="K75" s="2"/>
      <c r="L75" s="2"/>
      <c r="M75" s="2" t="s">
        <v>355</v>
      </c>
      <c r="N75" s="2" t="s">
        <v>355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</row>
    <row r="76" spans="1:82" x14ac:dyDescent="0.25">
      <c r="A76" s="2">
        <v>73</v>
      </c>
      <c r="B76" s="2" t="s">
        <v>7</v>
      </c>
      <c r="C76" s="58" t="s">
        <v>323</v>
      </c>
      <c r="D76" s="55" t="s">
        <v>328</v>
      </c>
      <c r="E76" s="55"/>
      <c r="F76" s="2" t="s">
        <v>37</v>
      </c>
      <c r="G76" s="2">
        <f t="shared" si="6"/>
        <v>44</v>
      </c>
      <c r="H76" s="6">
        <f>I76+개인기록Sheet!C76</f>
        <v>1</v>
      </c>
      <c r="I76" s="6">
        <f t="shared" si="7"/>
        <v>1</v>
      </c>
      <c r="J76" s="2"/>
      <c r="K76" s="2"/>
      <c r="L76" s="2" t="s">
        <v>355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</row>
    <row r="77" spans="1:82" x14ac:dyDescent="0.25">
      <c r="A77" s="2">
        <v>74</v>
      </c>
      <c r="B77" s="2" t="s">
        <v>92</v>
      </c>
      <c r="C77" s="58">
        <v>2022</v>
      </c>
      <c r="D77" s="55" t="s">
        <v>356</v>
      </c>
      <c r="E77" s="55"/>
      <c r="F77" s="2" t="s">
        <v>37</v>
      </c>
      <c r="G77" s="2">
        <f t="shared" si="6"/>
        <v>44</v>
      </c>
      <c r="H77" s="6">
        <f>I77+개인기록Sheet!C77</f>
        <v>1</v>
      </c>
      <c r="I77" s="6">
        <f t="shared" si="7"/>
        <v>1</v>
      </c>
      <c r="J77" s="2"/>
      <c r="K77" s="2"/>
      <c r="L77" s="2"/>
      <c r="M77" s="2"/>
      <c r="N77" s="2"/>
      <c r="O77" s="2" t="s">
        <v>355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</row>
    <row r="78" spans="1:82" x14ac:dyDescent="0.25">
      <c r="A78" s="2">
        <v>75</v>
      </c>
      <c r="B78" s="2" t="s">
        <v>34</v>
      </c>
      <c r="C78" s="58" t="s">
        <v>323</v>
      </c>
      <c r="D78" s="55" t="s">
        <v>328</v>
      </c>
      <c r="E78" s="55"/>
      <c r="F78" s="2" t="s">
        <v>37</v>
      </c>
      <c r="G78" s="2">
        <f t="shared" si="6"/>
        <v>70</v>
      </c>
      <c r="H78" s="6">
        <f>I78+개인기록Sheet!C78</f>
        <v>0</v>
      </c>
      <c r="I78" s="6">
        <f t="shared" si="7"/>
        <v>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</row>
    <row r="79" spans="1:82" x14ac:dyDescent="0.25">
      <c r="A79" s="2">
        <v>76</v>
      </c>
      <c r="B79" s="2" t="s">
        <v>234</v>
      </c>
      <c r="C79" s="59">
        <v>2024</v>
      </c>
      <c r="D79" s="55" t="s">
        <v>328</v>
      </c>
      <c r="E79" s="55"/>
      <c r="F79" s="2" t="s">
        <v>37</v>
      </c>
      <c r="G79" s="2">
        <f t="shared" si="6"/>
        <v>44</v>
      </c>
      <c r="H79" s="6">
        <f>I79+개인기록Sheet!C79</f>
        <v>1</v>
      </c>
      <c r="I79" s="6">
        <f t="shared" si="7"/>
        <v>1</v>
      </c>
      <c r="J79" s="2"/>
      <c r="K79" s="2"/>
      <c r="L79" s="2"/>
      <c r="M79" s="2"/>
      <c r="N79" s="2"/>
      <c r="O79" s="2" t="s">
        <v>355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</row>
    <row r="80" spans="1:82" x14ac:dyDescent="0.25">
      <c r="A80" s="2">
        <v>77</v>
      </c>
      <c r="B80" s="2" t="s">
        <v>5</v>
      </c>
      <c r="C80" s="58" t="s">
        <v>323</v>
      </c>
      <c r="D80" s="55" t="s">
        <v>356</v>
      </c>
      <c r="E80" s="55"/>
      <c r="F80" s="2" t="s">
        <v>37</v>
      </c>
      <c r="G80" s="2">
        <f t="shared" si="6"/>
        <v>70</v>
      </c>
      <c r="H80" s="6">
        <f>I80+개인기록Sheet!C80</f>
        <v>0</v>
      </c>
      <c r="I80" s="6">
        <f t="shared" si="7"/>
        <v>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</row>
    <row r="81" spans="1:82" x14ac:dyDescent="0.25">
      <c r="A81" s="2">
        <v>78</v>
      </c>
      <c r="B81" s="2" t="s">
        <v>314</v>
      </c>
      <c r="C81" s="59">
        <v>2025</v>
      </c>
      <c r="D81" s="55" t="s">
        <v>328</v>
      </c>
      <c r="E81" s="55"/>
      <c r="F81" s="2" t="s">
        <v>37</v>
      </c>
      <c r="G81" s="2">
        <f t="shared" si="6"/>
        <v>70</v>
      </c>
      <c r="H81" s="6">
        <f>I81+개인기록Sheet!C81</f>
        <v>0</v>
      </c>
      <c r="I81" s="6">
        <f t="shared" si="7"/>
        <v>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</row>
    <row r="82" spans="1:82" x14ac:dyDescent="0.25">
      <c r="A82" s="2">
        <v>79</v>
      </c>
      <c r="B82" s="2" t="s">
        <v>20</v>
      </c>
      <c r="C82" s="58" t="s">
        <v>323</v>
      </c>
      <c r="D82" s="55" t="s">
        <v>227</v>
      </c>
      <c r="E82" s="55"/>
      <c r="F82" s="2" t="s">
        <v>37</v>
      </c>
      <c r="G82" s="2">
        <f t="shared" si="6"/>
        <v>70</v>
      </c>
      <c r="H82" s="6">
        <f>I82+개인기록Sheet!C82</f>
        <v>0</v>
      </c>
      <c r="I82" s="6">
        <f t="shared" si="7"/>
        <v>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</row>
    <row r="83" spans="1:82" x14ac:dyDescent="0.25">
      <c r="A83" s="2">
        <v>80</v>
      </c>
      <c r="B83" s="2" t="s">
        <v>305</v>
      </c>
      <c r="C83" s="59">
        <v>2025</v>
      </c>
      <c r="D83" s="55" t="s">
        <v>356</v>
      </c>
      <c r="E83" s="55"/>
      <c r="F83" s="2" t="s">
        <v>37</v>
      </c>
      <c r="G83" s="2">
        <f t="shared" si="6"/>
        <v>70</v>
      </c>
      <c r="H83" s="6">
        <f>I83+개인기록Sheet!C83</f>
        <v>0</v>
      </c>
      <c r="I83" s="6">
        <f t="shared" si="7"/>
        <v>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</row>
    <row r="84" spans="1:82" x14ac:dyDescent="0.25">
      <c r="A84" s="2">
        <v>81</v>
      </c>
      <c r="B84" s="2" t="s">
        <v>226</v>
      </c>
      <c r="C84" s="59">
        <v>2024</v>
      </c>
      <c r="D84" s="55" t="s">
        <v>227</v>
      </c>
      <c r="E84" s="55"/>
      <c r="F84" s="2" t="s">
        <v>37</v>
      </c>
      <c r="G84" s="2">
        <f t="shared" si="6"/>
        <v>70</v>
      </c>
      <c r="H84" s="6">
        <f>I84+개인기록Sheet!C84</f>
        <v>0</v>
      </c>
      <c r="I84" s="6">
        <f t="shared" si="7"/>
        <v>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</row>
    <row r="85" spans="1:82" x14ac:dyDescent="0.25">
      <c r="A85" s="2">
        <v>82</v>
      </c>
      <c r="B85" s="2" t="s">
        <v>238</v>
      </c>
      <c r="C85" s="59">
        <v>2024</v>
      </c>
      <c r="D85" s="55" t="s">
        <v>328</v>
      </c>
      <c r="E85" s="55"/>
      <c r="F85" s="2" t="s">
        <v>37</v>
      </c>
      <c r="G85" s="2">
        <f t="shared" si="6"/>
        <v>44</v>
      </c>
      <c r="H85" s="6">
        <f>I85+개인기록Sheet!C85</f>
        <v>1</v>
      </c>
      <c r="I85" s="6">
        <f t="shared" si="7"/>
        <v>1</v>
      </c>
      <c r="J85" s="2"/>
      <c r="K85" s="2" t="s">
        <v>355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</row>
    <row r="86" spans="1:82" x14ac:dyDescent="0.25">
      <c r="A86" s="2">
        <v>83</v>
      </c>
      <c r="B86" s="2" t="s">
        <v>70</v>
      </c>
      <c r="C86" s="58" t="s">
        <v>323</v>
      </c>
      <c r="D86" s="55" t="s">
        <v>356</v>
      </c>
      <c r="E86" s="55"/>
      <c r="F86" s="2" t="s">
        <v>37</v>
      </c>
      <c r="G86" s="2">
        <f t="shared" si="6"/>
        <v>70</v>
      </c>
      <c r="H86" s="6">
        <f>I86+개인기록Sheet!C86</f>
        <v>0</v>
      </c>
      <c r="I86" s="6">
        <f t="shared" si="7"/>
        <v>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</row>
    <row r="87" spans="1:82" x14ac:dyDescent="0.25">
      <c r="A87" s="2">
        <v>84</v>
      </c>
      <c r="B87" s="2" t="s">
        <v>140</v>
      </c>
      <c r="C87" s="58">
        <v>2023</v>
      </c>
      <c r="D87" s="55" t="s">
        <v>328</v>
      </c>
      <c r="E87" s="55"/>
      <c r="F87" s="2" t="s">
        <v>37</v>
      </c>
      <c r="G87" s="2">
        <f t="shared" si="6"/>
        <v>70</v>
      </c>
      <c r="H87" s="6">
        <f>I87+개인기록Sheet!C87</f>
        <v>0</v>
      </c>
      <c r="I87" s="6">
        <f t="shared" si="7"/>
        <v>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</row>
    <row r="88" spans="1:82" x14ac:dyDescent="0.25">
      <c r="A88" s="2">
        <v>85</v>
      </c>
      <c r="B88" s="2" t="s">
        <v>93</v>
      </c>
      <c r="C88" s="58">
        <v>2022</v>
      </c>
      <c r="D88" s="55" t="s">
        <v>356</v>
      </c>
      <c r="E88" s="55"/>
      <c r="F88" s="2" t="s">
        <v>37</v>
      </c>
      <c r="G88" s="2">
        <f t="shared" si="6"/>
        <v>70</v>
      </c>
      <c r="H88" s="6">
        <f>I88+개인기록Sheet!C88</f>
        <v>0</v>
      </c>
      <c r="I88" s="6">
        <f t="shared" si="7"/>
        <v>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</row>
    <row r="89" spans="1:82" x14ac:dyDescent="0.25">
      <c r="A89" s="2">
        <v>86</v>
      </c>
      <c r="B89" s="2" t="s">
        <v>94</v>
      </c>
      <c r="C89" s="58">
        <v>2022</v>
      </c>
      <c r="D89" s="55"/>
      <c r="E89" s="55"/>
      <c r="F89" s="2" t="s">
        <v>37</v>
      </c>
      <c r="G89" s="2">
        <f t="shared" si="6"/>
        <v>70</v>
      </c>
      <c r="H89" s="6">
        <f>I89+개인기록Sheet!C89</f>
        <v>0</v>
      </c>
      <c r="I89" s="6">
        <f t="shared" si="7"/>
        <v>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</row>
    <row r="90" spans="1:82" x14ac:dyDescent="0.25">
      <c r="A90" s="2">
        <v>87</v>
      </c>
      <c r="B90" s="2" t="s">
        <v>95</v>
      </c>
      <c r="C90" s="58">
        <v>2022</v>
      </c>
      <c r="D90" s="55" t="s">
        <v>328</v>
      </c>
      <c r="E90" s="55"/>
      <c r="F90" s="2" t="s">
        <v>37</v>
      </c>
      <c r="G90" s="2">
        <f t="shared" si="6"/>
        <v>26</v>
      </c>
      <c r="H90" s="6">
        <f>I90+개인기록Sheet!C90</f>
        <v>2</v>
      </c>
      <c r="I90" s="6">
        <f t="shared" si="7"/>
        <v>2</v>
      </c>
      <c r="J90" s="2"/>
      <c r="K90" s="2" t="s">
        <v>355</v>
      </c>
      <c r="L90" s="2"/>
      <c r="M90" s="2"/>
      <c r="N90" s="2"/>
      <c r="O90" s="2" t="s">
        <v>355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</row>
    <row r="91" spans="1:82" x14ac:dyDescent="0.25">
      <c r="A91" s="2">
        <v>88</v>
      </c>
      <c r="B91" s="2" t="s">
        <v>121</v>
      </c>
      <c r="C91" s="58">
        <v>2022</v>
      </c>
      <c r="D91" s="55"/>
      <c r="E91" s="55"/>
      <c r="F91" s="2" t="s">
        <v>37</v>
      </c>
      <c r="G91" s="2">
        <f t="shared" si="6"/>
        <v>70</v>
      </c>
      <c r="H91" s="6">
        <f>I91+개인기록Sheet!C91</f>
        <v>0</v>
      </c>
      <c r="I91" s="6">
        <f t="shared" si="7"/>
        <v>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</row>
    <row r="92" spans="1:82" x14ac:dyDescent="0.25">
      <c r="A92" s="2">
        <v>89</v>
      </c>
      <c r="B92" s="2" t="s">
        <v>9</v>
      </c>
      <c r="C92" s="58" t="s">
        <v>323</v>
      </c>
      <c r="D92" s="55" t="s">
        <v>328</v>
      </c>
      <c r="E92" s="55"/>
      <c r="F92" s="2" t="s">
        <v>37</v>
      </c>
      <c r="G92" s="2">
        <f t="shared" si="6"/>
        <v>44</v>
      </c>
      <c r="H92" s="6">
        <f>I92+개인기록Sheet!C92</f>
        <v>1</v>
      </c>
      <c r="I92" s="6">
        <f t="shared" si="7"/>
        <v>1</v>
      </c>
      <c r="J92" s="2"/>
      <c r="K92" s="2"/>
      <c r="L92" s="2"/>
      <c r="M92" s="2" t="s">
        <v>355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</row>
    <row r="93" spans="1:82" x14ac:dyDescent="0.25">
      <c r="A93" s="2">
        <v>90</v>
      </c>
      <c r="B93" s="2" t="s">
        <v>203</v>
      </c>
      <c r="C93" s="59">
        <v>2024</v>
      </c>
      <c r="D93" s="55" t="s">
        <v>328</v>
      </c>
      <c r="E93" s="55"/>
      <c r="F93" s="2" t="s">
        <v>37</v>
      </c>
      <c r="G93" s="2">
        <f t="shared" si="6"/>
        <v>15</v>
      </c>
      <c r="H93" s="6">
        <f>I93+개인기록Sheet!C93</f>
        <v>3</v>
      </c>
      <c r="I93" s="6">
        <f t="shared" si="7"/>
        <v>3</v>
      </c>
      <c r="J93" s="2"/>
      <c r="K93" s="2"/>
      <c r="L93" s="2" t="s">
        <v>355</v>
      </c>
      <c r="M93" s="2"/>
      <c r="N93" s="2" t="s">
        <v>355</v>
      </c>
      <c r="O93" s="2"/>
      <c r="P93" s="2" t="s">
        <v>355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</row>
    <row r="94" spans="1:82" x14ac:dyDescent="0.25">
      <c r="A94" s="2">
        <v>91</v>
      </c>
      <c r="B94" s="2" t="s">
        <v>98</v>
      </c>
      <c r="C94" s="58">
        <v>2022</v>
      </c>
      <c r="D94" s="55" t="s">
        <v>356</v>
      </c>
      <c r="E94" s="55"/>
      <c r="F94" s="2" t="s">
        <v>37</v>
      </c>
      <c r="G94" s="2">
        <f t="shared" si="6"/>
        <v>44</v>
      </c>
      <c r="H94" s="6">
        <f>I94+개인기록Sheet!C94</f>
        <v>1</v>
      </c>
      <c r="I94" s="6">
        <f t="shared" si="7"/>
        <v>1</v>
      </c>
      <c r="J94" s="2"/>
      <c r="K94" s="2"/>
      <c r="L94" s="2"/>
      <c r="M94" s="2" t="s">
        <v>355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</row>
    <row r="95" spans="1:82" x14ac:dyDescent="0.25">
      <c r="A95" s="2">
        <v>92</v>
      </c>
      <c r="B95" s="2" t="s">
        <v>204</v>
      </c>
      <c r="C95" s="59">
        <v>2024</v>
      </c>
      <c r="D95" s="55" t="s">
        <v>328</v>
      </c>
      <c r="E95" s="55"/>
      <c r="F95" s="2" t="s">
        <v>37</v>
      </c>
      <c r="G95" s="2">
        <f t="shared" si="6"/>
        <v>3</v>
      </c>
      <c r="H95" s="6">
        <f>I95+개인기록Sheet!C95</f>
        <v>5</v>
      </c>
      <c r="I95" s="6">
        <f t="shared" si="7"/>
        <v>5</v>
      </c>
      <c r="J95" s="2" t="s">
        <v>355</v>
      </c>
      <c r="K95" s="2" t="s">
        <v>355</v>
      </c>
      <c r="L95" s="2"/>
      <c r="M95" s="2" t="s">
        <v>355</v>
      </c>
      <c r="N95" s="2" t="s">
        <v>355</v>
      </c>
      <c r="O95" s="2" t="s">
        <v>355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</row>
    <row r="96" spans="1:82" x14ac:dyDescent="0.25">
      <c r="A96" s="2">
        <v>93</v>
      </c>
      <c r="B96" s="2" t="s">
        <v>62</v>
      </c>
      <c r="C96" s="58" t="s">
        <v>323</v>
      </c>
      <c r="D96" s="55" t="s">
        <v>328</v>
      </c>
      <c r="E96" s="55"/>
      <c r="F96" s="2" t="s">
        <v>37</v>
      </c>
      <c r="G96" s="2">
        <f t="shared" si="6"/>
        <v>3</v>
      </c>
      <c r="H96" s="6">
        <f>I96+개인기록Sheet!C96</f>
        <v>5</v>
      </c>
      <c r="I96" s="6">
        <f t="shared" si="7"/>
        <v>5</v>
      </c>
      <c r="J96" s="2" t="s">
        <v>355</v>
      </c>
      <c r="K96" s="2" t="s">
        <v>355</v>
      </c>
      <c r="L96" s="2"/>
      <c r="M96" s="2" t="s">
        <v>355</v>
      </c>
      <c r="N96" s="2" t="s">
        <v>355</v>
      </c>
      <c r="O96" s="2" t="s">
        <v>355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</row>
    <row r="97" spans="1:82" x14ac:dyDescent="0.25">
      <c r="A97" s="2">
        <v>94</v>
      </c>
      <c r="B97" s="2" t="s">
        <v>137</v>
      </c>
      <c r="C97" s="58">
        <v>2023</v>
      </c>
      <c r="D97" s="55" t="s">
        <v>328</v>
      </c>
      <c r="E97" s="55"/>
      <c r="F97" s="2" t="s">
        <v>37</v>
      </c>
      <c r="G97" s="2">
        <f t="shared" si="6"/>
        <v>10</v>
      </c>
      <c r="H97" s="6">
        <f>I97+개인기록Sheet!C97</f>
        <v>4</v>
      </c>
      <c r="I97" s="6">
        <f t="shared" si="7"/>
        <v>4</v>
      </c>
      <c r="J97" s="2" t="s">
        <v>355</v>
      </c>
      <c r="K97" s="2"/>
      <c r="L97" s="2" t="s">
        <v>355</v>
      </c>
      <c r="M97" s="2"/>
      <c r="N97" s="2" t="s">
        <v>355</v>
      </c>
      <c r="O97" s="2"/>
      <c r="P97" s="2" t="s">
        <v>355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</row>
    <row r="98" spans="1:82" x14ac:dyDescent="0.25">
      <c r="A98" s="2">
        <v>95</v>
      </c>
      <c r="B98" s="2" t="s">
        <v>122</v>
      </c>
      <c r="C98" s="58">
        <v>2022</v>
      </c>
      <c r="D98" s="55" t="s">
        <v>356</v>
      </c>
      <c r="E98" s="55"/>
      <c r="F98" s="2" t="s">
        <v>37</v>
      </c>
      <c r="G98" s="2">
        <f t="shared" si="6"/>
        <v>44</v>
      </c>
      <c r="H98" s="6">
        <f>I98+개인기록Sheet!C98</f>
        <v>1</v>
      </c>
      <c r="I98" s="6">
        <f t="shared" si="7"/>
        <v>1</v>
      </c>
      <c r="J98" s="2" t="s">
        <v>355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</row>
    <row r="99" spans="1:82" x14ac:dyDescent="0.25">
      <c r="A99" s="2">
        <v>96</v>
      </c>
      <c r="B99" s="2" t="s">
        <v>96</v>
      </c>
      <c r="C99" s="58">
        <v>2021</v>
      </c>
      <c r="D99" s="55"/>
      <c r="E99" s="55"/>
      <c r="F99" s="2" t="s">
        <v>37</v>
      </c>
      <c r="G99" s="2">
        <f t="shared" si="6"/>
        <v>70</v>
      </c>
      <c r="H99" s="6">
        <f>I99+개인기록Sheet!C99</f>
        <v>0</v>
      </c>
      <c r="I99" s="6">
        <f t="shared" si="7"/>
        <v>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</row>
    <row r="100" spans="1:82" x14ac:dyDescent="0.25">
      <c r="A100" s="2">
        <v>97</v>
      </c>
      <c r="B100" s="2" t="s">
        <v>330</v>
      </c>
      <c r="C100" s="59">
        <v>2025</v>
      </c>
      <c r="D100" s="55" t="s">
        <v>356</v>
      </c>
      <c r="E100" s="55"/>
      <c r="F100" s="2" t="s">
        <v>37</v>
      </c>
      <c r="G100" s="2">
        <f t="shared" si="6"/>
        <v>26</v>
      </c>
      <c r="H100" s="6">
        <f>I100+개인기록Sheet!C100</f>
        <v>2</v>
      </c>
      <c r="I100" s="6">
        <f t="shared" si="7"/>
        <v>2</v>
      </c>
      <c r="J100" s="2" t="s">
        <v>355</v>
      </c>
      <c r="K100" s="2"/>
      <c r="L100" s="2"/>
      <c r="M100" s="2"/>
      <c r="N100" s="2" t="s">
        <v>355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</row>
    <row r="101" spans="1:82" x14ac:dyDescent="0.25">
      <c r="A101" s="2">
        <v>98</v>
      </c>
      <c r="B101" s="2" t="s">
        <v>196</v>
      </c>
      <c r="C101" s="58">
        <v>2023</v>
      </c>
      <c r="D101" s="55" t="s">
        <v>328</v>
      </c>
      <c r="E101" s="55"/>
      <c r="F101" s="2" t="s">
        <v>37</v>
      </c>
      <c r="G101" s="2">
        <f t="shared" si="6"/>
        <v>15</v>
      </c>
      <c r="H101" s="6">
        <f>I101+개인기록Sheet!C101</f>
        <v>3</v>
      </c>
      <c r="I101" s="6">
        <f t="shared" si="7"/>
        <v>3</v>
      </c>
      <c r="J101" s="2" t="s">
        <v>355</v>
      </c>
      <c r="K101" s="2"/>
      <c r="L101" s="2"/>
      <c r="M101" s="2" t="s">
        <v>355</v>
      </c>
      <c r="N101" s="2"/>
      <c r="O101" s="2" t="s">
        <v>355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</row>
    <row r="102" spans="1:82" x14ac:dyDescent="0.25">
      <c r="A102" s="2">
        <v>99</v>
      </c>
      <c r="B102" s="2" t="s">
        <v>67</v>
      </c>
      <c r="C102" s="58" t="s">
        <v>323</v>
      </c>
      <c r="D102" s="55" t="s">
        <v>328</v>
      </c>
      <c r="E102" s="55"/>
      <c r="F102" s="2" t="s">
        <v>37</v>
      </c>
      <c r="G102" s="2">
        <f t="shared" si="6"/>
        <v>26</v>
      </c>
      <c r="H102" s="6">
        <f>I102+개인기록Sheet!C102</f>
        <v>2</v>
      </c>
      <c r="I102" s="6">
        <f t="shared" si="7"/>
        <v>2</v>
      </c>
      <c r="J102" s="2" t="s">
        <v>355</v>
      </c>
      <c r="K102" s="2"/>
      <c r="L102" s="2"/>
      <c r="M102" s="2" t="s">
        <v>355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</row>
    <row r="103" spans="1:82" x14ac:dyDescent="0.25">
      <c r="A103" s="2">
        <v>100</v>
      </c>
      <c r="B103" s="2" t="s">
        <v>308</v>
      </c>
      <c r="C103" s="59">
        <v>2025</v>
      </c>
      <c r="D103" s="55" t="s">
        <v>328</v>
      </c>
      <c r="E103" s="55"/>
      <c r="F103" s="2" t="s">
        <v>37</v>
      </c>
      <c r="G103" s="2">
        <f t="shared" si="6"/>
        <v>26</v>
      </c>
      <c r="H103" s="6">
        <f>I103+개인기록Sheet!C103</f>
        <v>2</v>
      </c>
      <c r="I103" s="6">
        <f t="shared" si="7"/>
        <v>2</v>
      </c>
      <c r="J103" s="2" t="s">
        <v>355</v>
      </c>
      <c r="K103" s="2" t="s">
        <v>355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</row>
    <row r="104" spans="1:82" x14ac:dyDescent="0.25">
      <c r="A104" s="2">
        <v>101</v>
      </c>
      <c r="B104" s="2" t="s">
        <v>113</v>
      </c>
      <c r="C104" s="58">
        <v>2022</v>
      </c>
      <c r="D104" s="55" t="s">
        <v>328</v>
      </c>
      <c r="E104" s="55"/>
      <c r="F104" s="2" t="s">
        <v>37</v>
      </c>
      <c r="G104" s="2">
        <f t="shared" si="6"/>
        <v>70</v>
      </c>
      <c r="H104" s="6">
        <f>I104+개인기록Sheet!C104</f>
        <v>0</v>
      </c>
      <c r="I104" s="6">
        <f t="shared" si="7"/>
        <v>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</row>
    <row r="105" spans="1:82" x14ac:dyDescent="0.25">
      <c r="A105" s="2">
        <v>102</v>
      </c>
      <c r="B105" s="2" t="s">
        <v>297</v>
      </c>
      <c r="C105" s="59">
        <v>2024</v>
      </c>
      <c r="D105" s="55" t="s">
        <v>356</v>
      </c>
      <c r="E105" s="55"/>
      <c r="F105" s="2" t="s">
        <v>37</v>
      </c>
      <c r="G105" s="2">
        <f t="shared" si="6"/>
        <v>26</v>
      </c>
      <c r="H105" s="6">
        <f>I105+개인기록Sheet!C105</f>
        <v>2</v>
      </c>
      <c r="I105" s="6">
        <f t="shared" si="7"/>
        <v>2</v>
      </c>
      <c r="J105" s="2"/>
      <c r="K105" s="2"/>
      <c r="L105" s="2" t="s">
        <v>355</v>
      </c>
      <c r="M105" s="2"/>
      <c r="N105" s="2" t="s">
        <v>355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</row>
    <row r="106" spans="1:82" x14ac:dyDescent="0.25">
      <c r="A106" s="2">
        <v>103</v>
      </c>
      <c r="B106" s="2" t="s">
        <v>124</v>
      </c>
      <c r="C106" s="58">
        <v>2023</v>
      </c>
      <c r="D106" s="55" t="s">
        <v>328</v>
      </c>
      <c r="E106" s="55"/>
      <c r="F106" s="2" t="s">
        <v>37</v>
      </c>
      <c r="G106" s="2">
        <f t="shared" si="6"/>
        <v>26</v>
      </c>
      <c r="H106" s="6">
        <f>I106+개인기록Sheet!C106</f>
        <v>2</v>
      </c>
      <c r="I106" s="6">
        <f t="shared" si="7"/>
        <v>2</v>
      </c>
      <c r="J106" s="2"/>
      <c r="K106" s="2"/>
      <c r="L106" s="2" t="s">
        <v>355</v>
      </c>
      <c r="M106" s="2"/>
      <c r="N106" s="2" t="s">
        <v>355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</row>
    <row r="107" spans="1:82" x14ac:dyDescent="0.25">
      <c r="A107" s="2">
        <v>104</v>
      </c>
      <c r="B107" s="2" t="s">
        <v>132</v>
      </c>
      <c r="C107" s="58">
        <v>2023</v>
      </c>
      <c r="D107" s="55" t="s">
        <v>356</v>
      </c>
      <c r="E107" s="55"/>
      <c r="F107" s="2" t="s">
        <v>37</v>
      </c>
      <c r="G107" s="2">
        <f t="shared" si="6"/>
        <v>70</v>
      </c>
      <c r="H107" s="6">
        <f>I107+개인기록Sheet!C107</f>
        <v>0</v>
      </c>
      <c r="I107" s="6">
        <f t="shared" si="7"/>
        <v>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</row>
    <row r="108" spans="1:82" x14ac:dyDescent="0.25">
      <c r="A108" s="2">
        <v>105</v>
      </c>
      <c r="B108" s="2" t="s">
        <v>319</v>
      </c>
      <c r="C108" s="59">
        <v>2025</v>
      </c>
      <c r="D108" s="55"/>
      <c r="E108" s="55"/>
      <c r="F108" s="2" t="s">
        <v>37</v>
      </c>
      <c r="G108" s="2">
        <f t="shared" si="6"/>
        <v>70</v>
      </c>
      <c r="H108" s="6">
        <f>I108+개인기록Sheet!C108</f>
        <v>0</v>
      </c>
      <c r="I108" s="6">
        <f t="shared" si="7"/>
        <v>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</row>
    <row r="109" spans="1:82" x14ac:dyDescent="0.25">
      <c r="A109" s="2">
        <v>106</v>
      </c>
      <c r="B109" s="2" t="s">
        <v>32</v>
      </c>
      <c r="C109" s="58" t="s">
        <v>323</v>
      </c>
      <c r="D109" s="55" t="s">
        <v>227</v>
      </c>
      <c r="E109" s="55"/>
      <c r="F109" s="2" t="s">
        <v>37</v>
      </c>
      <c r="G109" s="2">
        <f t="shared" si="6"/>
        <v>70</v>
      </c>
      <c r="H109" s="6">
        <f>I109+개인기록Sheet!C109</f>
        <v>0</v>
      </c>
      <c r="I109" s="6">
        <f t="shared" si="7"/>
        <v>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</row>
    <row r="110" spans="1:82" x14ac:dyDescent="0.25">
      <c r="A110" s="2">
        <v>107</v>
      </c>
      <c r="B110" s="2" t="s">
        <v>241</v>
      </c>
      <c r="C110" s="59">
        <v>2024</v>
      </c>
      <c r="D110" s="55"/>
      <c r="E110" s="55"/>
      <c r="F110" s="2" t="s">
        <v>37</v>
      </c>
      <c r="G110" s="2">
        <f t="shared" si="6"/>
        <v>70</v>
      </c>
      <c r="H110" s="6">
        <f>I110+개인기록Sheet!C110</f>
        <v>0</v>
      </c>
      <c r="I110" s="6">
        <f t="shared" si="7"/>
        <v>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</row>
    <row r="111" spans="1:82" x14ac:dyDescent="0.25">
      <c r="A111" s="2">
        <v>108</v>
      </c>
      <c r="B111" s="2" t="s">
        <v>42</v>
      </c>
      <c r="C111" s="58" t="s">
        <v>323</v>
      </c>
      <c r="D111" s="55" t="s">
        <v>328</v>
      </c>
      <c r="E111" s="55"/>
      <c r="F111" s="2" t="s">
        <v>37</v>
      </c>
      <c r="G111" s="2">
        <f t="shared" si="6"/>
        <v>44</v>
      </c>
      <c r="H111" s="6">
        <f>I111+개인기록Sheet!C111</f>
        <v>1</v>
      </c>
      <c r="I111" s="6">
        <f t="shared" si="7"/>
        <v>1</v>
      </c>
      <c r="J111" s="2"/>
      <c r="K111" s="2" t="s">
        <v>355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</row>
    <row r="112" spans="1:82" x14ac:dyDescent="0.25">
      <c r="A112" s="2">
        <v>109</v>
      </c>
      <c r="B112" s="2" t="s">
        <v>240</v>
      </c>
      <c r="C112" s="59">
        <v>2024</v>
      </c>
      <c r="D112" s="55"/>
      <c r="E112" s="55"/>
      <c r="F112" s="2" t="s">
        <v>37</v>
      </c>
      <c r="G112" s="2">
        <f t="shared" si="6"/>
        <v>70</v>
      </c>
      <c r="H112" s="6">
        <f>I112+개인기록Sheet!C112</f>
        <v>0</v>
      </c>
      <c r="I112" s="6">
        <f t="shared" si="7"/>
        <v>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</row>
    <row r="113" spans="1:82" x14ac:dyDescent="0.25">
      <c r="A113" s="2">
        <v>110</v>
      </c>
      <c r="B113" s="2" t="s">
        <v>219</v>
      </c>
      <c r="C113" s="59">
        <v>2024</v>
      </c>
      <c r="D113" s="55"/>
      <c r="E113" s="55"/>
      <c r="F113" s="2" t="s">
        <v>37</v>
      </c>
      <c r="G113" s="2">
        <f t="shared" si="6"/>
        <v>70</v>
      </c>
      <c r="H113" s="6">
        <f>I113+개인기록Sheet!C113</f>
        <v>0</v>
      </c>
      <c r="I113" s="6">
        <f t="shared" si="7"/>
        <v>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</row>
    <row r="114" spans="1:82" x14ac:dyDescent="0.25">
      <c r="A114" s="2">
        <v>111</v>
      </c>
      <c r="B114" s="2" t="s">
        <v>220</v>
      </c>
      <c r="C114" s="59">
        <v>2024</v>
      </c>
      <c r="D114" s="55"/>
      <c r="E114" s="55"/>
      <c r="F114" s="2" t="s">
        <v>37</v>
      </c>
      <c r="G114" s="2">
        <f t="shared" si="6"/>
        <v>70</v>
      </c>
      <c r="H114" s="6">
        <f>I114+개인기록Sheet!C114</f>
        <v>0</v>
      </c>
      <c r="I114" s="6">
        <f t="shared" si="7"/>
        <v>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</row>
  </sheetData>
  <phoneticPr fontId="2" type="noConversion"/>
  <conditionalFormatting sqref="D4:E114">
    <cfRule type="containsText" dxfId="13" priority="1" operator="containsText" text="지급">
      <formula>NOT(ISERROR(SEARCH("지급",D4)))</formula>
    </cfRule>
  </conditionalFormatting>
  <conditionalFormatting sqref="G4:G114">
    <cfRule type="top10" dxfId="12" priority="857" bottom="1" rank="10"/>
  </conditionalFormatting>
  <conditionalFormatting sqref="H4:H114">
    <cfRule type="top10" dxfId="11" priority="859" rank="10"/>
  </conditionalFormatting>
  <conditionalFormatting sqref="I4:I114">
    <cfRule type="top10" dxfId="10" priority="861" rank="10"/>
  </conditionalFormatting>
  <pageMargins left="0.39347222447395325" right="0.39347222447395325" top="0.19666667282581329" bottom="0.19666667282581329" header="0.19666667282581329" footer="0.19666667282581329"/>
  <pageSetup paperSize="9" scale="9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V22"/>
  <sheetViews>
    <sheetView tabSelected="1" zoomScaleNormal="125" workbookViewId="0">
      <selection activeCell="Y15" sqref="Y15"/>
    </sheetView>
  </sheetViews>
  <sheetFormatPr defaultColWidth="8.9140625" defaultRowHeight="16" x14ac:dyDescent="0.25"/>
  <cols>
    <col min="1" max="1" width="4.9140625" style="1" bestFit="1" customWidth="1"/>
    <col min="2" max="2" width="5.6640625" style="1" bestFit="1" customWidth="1"/>
    <col min="3" max="4" width="8.9140625" style="1" customWidth="1"/>
    <col min="5" max="22" width="6.5" style="1" customWidth="1"/>
  </cols>
  <sheetData>
    <row r="2" spans="2:22" x14ac:dyDescent="0.25">
      <c r="B2" s="11">
        <v>46094</v>
      </c>
      <c r="C2" s="10" t="s">
        <v>128</v>
      </c>
      <c r="D2" s="10" t="s">
        <v>129</v>
      </c>
      <c r="E2" s="78" t="s">
        <v>82</v>
      </c>
      <c r="F2" s="78"/>
      <c r="G2" s="78"/>
      <c r="H2" s="78"/>
      <c r="I2" s="79" t="s">
        <v>85</v>
      </c>
      <c r="J2" s="79"/>
      <c r="K2" s="79"/>
      <c r="L2" s="79"/>
      <c r="M2" s="80" t="s">
        <v>84</v>
      </c>
      <c r="N2" s="80"/>
      <c r="O2" s="80"/>
      <c r="P2" s="80"/>
      <c r="Q2" s="81" t="s">
        <v>78</v>
      </c>
      <c r="R2" s="81"/>
      <c r="S2" s="81"/>
      <c r="T2" s="81"/>
      <c r="U2" s="81"/>
      <c r="V2" s="81"/>
    </row>
    <row r="3" spans="2:22" x14ac:dyDescent="0.25">
      <c r="B3" s="74" t="s">
        <v>65</v>
      </c>
      <c r="C3" s="76">
        <v>3</v>
      </c>
      <c r="D3" s="76">
        <v>0</v>
      </c>
      <c r="E3" s="7" t="s">
        <v>109</v>
      </c>
      <c r="F3" s="7" t="s">
        <v>312</v>
      </c>
      <c r="G3" s="7" t="s">
        <v>175</v>
      </c>
      <c r="H3" s="7"/>
      <c r="I3" s="8" t="s">
        <v>110</v>
      </c>
      <c r="J3" s="8" t="s">
        <v>103</v>
      </c>
      <c r="K3" s="8" t="s">
        <v>312</v>
      </c>
      <c r="L3" s="8"/>
      <c r="M3" s="20" t="s">
        <v>103</v>
      </c>
      <c r="N3" s="20" t="s">
        <v>110</v>
      </c>
      <c r="O3" s="20" t="s">
        <v>109</v>
      </c>
      <c r="P3" s="20"/>
      <c r="Q3" s="9" t="s">
        <v>298</v>
      </c>
      <c r="R3" s="9" t="s">
        <v>202</v>
      </c>
      <c r="S3" s="9" t="s">
        <v>203</v>
      </c>
      <c r="T3" s="9" t="s">
        <v>358</v>
      </c>
      <c r="U3" s="9"/>
      <c r="V3" s="13" t="s">
        <v>107</v>
      </c>
    </row>
    <row r="4" spans="2:22" x14ac:dyDescent="0.25">
      <c r="B4" s="75"/>
      <c r="C4" s="77"/>
      <c r="D4" s="77"/>
      <c r="E4" s="7"/>
      <c r="F4" s="7"/>
      <c r="G4" s="7"/>
      <c r="H4" s="7"/>
      <c r="I4" s="8"/>
      <c r="J4" s="8"/>
      <c r="K4" s="8"/>
      <c r="L4" s="8"/>
      <c r="M4" s="20"/>
      <c r="N4" s="20"/>
      <c r="O4" s="20"/>
      <c r="P4" s="20"/>
      <c r="Q4" s="9"/>
      <c r="R4" s="9"/>
      <c r="S4" s="9"/>
      <c r="T4" s="9"/>
      <c r="U4" s="9"/>
      <c r="V4" s="13"/>
    </row>
    <row r="5" spans="2:22" x14ac:dyDescent="0.25">
      <c r="B5" s="74" t="s">
        <v>71</v>
      </c>
      <c r="C5" s="76">
        <v>1</v>
      </c>
      <c r="D5" s="76">
        <v>0</v>
      </c>
      <c r="E5" s="7" t="s">
        <v>330</v>
      </c>
      <c r="F5" s="7"/>
      <c r="G5" s="7"/>
      <c r="H5" s="7"/>
      <c r="I5" s="8" t="s">
        <v>313</v>
      </c>
      <c r="J5" s="8"/>
      <c r="K5" s="8"/>
      <c r="L5" s="8"/>
      <c r="M5" s="20" t="s">
        <v>107</v>
      </c>
      <c r="N5" s="20" t="s">
        <v>237</v>
      </c>
      <c r="O5" s="20" t="s">
        <v>204</v>
      </c>
      <c r="P5" s="20"/>
      <c r="Q5" s="9" t="s">
        <v>182</v>
      </c>
      <c r="R5" s="9" t="s">
        <v>137</v>
      </c>
      <c r="S5" s="9" t="s">
        <v>124</v>
      </c>
      <c r="T5" s="9" t="s">
        <v>330</v>
      </c>
      <c r="U5" s="9"/>
      <c r="V5" s="13" t="s">
        <v>175</v>
      </c>
    </row>
    <row r="6" spans="2:22" x14ac:dyDescent="0.25">
      <c r="B6" s="75"/>
      <c r="C6" s="77"/>
      <c r="D6" s="77"/>
      <c r="E6" s="7"/>
      <c r="F6" s="7"/>
      <c r="G6" s="7"/>
      <c r="H6" s="7"/>
      <c r="I6" s="8"/>
      <c r="J6" s="8"/>
      <c r="K6" s="8"/>
      <c r="L6" s="8"/>
      <c r="M6" s="20"/>
      <c r="N6" s="20"/>
      <c r="O6" s="20"/>
      <c r="P6" s="20"/>
      <c r="Q6" s="9"/>
      <c r="R6" s="9"/>
      <c r="S6" s="9"/>
      <c r="T6" s="9"/>
      <c r="U6" s="9"/>
      <c r="V6" s="13"/>
    </row>
    <row r="7" spans="2:22" x14ac:dyDescent="0.25">
      <c r="B7" s="74" t="s">
        <v>73</v>
      </c>
      <c r="C7" s="76">
        <v>2</v>
      </c>
      <c r="D7" s="76">
        <v>0</v>
      </c>
      <c r="E7" s="7" t="s">
        <v>179</v>
      </c>
      <c r="F7" s="7" t="s">
        <v>109</v>
      </c>
      <c r="G7" s="7"/>
      <c r="H7" s="7"/>
      <c r="I7" s="8" t="s">
        <v>182</v>
      </c>
      <c r="J7" s="8" t="s">
        <v>110</v>
      </c>
      <c r="K7" s="8"/>
      <c r="L7" s="8"/>
      <c r="M7" s="20" t="s">
        <v>110</v>
      </c>
      <c r="N7" s="20" t="s">
        <v>109</v>
      </c>
      <c r="O7" s="20" t="s">
        <v>103</v>
      </c>
      <c r="P7" s="20"/>
      <c r="Q7" s="9" t="s">
        <v>298</v>
      </c>
      <c r="R7" s="9" t="s">
        <v>179</v>
      </c>
      <c r="S7" s="9" t="s">
        <v>182</v>
      </c>
      <c r="T7" s="9" t="s">
        <v>297</v>
      </c>
      <c r="U7" s="9"/>
      <c r="V7" s="13" t="s">
        <v>175</v>
      </c>
    </row>
    <row r="8" spans="2:22" x14ac:dyDescent="0.25">
      <c r="B8" s="75"/>
      <c r="C8" s="77"/>
      <c r="D8" s="77"/>
      <c r="E8" s="7"/>
      <c r="F8" s="7"/>
      <c r="G8" s="7"/>
      <c r="H8" s="7"/>
      <c r="I8" s="8"/>
      <c r="J8" s="8"/>
      <c r="K8" s="8"/>
      <c r="L8" s="8"/>
      <c r="M8" s="20"/>
      <c r="N8" s="20"/>
      <c r="O8" s="20"/>
      <c r="P8" s="20"/>
      <c r="Q8" s="9"/>
      <c r="R8" s="9"/>
      <c r="S8" s="9"/>
      <c r="T8" s="9"/>
      <c r="U8" s="9"/>
      <c r="V8" s="13"/>
    </row>
    <row r="9" spans="2:22" x14ac:dyDescent="0.25">
      <c r="B9" s="74" t="s">
        <v>41</v>
      </c>
      <c r="C9" s="76">
        <v>2</v>
      </c>
      <c r="D9" s="76">
        <v>0</v>
      </c>
      <c r="E9" s="7" t="s">
        <v>175</v>
      </c>
      <c r="F9" s="7" t="s">
        <v>202</v>
      </c>
      <c r="G9" s="7"/>
      <c r="H9" s="7"/>
      <c r="I9" s="8" t="s">
        <v>202</v>
      </c>
      <c r="J9" s="8" t="s">
        <v>204</v>
      </c>
      <c r="K9" s="8"/>
      <c r="L9" s="8"/>
      <c r="M9" s="20" t="s">
        <v>107</v>
      </c>
      <c r="N9" s="20" t="s">
        <v>202</v>
      </c>
      <c r="O9" s="20" t="s">
        <v>204</v>
      </c>
      <c r="P9" s="20"/>
      <c r="Q9" s="9" t="s">
        <v>330</v>
      </c>
      <c r="R9" s="9" t="s">
        <v>137</v>
      </c>
      <c r="S9" s="9" t="s">
        <v>124</v>
      </c>
      <c r="T9" s="9" t="s">
        <v>358</v>
      </c>
      <c r="U9" s="9"/>
      <c r="V9" s="13" t="s">
        <v>298</v>
      </c>
    </row>
    <row r="10" spans="2:22" x14ac:dyDescent="0.25">
      <c r="B10" s="75"/>
      <c r="C10" s="77"/>
      <c r="D10" s="77"/>
      <c r="E10" s="7"/>
      <c r="F10" s="7"/>
      <c r="G10" s="7"/>
      <c r="H10" s="7"/>
      <c r="I10" s="8"/>
      <c r="J10" s="8"/>
      <c r="K10" s="8"/>
      <c r="L10" s="8"/>
      <c r="M10" s="20"/>
      <c r="N10" s="20"/>
      <c r="O10" s="20"/>
      <c r="P10" s="20"/>
      <c r="Q10" s="9"/>
      <c r="R10" s="9"/>
      <c r="S10" s="9"/>
      <c r="T10" s="9"/>
      <c r="U10" s="9"/>
      <c r="V10" s="13"/>
    </row>
    <row r="11" spans="2:22" x14ac:dyDescent="0.25">
      <c r="B11" s="2" t="s">
        <v>89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3" spans="2:22" x14ac:dyDescent="0.25">
      <c r="B13" s="11">
        <v>46097</v>
      </c>
      <c r="C13" s="10" t="s">
        <v>364</v>
      </c>
      <c r="D13" s="10" t="s">
        <v>365</v>
      </c>
      <c r="E13" s="78" t="s">
        <v>82</v>
      </c>
      <c r="F13" s="78"/>
      <c r="G13" s="78"/>
      <c r="H13" s="78"/>
      <c r="I13" s="79" t="s">
        <v>85</v>
      </c>
      <c r="J13" s="79"/>
      <c r="K13" s="79"/>
      <c r="L13" s="79"/>
      <c r="M13" s="80" t="s">
        <v>84</v>
      </c>
      <c r="N13" s="80"/>
      <c r="O13" s="80"/>
      <c r="P13" s="80"/>
      <c r="Q13" s="81" t="s">
        <v>78</v>
      </c>
      <c r="R13" s="81"/>
      <c r="S13" s="81"/>
      <c r="T13" s="81"/>
      <c r="U13" s="81"/>
      <c r="V13" s="81"/>
    </row>
    <row r="14" spans="2:22" x14ac:dyDescent="0.25">
      <c r="B14" s="74" t="s">
        <v>65</v>
      </c>
      <c r="C14" s="76">
        <v>1</v>
      </c>
      <c r="D14" s="76">
        <v>2</v>
      </c>
      <c r="E14" s="7" t="s">
        <v>354</v>
      </c>
      <c r="F14" s="7"/>
      <c r="G14" s="7"/>
      <c r="H14" s="7"/>
      <c r="I14" s="8"/>
      <c r="J14" s="8"/>
      <c r="K14" s="8"/>
      <c r="L14" s="8"/>
      <c r="M14" s="20"/>
      <c r="N14" s="20"/>
      <c r="O14" s="20"/>
      <c r="P14" s="20"/>
      <c r="Q14" s="9"/>
      <c r="R14" s="9"/>
      <c r="S14" s="9"/>
      <c r="T14" s="9"/>
      <c r="U14" s="9"/>
      <c r="V14" s="13"/>
    </row>
    <row r="15" spans="2:22" x14ac:dyDescent="0.25">
      <c r="B15" s="75"/>
      <c r="C15" s="77"/>
      <c r="D15" s="77"/>
      <c r="E15" s="7"/>
      <c r="F15" s="7"/>
      <c r="G15" s="7"/>
      <c r="H15" s="7"/>
      <c r="I15" s="8"/>
      <c r="J15" s="8"/>
      <c r="K15" s="8"/>
      <c r="L15" s="8"/>
      <c r="M15" s="20"/>
      <c r="N15" s="20"/>
      <c r="O15" s="20"/>
      <c r="P15" s="20"/>
      <c r="Q15" s="9"/>
      <c r="R15" s="9"/>
      <c r="S15" s="9"/>
      <c r="T15" s="9"/>
      <c r="U15" s="9"/>
      <c r="V15" s="13"/>
    </row>
    <row r="16" spans="2:22" x14ac:dyDescent="0.25">
      <c r="B16" s="74" t="s">
        <v>71</v>
      </c>
      <c r="C16" s="76">
        <v>0</v>
      </c>
      <c r="D16" s="76">
        <v>1</v>
      </c>
      <c r="E16" s="7"/>
      <c r="F16" s="7"/>
      <c r="G16" s="7"/>
      <c r="H16" s="7"/>
      <c r="I16" s="8"/>
      <c r="J16" s="8"/>
      <c r="K16" s="8"/>
      <c r="L16" s="8"/>
      <c r="M16" s="20"/>
      <c r="N16" s="20"/>
      <c r="O16" s="20"/>
      <c r="P16" s="20"/>
      <c r="Q16" s="9"/>
      <c r="R16" s="9"/>
      <c r="S16" s="9"/>
      <c r="T16" s="9"/>
      <c r="U16" s="9"/>
      <c r="V16" s="13"/>
    </row>
    <row r="17" spans="2:22" x14ac:dyDescent="0.25">
      <c r="B17" s="75"/>
      <c r="C17" s="77"/>
      <c r="D17" s="77"/>
      <c r="E17" s="7"/>
      <c r="F17" s="7"/>
      <c r="G17" s="7"/>
      <c r="H17" s="7"/>
      <c r="I17" s="8"/>
      <c r="J17" s="8"/>
      <c r="K17" s="8"/>
      <c r="L17" s="8"/>
      <c r="M17" s="20"/>
      <c r="N17" s="20"/>
      <c r="O17" s="20"/>
      <c r="P17" s="20"/>
      <c r="Q17" s="9"/>
      <c r="R17" s="9"/>
      <c r="S17" s="9"/>
      <c r="T17" s="9"/>
      <c r="U17" s="9"/>
      <c r="V17" s="13"/>
    </row>
    <row r="18" spans="2:22" x14ac:dyDescent="0.25">
      <c r="B18" s="74" t="s">
        <v>73</v>
      </c>
      <c r="C18" s="76">
        <v>2</v>
      </c>
      <c r="D18" s="76">
        <v>0</v>
      </c>
      <c r="E18" s="7" t="s">
        <v>354</v>
      </c>
      <c r="F18" s="7" t="s">
        <v>136</v>
      </c>
      <c r="G18" s="7"/>
      <c r="H18" s="7"/>
      <c r="I18" s="8" t="s">
        <v>105</v>
      </c>
      <c r="J18" s="8" t="s">
        <v>353</v>
      </c>
      <c r="K18" s="8"/>
      <c r="L18" s="8"/>
      <c r="M18" s="20" t="s">
        <v>309</v>
      </c>
      <c r="N18" s="20" t="s">
        <v>354</v>
      </c>
      <c r="O18" s="20"/>
      <c r="P18" s="20"/>
      <c r="Q18" s="9" t="s">
        <v>137</v>
      </c>
      <c r="R18" s="9" t="s">
        <v>202</v>
      </c>
      <c r="S18" s="9" t="s">
        <v>136</v>
      </c>
      <c r="T18" s="9" t="s">
        <v>203</v>
      </c>
      <c r="U18" s="9"/>
      <c r="V18" s="13" t="s">
        <v>182</v>
      </c>
    </row>
    <row r="19" spans="2:22" x14ac:dyDescent="0.25">
      <c r="B19" s="75"/>
      <c r="C19" s="77"/>
      <c r="D19" s="77"/>
      <c r="E19" s="7"/>
      <c r="F19" s="7"/>
      <c r="G19" s="7"/>
      <c r="H19" s="7"/>
      <c r="I19" s="8"/>
      <c r="J19" s="8"/>
      <c r="K19" s="8"/>
      <c r="L19" s="8"/>
      <c r="M19" s="20"/>
      <c r="N19" s="20"/>
      <c r="O19" s="20"/>
      <c r="P19" s="20"/>
      <c r="Q19" s="9"/>
      <c r="R19" s="9"/>
      <c r="S19" s="9"/>
      <c r="T19" s="9"/>
      <c r="U19" s="9"/>
      <c r="V19" s="13"/>
    </row>
    <row r="20" spans="2:22" x14ac:dyDescent="0.25">
      <c r="B20" s="74" t="s">
        <v>41</v>
      </c>
      <c r="C20" s="76">
        <v>2</v>
      </c>
      <c r="D20" s="76">
        <v>0</v>
      </c>
      <c r="E20" s="7" t="s">
        <v>313</v>
      </c>
      <c r="F20" s="7" t="s">
        <v>346</v>
      </c>
      <c r="G20" s="7"/>
      <c r="H20" s="7"/>
      <c r="I20" s="8"/>
      <c r="J20" s="8" t="s">
        <v>313</v>
      </c>
      <c r="K20" s="8"/>
      <c r="L20" s="8"/>
      <c r="M20" s="20" t="s">
        <v>202</v>
      </c>
      <c r="N20" s="20" t="s">
        <v>309</v>
      </c>
      <c r="O20" s="20"/>
      <c r="P20" s="20"/>
      <c r="Q20" s="9" t="s">
        <v>137</v>
      </c>
      <c r="R20" s="9" t="s">
        <v>203</v>
      </c>
      <c r="S20" s="9" t="s">
        <v>136</v>
      </c>
      <c r="T20" s="9"/>
      <c r="U20" s="9"/>
      <c r="V20" s="13" t="s">
        <v>182</v>
      </c>
    </row>
    <row r="21" spans="2:22" x14ac:dyDescent="0.25">
      <c r="B21" s="75"/>
      <c r="C21" s="77"/>
      <c r="D21" s="77"/>
      <c r="E21" s="7"/>
      <c r="F21" s="7"/>
      <c r="G21" s="7"/>
      <c r="H21" s="7"/>
      <c r="I21" s="8"/>
      <c r="J21" s="8"/>
      <c r="K21" s="8"/>
      <c r="L21" s="8"/>
      <c r="M21" s="20"/>
      <c r="N21" s="20"/>
      <c r="O21" s="20"/>
      <c r="P21" s="20"/>
      <c r="Q21" s="9"/>
      <c r="R21" s="9"/>
      <c r="S21" s="9"/>
      <c r="T21" s="9"/>
      <c r="U21" s="9"/>
      <c r="V21" s="13"/>
    </row>
    <row r="22" spans="2:22" x14ac:dyDescent="0.25">
      <c r="B22" s="2" t="s">
        <v>89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</sheetData>
  <mergeCells count="32">
    <mergeCell ref="B9:B10"/>
    <mergeCell ref="C9:C10"/>
    <mergeCell ref="D9:D10"/>
    <mergeCell ref="B5:B6"/>
    <mergeCell ref="C5:C6"/>
    <mergeCell ref="D5:D6"/>
    <mergeCell ref="B7:B8"/>
    <mergeCell ref="C7:C8"/>
    <mergeCell ref="D7:D8"/>
    <mergeCell ref="E2:H2"/>
    <mergeCell ref="I2:L2"/>
    <mergeCell ref="M2:P2"/>
    <mergeCell ref="Q2:V2"/>
    <mergeCell ref="B3:B4"/>
    <mergeCell ref="C3:C4"/>
    <mergeCell ref="D3:D4"/>
    <mergeCell ref="E13:H13"/>
    <mergeCell ref="I13:L13"/>
    <mergeCell ref="M13:P13"/>
    <mergeCell ref="Q13:V13"/>
    <mergeCell ref="B14:B15"/>
    <mergeCell ref="C14:C15"/>
    <mergeCell ref="D14:D15"/>
    <mergeCell ref="B20:B21"/>
    <mergeCell ref="C20:C21"/>
    <mergeCell ref="D20:D21"/>
    <mergeCell ref="B16:B17"/>
    <mergeCell ref="C16:C17"/>
    <mergeCell ref="D16:D17"/>
    <mergeCell ref="B18:B19"/>
    <mergeCell ref="C18:C19"/>
    <mergeCell ref="D18:D19"/>
  </mergeCells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2:CW114"/>
  <sheetViews>
    <sheetView showGridLines="0" zoomScaleNormal="125" workbookViewId="0">
      <selection activeCell="M26" sqref="M26"/>
    </sheetView>
  </sheetViews>
  <sheetFormatPr defaultColWidth="8.9140625" defaultRowHeight="16" x14ac:dyDescent="0.25"/>
  <cols>
    <col min="1" max="1" width="4.1640625" style="1" bestFit="1" customWidth="1"/>
    <col min="2" max="2" width="6.33203125" style="1" customWidth="1"/>
    <col min="3" max="3" width="9.4140625" style="1" bestFit="1" customWidth="1"/>
    <col min="4" max="8" width="10.83203125" style="1" customWidth="1"/>
    <col min="9" max="9" width="4.83203125" style="17" customWidth="1"/>
    <col min="10" max="10" width="4.83203125" style="1" customWidth="1"/>
    <col min="11" max="11" width="7.83203125" style="1" customWidth="1"/>
    <col min="12" max="12" width="8.08203125" style="1" customWidth="1"/>
    <col min="13" max="13" width="4.6640625" style="1" customWidth="1"/>
    <col min="14" max="14" width="8.08203125" style="1" customWidth="1"/>
    <col min="15" max="15" width="4.6640625" style="1" customWidth="1"/>
    <col min="16" max="16" width="8.08203125" style="1" customWidth="1"/>
    <col min="17" max="17" width="4.6640625" style="1" customWidth="1"/>
    <col min="18" max="18" width="8.08203125" style="1" customWidth="1"/>
    <col min="19" max="19" width="4.6640625" style="1" customWidth="1"/>
    <col min="20" max="20" width="8.08203125" style="1" customWidth="1"/>
    <col min="21" max="21" width="4.6640625" style="1" customWidth="1"/>
    <col min="22" max="32" width="7.83203125" style="1" customWidth="1"/>
    <col min="33" max="33" width="4.83203125" style="1" customWidth="1"/>
    <col min="34" max="85" width="4.83203125" style="3" customWidth="1"/>
    <col min="86" max="101" width="8.9140625" style="3"/>
  </cols>
  <sheetData>
    <row r="2" spans="1:33" x14ac:dyDescent="0.25">
      <c r="D2" s="15">
        <f>SUM(D4:D95)</f>
        <v>13</v>
      </c>
      <c r="E2" s="15">
        <f>SUM(E4:E95)</f>
        <v>11</v>
      </c>
      <c r="F2" s="15">
        <f>SUM(F4:F95)</f>
        <v>16</v>
      </c>
      <c r="G2" s="15">
        <f>SUM(G4:G95)</f>
        <v>23</v>
      </c>
      <c r="H2" s="15">
        <f>SUM(H4:H95)</f>
        <v>6</v>
      </c>
    </row>
    <row r="3" spans="1:33" x14ac:dyDescent="0.25">
      <c r="A3" s="2" t="s">
        <v>239</v>
      </c>
      <c r="B3" s="2" t="s">
        <v>6</v>
      </c>
      <c r="C3" s="2" t="s">
        <v>76</v>
      </c>
      <c r="D3" s="2" t="s">
        <v>80</v>
      </c>
      <c r="E3" s="2" t="s">
        <v>1</v>
      </c>
      <c r="F3" s="2" t="s">
        <v>2</v>
      </c>
      <c r="G3" s="4" t="s">
        <v>0</v>
      </c>
      <c r="H3" s="4" t="s">
        <v>130</v>
      </c>
      <c r="I3" s="4" t="s">
        <v>114</v>
      </c>
      <c r="J3" s="16"/>
      <c r="K3" s="4" t="s">
        <v>49</v>
      </c>
      <c r="L3" s="21" t="s">
        <v>82</v>
      </c>
      <c r="M3" s="21"/>
      <c r="N3" s="22" t="s">
        <v>85</v>
      </c>
      <c r="O3" s="22"/>
      <c r="P3" s="23" t="s">
        <v>84</v>
      </c>
      <c r="Q3" s="23"/>
      <c r="R3" s="24" t="s">
        <v>88</v>
      </c>
      <c r="S3" s="24"/>
      <c r="T3" s="25" t="s">
        <v>81</v>
      </c>
      <c r="U3" s="25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x14ac:dyDescent="0.25">
      <c r="A4" s="2">
        <f>종합Sheet!A26</f>
        <v>23</v>
      </c>
      <c r="B4" s="2" t="str">
        <f>종합Sheet!B26</f>
        <v>김성준</v>
      </c>
      <c r="C4" s="2">
        <f t="shared" ref="C4:C35" si="0">((D4+E4+G4+H4)*0.2)+(F4*0.3)</f>
        <v>1.4</v>
      </c>
      <c r="D4" s="14">
        <f>COUNTIF(경기기록Sheet!$E:$H,B4)</f>
        <v>1</v>
      </c>
      <c r="E4" s="14">
        <f>COUNTIF(경기기록Sheet!$I:$L,B4)</f>
        <v>1</v>
      </c>
      <c r="F4" s="14">
        <f>COUNTIF(경기기록Sheet!$M:$P,B4)</f>
        <v>2</v>
      </c>
      <c r="G4" s="14">
        <f>COUNTIF(경기기록Sheet!$Q:$U,B4)</f>
        <v>2</v>
      </c>
      <c r="H4" s="14">
        <f>COUNTIF(경기기록Sheet!$V:$V,B4)</f>
        <v>0</v>
      </c>
      <c r="I4" s="14">
        <f t="shared" ref="I4:I35" si="1">SUM(D4:H4)</f>
        <v>6</v>
      </c>
      <c r="J4" s="15"/>
      <c r="K4" s="2">
        <v>1</v>
      </c>
      <c r="L4" s="32" t="s">
        <v>224</v>
      </c>
      <c r="M4" s="21">
        <f t="shared" ref="M4:M13" si="2">VLOOKUP(L4,$B$4:$H$141,3,FALSE)</f>
        <v>2</v>
      </c>
      <c r="N4" s="34" t="s">
        <v>360</v>
      </c>
      <c r="O4" s="22">
        <f t="shared" ref="O4:O13" si="3">VLOOKUP(N4,$B$4:$H$141,4,FALSE)</f>
        <v>2</v>
      </c>
      <c r="P4" s="35" t="s">
        <v>224</v>
      </c>
      <c r="Q4" s="23">
        <f t="shared" ref="Q4:Q13" si="4">VLOOKUP(P4,$B$4:$H$141,5,FALSE)</f>
        <v>2</v>
      </c>
      <c r="R4" s="36" t="s">
        <v>326</v>
      </c>
      <c r="S4" s="56">
        <f t="shared" ref="S4:S13" si="5">VLOOKUP(R4,$B$4:$H$141,6,FALSE)</f>
        <v>4</v>
      </c>
      <c r="T4" s="37" t="s">
        <v>229</v>
      </c>
      <c r="U4" s="57">
        <f t="shared" ref="U4:U13" si="6">VLOOKUP(T4,$B$4:$H$141,7,FALSE)</f>
        <v>2</v>
      </c>
    </row>
    <row r="5" spans="1:33" x14ac:dyDescent="0.25">
      <c r="A5" s="2">
        <f>종합Sheet!A61</f>
        <v>58</v>
      </c>
      <c r="B5" s="2" t="str">
        <f>종합Sheet!B61</f>
        <v>오우영</v>
      </c>
      <c r="C5" s="2">
        <f t="shared" si="0"/>
        <v>1</v>
      </c>
      <c r="D5" s="14">
        <f>COUNTIF(경기기록Sheet!$E:$H,B5)</f>
        <v>0</v>
      </c>
      <c r="E5" s="14">
        <f>COUNTIF(경기기록Sheet!$I:$L,B5)</f>
        <v>2</v>
      </c>
      <c r="F5" s="14">
        <f>COUNTIF(경기기록Sheet!$M:$P,B5)</f>
        <v>2</v>
      </c>
      <c r="G5" s="14">
        <f>COUNTIF(경기기록Sheet!$Q:$U,B5)</f>
        <v>0</v>
      </c>
      <c r="H5" s="14">
        <f>COUNTIF(경기기록Sheet!$V:$V,B5)</f>
        <v>0</v>
      </c>
      <c r="I5" s="14">
        <f t="shared" si="1"/>
        <v>4</v>
      </c>
      <c r="J5" s="15"/>
      <c r="K5" s="2">
        <v>2</v>
      </c>
      <c r="L5" s="32" t="s">
        <v>229</v>
      </c>
      <c r="M5" s="21">
        <f t="shared" si="2"/>
        <v>2</v>
      </c>
      <c r="N5" s="34" t="s">
        <v>315</v>
      </c>
      <c r="O5" s="22">
        <f t="shared" si="3"/>
        <v>2</v>
      </c>
      <c r="P5" s="35" t="s">
        <v>222</v>
      </c>
      <c r="Q5" s="23">
        <f t="shared" si="4"/>
        <v>2</v>
      </c>
      <c r="R5" s="36" t="s">
        <v>231</v>
      </c>
      <c r="S5" s="56">
        <f t="shared" si="5"/>
        <v>3</v>
      </c>
      <c r="T5" s="37" t="s">
        <v>361</v>
      </c>
      <c r="U5" s="57">
        <f t="shared" si="6"/>
        <v>2</v>
      </c>
    </row>
    <row r="6" spans="1:33" x14ac:dyDescent="0.25">
      <c r="A6" s="2">
        <f>종합Sheet!A45</f>
        <v>42</v>
      </c>
      <c r="B6" s="2" t="str">
        <f>종합Sheet!B45</f>
        <v>노민준</v>
      </c>
      <c r="C6" s="2">
        <f t="shared" si="0"/>
        <v>1</v>
      </c>
      <c r="D6" s="14">
        <f>COUNTIF(경기기록Sheet!$E:$H,B6)</f>
        <v>0</v>
      </c>
      <c r="E6" s="14">
        <f>COUNTIF(경기기록Sheet!$I:$L,B6)</f>
        <v>1</v>
      </c>
      <c r="F6" s="14">
        <f>COUNTIF(경기기록Sheet!$M:$P,B6)</f>
        <v>0</v>
      </c>
      <c r="G6" s="14">
        <f>COUNTIF(경기기록Sheet!$Q:$U,B6)</f>
        <v>2</v>
      </c>
      <c r="H6" s="14">
        <f>COUNTIF(경기기록Sheet!$V:$V,B6)</f>
        <v>2</v>
      </c>
      <c r="I6" s="14">
        <f t="shared" si="1"/>
        <v>5</v>
      </c>
      <c r="J6" s="15"/>
      <c r="K6" s="2">
        <v>3</v>
      </c>
      <c r="L6" s="32" t="s">
        <v>366</v>
      </c>
      <c r="M6" s="21">
        <f t="shared" si="2"/>
        <v>2</v>
      </c>
      <c r="N6" s="34" t="s">
        <v>50</v>
      </c>
      <c r="O6" s="22">
        <f t="shared" si="3"/>
        <v>1</v>
      </c>
      <c r="P6" s="35" t="s">
        <v>64</v>
      </c>
      <c r="Q6" s="23">
        <f t="shared" si="4"/>
        <v>2</v>
      </c>
      <c r="R6" s="36" t="s">
        <v>222</v>
      </c>
      <c r="S6" s="56">
        <f t="shared" si="5"/>
        <v>2</v>
      </c>
      <c r="T6" s="37" t="s">
        <v>64</v>
      </c>
      <c r="U6" s="57">
        <f t="shared" si="6"/>
        <v>1</v>
      </c>
    </row>
    <row r="7" spans="1:33" x14ac:dyDescent="0.25">
      <c r="A7" s="2">
        <f>종합Sheet!A11</f>
        <v>8</v>
      </c>
      <c r="B7" s="2" t="str">
        <f>종합Sheet!B11</f>
        <v>강기혁</v>
      </c>
      <c r="C7" s="2">
        <f t="shared" si="0"/>
        <v>1</v>
      </c>
      <c r="D7" s="14">
        <f>COUNTIF(경기기록Sheet!$E:$H,B7)</f>
        <v>2</v>
      </c>
      <c r="E7" s="14">
        <f>COUNTIF(경기기록Sheet!$I:$L,B7)</f>
        <v>0</v>
      </c>
      <c r="F7" s="14">
        <f>COUNTIF(경기기록Sheet!$M:$P,B7)</f>
        <v>2</v>
      </c>
      <c r="G7" s="14">
        <f>COUNTIF(경기기록Sheet!$Q:$U,B7)</f>
        <v>0</v>
      </c>
      <c r="H7" s="14">
        <f>COUNTIF(경기기록Sheet!$V:$V,B7)</f>
        <v>0</v>
      </c>
      <c r="I7" s="14">
        <f t="shared" si="1"/>
        <v>4</v>
      </c>
      <c r="J7" s="15"/>
      <c r="K7" s="2">
        <v>4</v>
      </c>
      <c r="L7" s="32" t="s">
        <v>368</v>
      </c>
      <c r="M7" s="21">
        <f t="shared" si="2"/>
        <v>1</v>
      </c>
      <c r="N7" s="34" t="s">
        <v>222</v>
      </c>
      <c r="O7" s="22">
        <f t="shared" si="3"/>
        <v>1</v>
      </c>
      <c r="P7" s="35" t="s">
        <v>53</v>
      </c>
      <c r="Q7" s="23">
        <f t="shared" si="4"/>
        <v>2</v>
      </c>
      <c r="R7" s="36" t="s">
        <v>361</v>
      </c>
      <c r="S7" s="56">
        <f t="shared" si="5"/>
        <v>2</v>
      </c>
      <c r="T7" s="37" t="s">
        <v>327</v>
      </c>
      <c r="U7" s="57">
        <f t="shared" si="6"/>
        <v>1</v>
      </c>
    </row>
    <row r="8" spans="1:33" x14ac:dyDescent="0.25">
      <c r="A8" s="2">
        <f>종합Sheet!A32</f>
        <v>29</v>
      </c>
      <c r="B8" s="2" t="str">
        <f>종합Sheet!B32</f>
        <v>김용현</v>
      </c>
      <c r="C8" s="2">
        <f t="shared" si="0"/>
        <v>0.8</v>
      </c>
      <c r="D8" s="14">
        <f>COUNTIF(경기기록Sheet!$E:$H,B8)</f>
        <v>0</v>
      </c>
      <c r="E8" s="14">
        <f>COUNTIF(경기기록Sheet!$I:$L,B8)</f>
        <v>1</v>
      </c>
      <c r="F8" s="14">
        <f>COUNTIF(경기기록Sheet!$M:$P,B8)</f>
        <v>2</v>
      </c>
      <c r="G8" s="14">
        <f>COUNTIF(경기기록Sheet!$Q:$U,B8)</f>
        <v>0</v>
      </c>
      <c r="H8" s="14">
        <f>COUNTIF(경기기록Sheet!$V:$V,B8)</f>
        <v>0</v>
      </c>
      <c r="I8" s="14">
        <f t="shared" si="1"/>
        <v>3</v>
      </c>
      <c r="J8" s="15"/>
      <c r="K8" s="2">
        <v>5</v>
      </c>
      <c r="L8" s="32" t="s">
        <v>222</v>
      </c>
      <c r="M8" s="21">
        <f t="shared" si="2"/>
        <v>1</v>
      </c>
      <c r="N8" s="34" t="s">
        <v>53</v>
      </c>
      <c r="O8" s="22">
        <f t="shared" si="3"/>
        <v>1</v>
      </c>
      <c r="P8" s="35" t="s">
        <v>369</v>
      </c>
      <c r="Q8" s="23">
        <f t="shared" si="4"/>
        <v>2</v>
      </c>
      <c r="R8" s="36" t="s">
        <v>242</v>
      </c>
      <c r="S8" s="56">
        <f t="shared" si="5"/>
        <v>2</v>
      </c>
      <c r="T8" s="37"/>
      <c r="U8" s="57" t="e">
        <f t="shared" si="6"/>
        <v>#N/A</v>
      </c>
    </row>
    <row r="9" spans="1:33" x14ac:dyDescent="0.25">
      <c r="A9" s="2">
        <f>종합Sheet!A95</f>
        <v>92</v>
      </c>
      <c r="B9" s="2" t="str">
        <f>종합Sheet!B95</f>
        <v>조진한</v>
      </c>
      <c r="C9" s="2">
        <f t="shared" si="0"/>
        <v>0.8</v>
      </c>
      <c r="D9" s="14">
        <f>COUNTIF(경기기록Sheet!$E:$H,B9)</f>
        <v>0</v>
      </c>
      <c r="E9" s="14">
        <f>COUNTIF(경기기록Sheet!$I:$L,B9)</f>
        <v>1</v>
      </c>
      <c r="F9" s="14">
        <f>COUNTIF(경기기록Sheet!$M:$P,B9)</f>
        <v>2</v>
      </c>
      <c r="G9" s="14">
        <f>COUNTIF(경기기록Sheet!$Q:$U,B9)</f>
        <v>0</v>
      </c>
      <c r="H9" s="14">
        <f>COUNTIF(경기기록Sheet!$V:$V,B9)</f>
        <v>0</v>
      </c>
      <c r="I9" s="14">
        <f t="shared" si="1"/>
        <v>3</v>
      </c>
      <c r="J9" s="15"/>
      <c r="K9" s="2">
        <v>6</v>
      </c>
      <c r="L9" s="32" t="s">
        <v>360</v>
      </c>
      <c r="M9" s="21">
        <f t="shared" si="2"/>
        <v>1</v>
      </c>
      <c r="N9" s="34" t="s">
        <v>357</v>
      </c>
      <c r="O9" s="22">
        <f t="shared" si="3"/>
        <v>1</v>
      </c>
      <c r="P9" s="35" t="s">
        <v>315</v>
      </c>
      <c r="Q9" s="23">
        <f t="shared" si="4"/>
        <v>2</v>
      </c>
      <c r="R9" s="36" t="s">
        <v>327</v>
      </c>
      <c r="S9" s="56">
        <f t="shared" si="5"/>
        <v>2</v>
      </c>
      <c r="T9" s="37"/>
      <c r="U9" s="57" t="e">
        <f t="shared" si="6"/>
        <v>#N/A</v>
      </c>
    </row>
    <row r="10" spans="1:33" x14ac:dyDescent="0.25">
      <c r="A10" s="2">
        <f>종합Sheet!A27</f>
        <v>24</v>
      </c>
      <c r="B10" s="2" t="str">
        <f>종합Sheet!B27</f>
        <v>김송환</v>
      </c>
      <c r="C10" s="2">
        <f t="shared" si="0"/>
        <v>0.8</v>
      </c>
      <c r="D10" s="14">
        <f>COUNTIF(경기기록Sheet!$E:$H,B10)</f>
        <v>0</v>
      </c>
      <c r="E10" s="14">
        <f>COUNTIF(경기기록Sheet!$I:$L,B10)</f>
        <v>0</v>
      </c>
      <c r="F10" s="14">
        <f>COUNTIF(경기기록Sheet!$M:$P,B10)</f>
        <v>2</v>
      </c>
      <c r="G10" s="14">
        <f>COUNTIF(경기기록Sheet!$Q:$U,B10)</f>
        <v>0</v>
      </c>
      <c r="H10" s="14">
        <f>COUNTIF(경기기록Sheet!$V:$V,B10)</f>
        <v>1</v>
      </c>
      <c r="I10" s="14">
        <f t="shared" si="1"/>
        <v>3</v>
      </c>
      <c r="J10" s="15"/>
      <c r="K10" s="2">
        <v>7</v>
      </c>
      <c r="L10" s="32" t="s">
        <v>357</v>
      </c>
      <c r="M10" s="21">
        <f t="shared" si="2"/>
        <v>1</v>
      </c>
      <c r="N10" s="34" t="s">
        <v>361</v>
      </c>
      <c r="O10" s="22">
        <f t="shared" si="3"/>
        <v>1</v>
      </c>
      <c r="P10" s="35" t="s">
        <v>306</v>
      </c>
      <c r="Q10" s="23">
        <f t="shared" si="4"/>
        <v>2</v>
      </c>
      <c r="R10" s="36" t="s">
        <v>62</v>
      </c>
      <c r="S10" s="56">
        <f t="shared" si="5"/>
        <v>2</v>
      </c>
      <c r="T10" s="37"/>
      <c r="U10" s="57" t="e">
        <f t="shared" si="6"/>
        <v>#N/A</v>
      </c>
    </row>
    <row r="11" spans="1:33" x14ac:dyDescent="0.25">
      <c r="A11" s="2">
        <f>종합Sheet!A97</f>
        <v>94</v>
      </c>
      <c r="B11" s="2" t="str">
        <f>종합Sheet!B97</f>
        <v>차승원</v>
      </c>
      <c r="C11" s="2">
        <f t="shared" si="0"/>
        <v>0.8</v>
      </c>
      <c r="D11" s="14">
        <f>COUNTIF(경기기록Sheet!$E:$H,B11)</f>
        <v>0</v>
      </c>
      <c r="E11" s="14">
        <f>COUNTIF(경기기록Sheet!$I:$L,B11)</f>
        <v>0</v>
      </c>
      <c r="F11" s="14">
        <f>COUNTIF(경기기록Sheet!$M:$P,B11)</f>
        <v>0</v>
      </c>
      <c r="G11" s="14">
        <f>COUNTIF(경기기록Sheet!$Q:$U,B11)</f>
        <v>4</v>
      </c>
      <c r="H11" s="14">
        <f>COUNTIF(경기기록Sheet!$V:$V,B11)</f>
        <v>0</v>
      </c>
      <c r="I11" s="14">
        <f t="shared" si="1"/>
        <v>4</v>
      </c>
      <c r="J11" s="15"/>
      <c r="K11" s="2">
        <v>8</v>
      </c>
      <c r="L11" s="32" t="s">
        <v>242</v>
      </c>
      <c r="M11" s="21">
        <f t="shared" si="2"/>
        <v>1</v>
      </c>
      <c r="N11" s="34" t="s">
        <v>367</v>
      </c>
      <c r="O11" s="22">
        <f t="shared" si="3"/>
        <v>1</v>
      </c>
      <c r="P11" s="35"/>
      <c r="Q11" s="23" t="e">
        <f t="shared" si="4"/>
        <v>#N/A</v>
      </c>
      <c r="R11" s="36" t="s">
        <v>359</v>
      </c>
      <c r="S11" s="56">
        <f t="shared" si="5"/>
        <v>2</v>
      </c>
      <c r="T11" s="37"/>
      <c r="U11" s="57" t="e">
        <f t="shared" si="6"/>
        <v>#N/A</v>
      </c>
    </row>
    <row r="12" spans="1:33" x14ac:dyDescent="0.25">
      <c r="A12" s="2">
        <f>종합Sheet!A33</f>
        <v>30</v>
      </c>
      <c r="B12" s="2" t="str">
        <f>종합Sheet!B33</f>
        <v>김우인</v>
      </c>
      <c r="C12" s="2">
        <f t="shared" si="0"/>
        <v>0.8</v>
      </c>
      <c r="D12" s="14">
        <f>COUNTIF(경기기록Sheet!$E:$H,B12)</f>
        <v>2</v>
      </c>
      <c r="E12" s="14">
        <f>COUNTIF(경기기록Sheet!$I:$L,B12)</f>
        <v>0</v>
      </c>
      <c r="F12" s="14">
        <f>COUNTIF(경기기록Sheet!$M:$P,B12)</f>
        <v>0</v>
      </c>
      <c r="G12" s="14">
        <f>COUNTIF(경기기록Sheet!$Q:$U,B12)</f>
        <v>0</v>
      </c>
      <c r="H12" s="14">
        <f>COUNTIF(경기기록Sheet!$V:$V,B12)</f>
        <v>2</v>
      </c>
      <c r="I12" s="14">
        <f t="shared" si="1"/>
        <v>4</v>
      </c>
      <c r="J12" s="15"/>
      <c r="K12" s="2">
        <v>9</v>
      </c>
      <c r="L12" s="32" t="s">
        <v>362</v>
      </c>
      <c r="M12" s="21">
        <f t="shared" si="2"/>
        <v>1</v>
      </c>
      <c r="N12" s="34" t="s">
        <v>306</v>
      </c>
      <c r="O12" s="22">
        <f t="shared" si="3"/>
        <v>1</v>
      </c>
      <c r="P12" s="35"/>
      <c r="Q12" s="23" t="e">
        <f t="shared" si="4"/>
        <v>#N/A</v>
      </c>
      <c r="R12" s="36" t="s">
        <v>304</v>
      </c>
      <c r="S12" s="56">
        <f t="shared" si="5"/>
        <v>2</v>
      </c>
      <c r="T12" s="37"/>
      <c r="U12" s="57" t="e">
        <f t="shared" si="6"/>
        <v>#N/A</v>
      </c>
    </row>
    <row r="13" spans="1:33" x14ac:dyDescent="0.25">
      <c r="A13" s="2">
        <f>종합Sheet!A71</f>
        <v>68</v>
      </c>
      <c r="B13" s="2" t="str">
        <f>종합Sheet!B71</f>
        <v>윤현기</v>
      </c>
      <c r="C13" s="2">
        <f t="shared" si="0"/>
        <v>0.7</v>
      </c>
      <c r="D13" s="14">
        <f>COUNTIF(경기기록Sheet!$E:$H,B13)</f>
        <v>2</v>
      </c>
      <c r="E13" s="14">
        <f>COUNTIF(경기기록Sheet!$I:$L,B13)</f>
        <v>0</v>
      </c>
      <c r="F13" s="14">
        <f>COUNTIF(경기기록Sheet!$M:$P,B13)</f>
        <v>1</v>
      </c>
      <c r="G13" s="14">
        <f>COUNTIF(경기기록Sheet!$Q:$U,B13)</f>
        <v>0</v>
      </c>
      <c r="H13" s="14">
        <f>COUNTIF(경기기록Sheet!$V:$V,B13)</f>
        <v>0</v>
      </c>
      <c r="I13" s="14">
        <f t="shared" si="1"/>
        <v>3</v>
      </c>
      <c r="J13" s="15"/>
      <c r="K13" s="2">
        <v>10</v>
      </c>
      <c r="L13" s="32" t="s">
        <v>359</v>
      </c>
      <c r="M13" s="21">
        <f t="shared" si="2"/>
        <v>1</v>
      </c>
      <c r="N13" s="34"/>
      <c r="O13" s="22" t="e">
        <f t="shared" si="3"/>
        <v>#N/A</v>
      </c>
      <c r="P13" s="35"/>
      <c r="Q13" s="23" t="e">
        <f t="shared" si="4"/>
        <v>#N/A</v>
      </c>
      <c r="R13" s="36" t="s">
        <v>363</v>
      </c>
      <c r="S13" s="56">
        <f t="shared" si="5"/>
        <v>1</v>
      </c>
      <c r="T13" s="37"/>
      <c r="U13" s="57" t="e">
        <f t="shared" si="6"/>
        <v>#N/A</v>
      </c>
    </row>
    <row r="14" spans="1:33" x14ac:dyDescent="0.25">
      <c r="A14" s="2">
        <f>종합Sheet!A35</f>
        <v>32</v>
      </c>
      <c r="B14" s="2" t="str">
        <f>종합Sheet!B35</f>
        <v>김종혁</v>
      </c>
      <c r="C14" s="2">
        <f t="shared" si="0"/>
        <v>0.60000000000000009</v>
      </c>
      <c r="D14" s="14">
        <f>COUNTIF(경기기록Sheet!$E:$H,B14)</f>
        <v>1</v>
      </c>
      <c r="E14" s="14">
        <f>COUNTIF(경기기록Sheet!$I:$L,B14)</f>
        <v>2</v>
      </c>
      <c r="F14" s="14">
        <f>COUNTIF(경기기록Sheet!$M:$P,B14)</f>
        <v>0</v>
      </c>
      <c r="G14" s="14">
        <f>COUNTIF(경기기록Sheet!$Q:$U,B14)</f>
        <v>0</v>
      </c>
      <c r="H14" s="14">
        <f>COUNTIF(경기기록Sheet!$V:$V,B14)</f>
        <v>0</v>
      </c>
      <c r="I14" s="14">
        <f t="shared" si="1"/>
        <v>3</v>
      </c>
      <c r="J14" s="15"/>
      <c r="N14" s="33"/>
      <c r="P14" s="33"/>
      <c r="T14" s="33"/>
    </row>
    <row r="15" spans="1:33" x14ac:dyDescent="0.25">
      <c r="A15" s="2">
        <f>종합Sheet!A65</f>
        <v>62</v>
      </c>
      <c r="B15" s="2" t="str">
        <f>종합Sheet!B65</f>
        <v>유상근</v>
      </c>
      <c r="C15" s="2">
        <f t="shared" si="0"/>
        <v>0.60000000000000009</v>
      </c>
      <c r="D15" s="14">
        <f>COUNTIF(경기기록Sheet!$E:$H,B15)</f>
        <v>0</v>
      </c>
      <c r="E15" s="14">
        <f>COUNTIF(경기기록Sheet!$I:$L,B15)</f>
        <v>0</v>
      </c>
      <c r="F15" s="14">
        <f>COUNTIF(경기기록Sheet!$M:$P,B15)</f>
        <v>0</v>
      </c>
      <c r="G15" s="14">
        <f>COUNTIF(경기기록Sheet!$Q:$U,B15)</f>
        <v>2</v>
      </c>
      <c r="H15" s="14">
        <f>COUNTIF(경기기록Sheet!$V:$V,B15)</f>
        <v>1</v>
      </c>
      <c r="I15" s="14">
        <f t="shared" si="1"/>
        <v>3</v>
      </c>
      <c r="J15" s="15"/>
    </row>
    <row r="16" spans="1:33" x14ac:dyDescent="0.25">
      <c r="A16" s="2">
        <f>종합Sheet!A93</f>
        <v>90</v>
      </c>
      <c r="B16" s="2" t="str">
        <f>종합Sheet!B93</f>
        <v>정민수</v>
      </c>
      <c r="C16" s="2">
        <f t="shared" si="0"/>
        <v>0.60000000000000009</v>
      </c>
      <c r="D16" s="14">
        <f>COUNTIF(경기기록Sheet!$E:$H,B16)</f>
        <v>0</v>
      </c>
      <c r="E16" s="14">
        <f>COUNTIF(경기기록Sheet!$I:$L,B16)</f>
        <v>0</v>
      </c>
      <c r="F16" s="14">
        <f>COUNTIF(경기기록Sheet!$M:$P,B16)</f>
        <v>0</v>
      </c>
      <c r="G16" s="14">
        <f>COUNTIF(경기기록Sheet!$Q:$U,B16)</f>
        <v>3</v>
      </c>
      <c r="H16" s="14">
        <f>COUNTIF(경기기록Sheet!$V:$V,B16)</f>
        <v>0</v>
      </c>
      <c r="I16" s="14">
        <f t="shared" si="1"/>
        <v>3</v>
      </c>
      <c r="J16" s="15"/>
    </row>
    <row r="17" spans="1:10" x14ac:dyDescent="0.25">
      <c r="A17" s="2">
        <f>종합Sheet!A51</f>
        <v>48</v>
      </c>
      <c r="B17" s="2" t="str">
        <f>종합Sheet!B51</f>
        <v>박주연</v>
      </c>
      <c r="C17" s="2">
        <f t="shared" si="0"/>
        <v>0.60000000000000009</v>
      </c>
      <c r="D17" s="14">
        <f>COUNTIF(경기기록Sheet!$E:$H,B17)</f>
        <v>1</v>
      </c>
      <c r="E17" s="14">
        <f>COUNTIF(경기기록Sheet!$I:$L,B17)</f>
        <v>0</v>
      </c>
      <c r="F17" s="14">
        <f>COUNTIF(경기기록Sheet!$M:$P,B17)</f>
        <v>0</v>
      </c>
      <c r="G17" s="14">
        <f>COUNTIF(경기기록Sheet!$Q:$U,B17)</f>
        <v>2</v>
      </c>
      <c r="H17" s="14">
        <f>COUNTIF(경기기록Sheet!$V:$V,B17)</f>
        <v>0</v>
      </c>
      <c r="I17" s="14">
        <f t="shared" si="1"/>
        <v>3</v>
      </c>
      <c r="J17" s="15"/>
    </row>
    <row r="18" spans="1:10" x14ac:dyDescent="0.25">
      <c r="A18" s="2">
        <f>종합Sheet!A100</f>
        <v>97</v>
      </c>
      <c r="B18" s="2" t="str">
        <f>종합Sheet!B100</f>
        <v>한상규</v>
      </c>
      <c r="C18" s="2">
        <f t="shared" si="0"/>
        <v>0.60000000000000009</v>
      </c>
      <c r="D18" s="14">
        <f>COUNTIF(경기기록Sheet!$E:$H,B18)</f>
        <v>1</v>
      </c>
      <c r="E18" s="14">
        <f>COUNTIF(경기기록Sheet!$I:$L,B18)</f>
        <v>0</v>
      </c>
      <c r="F18" s="14">
        <f>COUNTIF(경기기록Sheet!$M:$P,B18)</f>
        <v>0</v>
      </c>
      <c r="G18" s="14">
        <f>COUNTIF(경기기록Sheet!$Q:$U,B18)</f>
        <v>2</v>
      </c>
      <c r="H18" s="14">
        <f>COUNTIF(경기기록Sheet!$V:$V,B18)</f>
        <v>0</v>
      </c>
      <c r="I18" s="14">
        <f t="shared" si="1"/>
        <v>3</v>
      </c>
      <c r="J18" s="15"/>
    </row>
    <row r="19" spans="1:10" x14ac:dyDescent="0.25">
      <c r="A19" s="2">
        <f>종합Sheet!A56</f>
        <v>53</v>
      </c>
      <c r="B19" s="2" t="str">
        <f>종합Sheet!B56</f>
        <v>송윤상</v>
      </c>
      <c r="C19" s="2">
        <f t="shared" si="0"/>
        <v>0.6</v>
      </c>
      <c r="D19" s="14">
        <f>COUNTIF(경기기록Sheet!$E:$H,B19)</f>
        <v>0</v>
      </c>
      <c r="E19" s="14">
        <f>COUNTIF(경기기록Sheet!$I:$L,B19)</f>
        <v>0</v>
      </c>
      <c r="F19" s="14">
        <f>COUNTIF(경기기록Sheet!$M:$P,B19)</f>
        <v>2</v>
      </c>
      <c r="G19" s="14">
        <f>COUNTIF(경기기록Sheet!$Q:$U,B19)</f>
        <v>0</v>
      </c>
      <c r="H19" s="14">
        <f>COUNTIF(경기기록Sheet!$V:$V,B19)</f>
        <v>0</v>
      </c>
      <c r="I19" s="14">
        <f t="shared" si="1"/>
        <v>2</v>
      </c>
      <c r="J19" s="15"/>
    </row>
    <row r="20" spans="1:10" x14ac:dyDescent="0.25">
      <c r="A20" s="2">
        <f>종합Sheet!A39</f>
        <v>36</v>
      </c>
      <c r="B20" s="2" t="str">
        <f>종합Sheet!B39</f>
        <v>김진호</v>
      </c>
      <c r="C20" s="2">
        <f t="shared" si="0"/>
        <v>0.4</v>
      </c>
      <c r="D20" s="14">
        <f>COUNTIF(경기기록Sheet!$E:$H,B20)</f>
        <v>1</v>
      </c>
      <c r="E20" s="14">
        <f>COUNTIF(경기기록Sheet!$I:$L,B20)</f>
        <v>1</v>
      </c>
      <c r="F20" s="14">
        <f>COUNTIF(경기기록Sheet!$M:$P,B20)</f>
        <v>0</v>
      </c>
      <c r="G20" s="14">
        <f>COUNTIF(경기기록Sheet!$Q:$U,B20)</f>
        <v>0</v>
      </c>
      <c r="H20" s="14">
        <f>COUNTIF(경기기록Sheet!$V:$V,B20)</f>
        <v>0</v>
      </c>
      <c r="I20" s="14">
        <f t="shared" si="1"/>
        <v>2</v>
      </c>
      <c r="J20" s="15"/>
    </row>
    <row r="21" spans="1:10" x14ac:dyDescent="0.25">
      <c r="A21" s="2">
        <f>종합Sheet!A96</f>
        <v>93</v>
      </c>
      <c r="B21" s="2" t="str">
        <f>종합Sheet!B96</f>
        <v>조현우</v>
      </c>
      <c r="C21" s="2">
        <f t="shared" si="0"/>
        <v>0.4</v>
      </c>
      <c r="D21" s="14">
        <f>COUNTIF(경기기록Sheet!$E:$H,B21)</f>
        <v>0</v>
      </c>
      <c r="E21" s="14">
        <f>COUNTIF(경기기록Sheet!$I:$L,B21)</f>
        <v>0</v>
      </c>
      <c r="F21" s="14">
        <f>COUNTIF(경기기록Sheet!$M:$P,B21)</f>
        <v>0</v>
      </c>
      <c r="G21" s="14">
        <f>COUNTIF(경기기록Sheet!$Q:$U,B21)</f>
        <v>2</v>
      </c>
      <c r="H21" s="14">
        <f>COUNTIF(경기기록Sheet!$V:$V,B21)</f>
        <v>0</v>
      </c>
      <c r="I21" s="14">
        <f t="shared" si="1"/>
        <v>2</v>
      </c>
      <c r="J21" s="15"/>
    </row>
    <row r="22" spans="1:10" x14ac:dyDescent="0.25">
      <c r="A22" s="2">
        <f>종합Sheet!A106</f>
        <v>103</v>
      </c>
      <c r="B22" s="2" t="str">
        <f>종합Sheet!B106</f>
        <v>황석원</v>
      </c>
      <c r="C22" s="2">
        <f t="shared" si="0"/>
        <v>0.4</v>
      </c>
      <c r="D22" s="14">
        <f>COUNTIF(경기기록Sheet!$E:$H,B22)</f>
        <v>0</v>
      </c>
      <c r="E22" s="14">
        <f>COUNTIF(경기기록Sheet!$I:$L,B22)</f>
        <v>0</v>
      </c>
      <c r="F22" s="14">
        <f>COUNTIF(경기기록Sheet!$M:$P,B22)</f>
        <v>0</v>
      </c>
      <c r="G22" s="14">
        <f>COUNTIF(경기기록Sheet!$Q:$U,B22)</f>
        <v>2</v>
      </c>
      <c r="H22" s="14">
        <f>COUNTIF(경기기록Sheet!$V:$V,B22)</f>
        <v>0</v>
      </c>
      <c r="I22" s="14">
        <f t="shared" si="1"/>
        <v>2</v>
      </c>
      <c r="J22" s="15"/>
    </row>
    <row r="23" spans="1:10" x14ac:dyDescent="0.25">
      <c r="A23" s="2">
        <f>종합Sheet!A75</f>
        <v>72</v>
      </c>
      <c r="B23" s="2" t="str">
        <f>종합Sheet!B75</f>
        <v>이상민</v>
      </c>
      <c r="C23" s="2">
        <f t="shared" si="0"/>
        <v>0.4</v>
      </c>
      <c r="D23" s="14">
        <f>COUNTIF(경기기록Sheet!$E:$H,B23)</f>
        <v>1</v>
      </c>
      <c r="E23" s="14">
        <f>COUNTIF(경기기록Sheet!$I:$L,B23)</f>
        <v>0</v>
      </c>
      <c r="F23" s="14">
        <f>COUNTIF(경기기록Sheet!$M:$P,B23)</f>
        <v>0</v>
      </c>
      <c r="G23" s="14">
        <f>COUNTIF(경기기록Sheet!$Q:$U,B23)</f>
        <v>1</v>
      </c>
      <c r="H23" s="14">
        <f>COUNTIF(경기기록Sheet!$V:$V,B23)</f>
        <v>0</v>
      </c>
      <c r="I23" s="14">
        <f t="shared" si="1"/>
        <v>2</v>
      </c>
      <c r="J23" s="15"/>
    </row>
    <row r="24" spans="1:10" x14ac:dyDescent="0.25">
      <c r="A24" s="2">
        <f>종합Sheet!A10</f>
        <v>7</v>
      </c>
      <c r="B24" s="2" t="str">
        <f>종합Sheet!B10</f>
        <v>강관석</v>
      </c>
      <c r="C24" s="2">
        <f t="shared" si="0"/>
        <v>0.3</v>
      </c>
      <c r="D24" s="14">
        <f>COUNTIF(경기기록Sheet!$E:$H,B24)</f>
        <v>0</v>
      </c>
      <c r="E24" s="14">
        <f>COUNTIF(경기기록Sheet!$I:$L,B24)</f>
        <v>0</v>
      </c>
      <c r="F24" s="14">
        <f>COUNTIF(경기기록Sheet!$M:$P,B24)</f>
        <v>1</v>
      </c>
      <c r="G24" s="14">
        <f>COUNTIF(경기기록Sheet!$Q:$U,B24)</f>
        <v>0</v>
      </c>
      <c r="H24" s="14">
        <f>COUNTIF(경기기록Sheet!$V:$V,B24)</f>
        <v>0</v>
      </c>
      <c r="I24" s="14">
        <f t="shared" si="1"/>
        <v>1</v>
      </c>
      <c r="J24" s="15"/>
    </row>
    <row r="25" spans="1:10" x14ac:dyDescent="0.25">
      <c r="A25" s="2">
        <f>종합Sheet!A4</f>
        <v>1</v>
      </c>
      <c r="B25" s="2" t="str">
        <f>종합Sheet!B4</f>
        <v>김인혁</v>
      </c>
      <c r="C25" s="2">
        <f t="shared" si="0"/>
        <v>0.2</v>
      </c>
      <c r="D25" s="14">
        <f>COUNTIF(경기기록Sheet!$E:$H,B25)</f>
        <v>0</v>
      </c>
      <c r="E25" s="14">
        <f>COUNTIF(경기기록Sheet!$I:$L,B25)</f>
        <v>1</v>
      </c>
      <c r="F25" s="14">
        <f>COUNTIF(경기기록Sheet!$M:$P,B25)</f>
        <v>0</v>
      </c>
      <c r="G25" s="14">
        <f>COUNTIF(경기기록Sheet!$Q:$U,B25)</f>
        <v>0</v>
      </c>
      <c r="H25" s="14">
        <f>COUNTIF(경기기록Sheet!$V:$V,B25)</f>
        <v>0</v>
      </c>
      <c r="I25" s="14">
        <f t="shared" si="1"/>
        <v>1</v>
      </c>
      <c r="J25" s="15"/>
    </row>
    <row r="26" spans="1:10" x14ac:dyDescent="0.25">
      <c r="A26" s="2">
        <f>종합Sheet!A74</f>
        <v>71</v>
      </c>
      <c r="B26" s="2" t="str">
        <f>종합Sheet!B74</f>
        <v>이병현</v>
      </c>
      <c r="C26" s="2">
        <f t="shared" si="0"/>
        <v>0.2</v>
      </c>
      <c r="D26" s="14">
        <f>COUNTIF(경기기록Sheet!$E:$H,B26)</f>
        <v>0</v>
      </c>
      <c r="E26" s="14">
        <f>COUNTIF(경기기록Sheet!$I:$L,B26)</f>
        <v>1</v>
      </c>
      <c r="F26" s="14">
        <f>COUNTIF(경기기록Sheet!$M:$P,B26)</f>
        <v>0</v>
      </c>
      <c r="G26" s="14">
        <f>COUNTIF(경기기록Sheet!$Q:$U,B26)</f>
        <v>0</v>
      </c>
      <c r="H26" s="14">
        <f>COUNTIF(경기기록Sheet!$V:$V,B26)</f>
        <v>0</v>
      </c>
      <c r="I26" s="14">
        <f t="shared" si="1"/>
        <v>1</v>
      </c>
      <c r="J26" s="15"/>
    </row>
    <row r="27" spans="1:10" x14ac:dyDescent="0.25">
      <c r="A27" s="2">
        <f>종합Sheet!A105</f>
        <v>102</v>
      </c>
      <c r="B27" s="2" t="str">
        <f>종합Sheet!B105</f>
        <v>홍현석</v>
      </c>
      <c r="C27" s="2">
        <f t="shared" si="0"/>
        <v>0.2</v>
      </c>
      <c r="D27" s="14">
        <f>COUNTIF(경기기록Sheet!$E:$H,B27)</f>
        <v>0</v>
      </c>
      <c r="E27" s="14">
        <f>COUNTIF(경기기록Sheet!$I:$L,B27)</f>
        <v>0</v>
      </c>
      <c r="F27" s="14">
        <f>COUNTIF(경기기록Sheet!$M:$P,B27)</f>
        <v>0</v>
      </c>
      <c r="G27" s="14">
        <f>COUNTIF(경기기록Sheet!$Q:$U,B27)</f>
        <v>1</v>
      </c>
      <c r="H27" s="14">
        <f>COUNTIF(경기기록Sheet!$V:$V,B27)</f>
        <v>0</v>
      </c>
      <c r="I27" s="14">
        <f t="shared" si="1"/>
        <v>1</v>
      </c>
      <c r="J27" s="15"/>
    </row>
    <row r="28" spans="1:10" x14ac:dyDescent="0.25">
      <c r="A28" s="2">
        <f>종합Sheet!A17</f>
        <v>14</v>
      </c>
      <c r="B28" s="2" t="str">
        <f>종합Sheet!B17</f>
        <v>김기태</v>
      </c>
      <c r="C28" s="2">
        <f t="shared" si="0"/>
        <v>0.2</v>
      </c>
      <c r="D28" s="14">
        <f>COUNTIF(경기기록Sheet!$E:$H,B28)</f>
        <v>1</v>
      </c>
      <c r="E28" s="14">
        <f>COUNTIF(경기기록Sheet!$I:$L,B28)</f>
        <v>0</v>
      </c>
      <c r="F28" s="14">
        <f>COUNTIF(경기기록Sheet!$M:$P,B28)</f>
        <v>0</v>
      </c>
      <c r="G28" s="14">
        <f>COUNTIF(경기기록Sheet!$Q:$U,B28)</f>
        <v>0</v>
      </c>
      <c r="H28" s="14">
        <f>COUNTIF(경기기록Sheet!$V:$V,B28)</f>
        <v>0</v>
      </c>
      <c r="I28" s="14">
        <f t="shared" si="1"/>
        <v>1</v>
      </c>
      <c r="J28" s="15"/>
    </row>
    <row r="29" spans="1:10" x14ac:dyDescent="0.25">
      <c r="A29" s="2">
        <f>종합Sheet!A5</f>
        <v>2</v>
      </c>
      <c r="B29" s="2" t="str">
        <f>종합Sheet!B5</f>
        <v>신재경</v>
      </c>
      <c r="C29" s="2">
        <f t="shared" si="0"/>
        <v>0</v>
      </c>
      <c r="D29" s="14">
        <f>COUNTIF(경기기록Sheet!$E:$H,B29)</f>
        <v>0</v>
      </c>
      <c r="E29" s="14">
        <f>COUNTIF(경기기록Sheet!$I:$L,B29)</f>
        <v>0</v>
      </c>
      <c r="F29" s="14">
        <f>COUNTIF(경기기록Sheet!$M:$P,B29)</f>
        <v>0</v>
      </c>
      <c r="G29" s="14">
        <f>COUNTIF(경기기록Sheet!$Q:$U,B29)</f>
        <v>0</v>
      </c>
      <c r="H29" s="14">
        <f>COUNTIF(경기기록Sheet!$V:$V,B29)</f>
        <v>0</v>
      </c>
      <c r="I29" s="14">
        <f t="shared" si="1"/>
        <v>0</v>
      </c>
      <c r="J29" s="15"/>
    </row>
    <row r="30" spans="1:10" x14ac:dyDescent="0.25">
      <c r="A30" s="2">
        <f>종합Sheet!A6</f>
        <v>3</v>
      </c>
      <c r="B30" s="2" t="str">
        <f>종합Sheet!B6</f>
        <v>정효태</v>
      </c>
      <c r="C30" s="2">
        <f t="shared" si="0"/>
        <v>0</v>
      </c>
      <c r="D30" s="14">
        <f>COUNTIF(경기기록Sheet!$E:$H,B30)</f>
        <v>0</v>
      </c>
      <c r="E30" s="14">
        <f>COUNTIF(경기기록Sheet!$I:$L,B30)</f>
        <v>0</v>
      </c>
      <c r="F30" s="14">
        <f>COUNTIF(경기기록Sheet!$M:$P,B30)</f>
        <v>0</v>
      </c>
      <c r="G30" s="14">
        <f>COUNTIF(경기기록Sheet!$Q:$U,B30)</f>
        <v>0</v>
      </c>
      <c r="H30" s="14">
        <f>COUNTIF(경기기록Sheet!$V:$V,B30)</f>
        <v>0</v>
      </c>
      <c r="I30" s="14">
        <f t="shared" si="1"/>
        <v>0</v>
      </c>
      <c r="J30" s="15"/>
    </row>
    <row r="31" spans="1:10" x14ac:dyDescent="0.25">
      <c r="A31" s="2">
        <f>종합Sheet!A7</f>
        <v>4</v>
      </c>
      <c r="B31" s="2" t="str">
        <f>종합Sheet!B7</f>
        <v>이승민</v>
      </c>
      <c r="C31" s="2">
        <f t="shared" si="0"/>
        <v>0</v>
      </c>
      <c r="D31" s="14">
        <f>COUNTIF(경기기록Sheet!$E:$H,B31)</f>
        <v>0</v>
      </c>
      <c r="E31" s="14">
        <f>COUNTIF(경기기록Sheet!$I:$L,B31)</f>
        <v>0</v>
      </c>
      <c r="F31" s="14">
        <f>COUNTIF(경기기록Sheet!$M:$P,B31)</f>
        <v>0</v>
      </c>
      <c r="G31" s="14">
        <f>COUNTIF(경기기록Sheet!$Q:$U,B31)</f>
        <v>0</v>
      </c>
      <c r="H31" s="14">
        <f>COUNTIF(경기기록Sheet!$V:$V,B31)</f>
        <v>0</v>
      </c>
      <c r="I31" s="14">
        <f t="shared" si="1"/>
        <v>0</v>
      </c>
      <c r="J31" s="15"/>
    </row>
    <row r="32" spans="1:10" x14ac:dyDescent="0.25">
      <c r="A32" s="2">
        <f>종합Sheet!A8</f>
        <v>5</v>
      </c>
      <c r="B32" s="2" t="str">
        <f>종합Sheet!B8</f>
        <v>이정석</v>
      </c>
      <c r="C32" s="2">
        <f t="shared" si="0"/>
        <v>0</v>
      </c>
      <c r="D32" s="14">
        <f>COUNTIF(경기기록Sheet!$E:$H,B32)</f>
        <v>0</v>
      </c>
      <c r="E32" s="14">
        <f>COUNTIF(경기기록Sheet!$I:$L,B32)</f>
        <v>0</v>
      </c>
      <c r="F32" s="14">
        <f>COUNTIF(경기기록Sheet!$M:$P,B32)</f>
        <v>0</v>
      </c>
      <c r="G32" s="14">
        <f>COUNTIF(경기기록Sheet!$Q:$U,B32)</f>
        <v>0</v>
      </c>
      <c r="H32" s="14">
        <f>COUNTIF(경기기록Sheet!$V:$V,B32)</f>
        <v>0</v>
      </c>
      <c r="I32" s="14">
        <f t="shared" si="1"/>
        <v>0</v>
      </c>
      <c r="J32" s="15"/>
    </row>
    <row r="33" spans="1:10" x14ac:dyDescent="0.25">
      <c r="A33" s="2">
        <f>종합Sheet!A9</f>
        <v>6</v>
      </c>
      <c r="B33" s="2" t="str">
        <f>종합Sheet!B9</f>
        <v>강종찬</v>
      </c>
      <c r="C33" s="2">
        <f t="shared" si="0"/>
        <v>0</v>
      </c>
      <c r="D33" s="14">
        <f>COUNTIF(경기기록Sheet!$E:$H,B33)</f>
        <v>0</v>
      </c>
      <c r="E33" s="14">
        <f>COUNTIF(경기기록Sheet!$I:$L,B33)</f>
        <v>0</v>
      </c>
      <c r="F33" s="14">
        <f>COUNTIF(경기기록Sheet!$M:$P,B33)</f>
        <v>0</v>
      </c>
      <c r="G33" s="14">
        <f>COUNTIF(경기기록Sheet!$Q:$U,B33)</f>
        <v>0</v>
      </c>
      <c r="H33" s="14">
        <f>COUNTIF(경기기록Sheet!$V:$V,B33)</f>
        <v>0</v>
      </c>
      <c r="I33" s="14">
        <f t="shared" si="1"/>
        <v>0</v>
      </c>
      <c r="J33" s="15"/>
    </row>
    <row r="34" spans="1:10" x14ac:dyDescent="0.25">
      <c r="A34" s="2">
        <f>종합Sheet!A12</f>
        <v>9</v>
      </c>
      <c r="B34" s="2" t="str">
        <f>종합Sheet!B12</f>
        <v>강도일</v>
      </c>
      <c r="C34" s="2">
        <f t="shared" si="0"/>
        <v>0</v>
      </c>
      <c r="D34" s="14">
        <f>COUNTIF(경기기록Sheet!$E:$H,B34)</f>
        <v>0</v>
      </c>
      <c r="E34" s="14">
        <f>COUNTIF(경기기록Sheet!$I:$L,B34)</f>
        <v>0</v>
      </c>
      <c r="F34" s="14">
        <f>COUNTIF(경기기록Sheet!$M:$P,B34)</f>
        <v>0</v>
      </c>
      <c r="G34" s="14">
        <f>COUNTIF(경기기록Sheet!$Q:$U,B34)</f>
        <v>0</v>
      </c>
      <c r="H34" s="14">
        <f>COUNTIF(경기기록Sheet!$V:$V,B34)</f>
        <v>0</v>
      </c>
      <c r="I34" s="14">
        <f t="shared" si="1"/>
        <v>0</v>
      </c>
      <c r="J34" s="15"/>
    </row>
    <row r="35" spans="1:10" x14ac:dyDescent="0.25">
      <c r="A35" s="2">
        <f>종합Sheet!A13</f>
        <v>10</v>
      </c>
      <c r="B35" s="2" t="str">
        <f>종합Sheet!B13</f>
        <v>강일수</v>
      </c>
      <c r="C35" s="2">
        <f t="shared" si="0"/>
        <v>0</v>
      </c>
      <c r="D35" s="14">
        <f>COUNTIF(경기기록Sheet!$E:$H,B35)</f>
        <v>0</v>
      </c>
      <c r="E35" s="14">
        <f>COUNTIF(경기기록Sheet!$I:$L,B35)</f>
        <v>0</v>
      </c>
      <c r="F35" s="14">
        <f>COUNTIF(경기기록Sheet!$M:$P,B35)</f>
        <v>0</v>
      </c>
      <c r="G35" s="14">
        <f>COUNTIF(경기기록Sheet!$Q:$U,B35)</f>
        <v>0</v>
      </c>
      <c r="H35" s="14">
        <f>COUNTIF(경기기록Sheet!$V:$V,B35)</f>
        <v>0</v>
      </c>
      <c r="I35" s="14">
        <f t="shared" si="1"/>
        <v>0</v>
      </c>
      <c r="J35" s="15"/>
    </row>
    <row r="36" spans="1:10" x14ac:dyDescent="0.25">
      <c r="A36" s="2">
        <f>종합Sheet!A14</f>
        <v>11</v>
      </c>
      <c r="B36" s="2" t="str">
        <f>종합Sheet!B14</f>
        <v>구교훈</v>
      </c>
      <c r="C36" s="2">
        <f t="shared" ref="C36:C67" si="7">((D36+E36+G36+H36)*0.2)+(F36*0.3)</f>
        <v>0</v>
      </c>
      <c r="D36" s="14">
        <f>COUNTIF(경기기록Sheet!$E:$H,B36)</f>
        <v>0</v>
      </c>
      <c r="E36" s="14">
        <f>COUNTIF(경기기록Sheet!$I:$L,B36)</f>
        <v>0</v>
      </c>
      <c r="F36" s="14">
        <f>COUNTIF(경기기록Sheet!$M:$P,B36)</f>
        <v>0</v>
      </c>
      <c r="G36" s="14">
        <f>COUNTIF(경기기록Sheet!$Q:$U,B36)</f>
        <v>0</v>
      </c>
      <c r="H36" s="14">
        <f>COUNTIF(경기기록Sheet!$V:$V,B36)</f>
        <v>0</v>
      </c>
      <c r="I36" s="14">
        <f t="shared" ref="I36:I67" si="8">SUM(D36:H36)</f>
        <v>0</v>
      </c>
      <c r="J36" s="15"/>
    </row>
    <row r="37" spans="1:10" x14ac:dyDescent="0.25">
      <c r="A37" s="2">
        <f>종합Sheet!A15</f>
        <v>12</v>
      </c>
      <c r="B37" s="2" t="str">
        <f>종합Sheet!B15</f>
        <v>권주용</v>
      </c>
      <c r="C37" s="2">
        <f t="shared" si="7"/>
        <v>0</v>
      </c>
      <c r="D37" s="14">
        <f>COUNTIF(경기기록Sheet!$E:$H,B37)</f>
        <v>0</v>
      </c>
      <c r="E37" s="14">
        <f>COUNTIF(경기기록Sheet!$I:$L,B37)</f>
        <v>0</v>
      </c>
      <c r="F37" s="14">
        <f>COUNTIF(경기기록Sheet!$M:$P,B37)</f>
        <v>0</v>
      </c>
      <c r="G37" s="14">
        <f>COUNTIF(경기기록Sheet!$Q:$U,B37)</f>
        <v>0</v>
      </c>
      <c r="H37" s="14">
        <f>COUNTIF(경기기록Sheet!$V:$V,B37)</f>
        <v>0</v>
      </c>
      <c r="I37" s="14">
        <f t="shared" si="8"/>
        <v>0</v>
      </c>
      <c r="J37" s="15"/>
    </row>
    <row r="38" spans="1:10" x14ac:dyDescent="0.25">
      <c r="A38" s="2">
        <f>종합Sheet!A16</f>
        <v>13</v>
      </c>
      <c r="B38" s="2" t="str">
        <f>종합Sheet!B16</f>
        <v>김기문</v>
      </c>
      <c r="C38" s="2">
        <f t="shared" si="7"/>
        <v>0</v>
      </c>
      <c r="D38" s="14">
        <f>COUNTIF(경기기록Sheet!$E:$H,B38)</f>
        <v>0</v>
      </c>
      <c r="E38" s="14">
        <f>COUNTIF(경기기록Sheet!$I:$L,B38)</f>
        <v>0</v>
      </c>
      <c r="F38" s="14">
        <f>COUNTIF(경기기록Sheet!$M:$P,B38)</f>
        <v>0</v>
      </c>
      <c r="G38" s="14">
        <f>COUNTIF(경기기록Sheet!$Q:$U,B38)</f>
        <v>0</v>
      </c>
      <c r="H38" s="14">
        <f>COUNTIF(경기기록Sheet!$V:$V,B38)</f>
        <v>0</v>
      </c>
      <c r="I38" s="14">
        <f t="shared" si="8"/>
        <v>0</v>
      </c>
      <c r="J38" s="15"/>
    </row>
    <row r="39" spans="1:10" x14ac:dyDescent="0.25">
      <c r="A39" s="2">
        <f>종합Sheet!A18</f>
        <v>15</v>
      </c>
      <c r="B39" s="2" t="str">
        <f>종합Sheet!B18</f>
        <v>김덕준</v>
      </c>
      <c r="C39" s="2">
        <f t="shared" si="7"/>
        <v>0</v>
      </c>
      <c r="D39" s="14">
        <f>COUNTIF(경기기록Sheet!$E:$H,B39)</f>
        <v>0</v>
      </c>
      <c r="E39" s="14">
        <f>COUNTIF(경기기록Sheet!$I:$L,B39)</f>
        <v>0</v>
      </c>
      <c r="F39" s="14">
        <f>COUNTIF(경기기록Sheet!$M:$P,B39)</f>
        <v>0</v>
      </c>
      <c r="G39" s="14">
        <f>COUNTIF(경기기록Sheet!$Q:$U,B39)</f>
        <v>0</v>
      </c>
      <c r="H39" s="14">
        <f>COUNTIF(경기기록Sheet!$V:$V,B39)</f>
        <v>0</v>
      </c>
      <c r="I39" s="14">
        <f t="shared" si="8"/>
        <v>0</v>
      </c>
      <c r="J39" s="15"/>
    </row>
    <row r="40" spans="1:10" x14ac:dyDescent="0.25">
      <c r="A40" s="2">
        <f>종합Sheet!A19</f>
        <v>16</v>
      </c>
      <c r="B40" s="2" t="str">
        <f>종합Sheet!B19</f>
        <v>김동인</v>
      </c>
      <c r="C40" s="2">
        <f t="shared" si="7"/>
        <v>0</v>
      </c>
      <c r="D40" s="14">
        <f>COUNTIF(경기기록Sheet!$E:$H,B40)</f>
        <v>0</v>
      </c>
      <c r="E40" s="14">
        <f>COUNTIF(경기기록Sheet!$I:$L,B40)</f>
        <v>0</v>
      </c>
      <c r="F40" s="14">
        <f>COUNTIF(경기기록Sheet!$M:$P,B40)</f>
        <v>0</v>
      </c>
      <c r="G40" s="14">
        <f>COUNTIF(경기기록Sheet!$Q:$U,B40)</f>
        <v>0</v>
      </c>
      <c r="H40" s="14">
        <f>COUNTIF(경기기록Sheet!$V:$V,B40)</f>
        <v>0</v>
      </c>
      <c r="I40" s="14">
        <f t="shared" si="8"/>
        <v>0</v>
      </c>
      <c r="J40" s="15"/>
    </row>
    <row r="41" spans="1:10" x14ac:dyDescent="0.25">
      <c r="A41" s="2">
        <f>종합Sheet!A20</f>
        <v>17</v>
      </c>
      <c r="B41" s="2" t="str">
        <f>종합Sheet!B20</f>
        <v>김민섭</v>
      </c>
      <c r="C41" s="2">
        <f t="shared" si="7"/>
        <v>0</v>
      </c>
      <c r="D41" s="14">
        <f>COUNTIF(경기기록Sheet!$E:$H,B41)</f>
        <v>0</v>
      </c>
      <c r="E41" s="14">
        <f>COUNTIF(경기기록Sheet!$I:$L,B41)</f>
        <v>0</v>
      </c>
      <c r="F41" s="14">
        <f>COUNTIF(경기기록Sheet!$M:$P,B41)</f>
        <v>0</v>
      </c>
      <c r="G41" s="14">
        <f>COUNTIF(경기기록Sheet!$Q:$U,B41)</f>
        <v>0</v>
      </c>
      <c r="H41" s="14">
        <f>COUNTIF(경기기록Sheet!$V:$V,B41)</f>
        <v>0</v>
      </c>
      <c r="I41" s="14">
        <f t="shared" si="8"/>
        <v>0</v>
      </c>
      <c r="J41" s="15"/>
    </row>
    <row r="42" spans="1:10" x14ac:dyDescent="0.25">
      <c r="A42" s="2">
        <f>종합Sheet!A21</f>
        <v>18</v>
      </c>
      <c r="B42" s="2" t="str">
        <f>종합Sheet!B21</f>
        <v>김민준</v>
      </c>
      <c r="C42" s="2">
        <f t="shared" si="7"/>
        <v>0</v>
      </c>
      <c r="D42" s="14">
        <f>COUNTIF(경기기록Sheet!$E:$H,B42)</f>
        <v>0</v>
      </c>
      <c r="E42" s="14">
        <f>COUNTIF(경기기록Sheet!$I:$L,B42)</f>
        <v>0</v>
      </c>
      <c r="F42" s="14">
        <f>COUNTIF(경기기록Sheet!$M:$P,B42)</f>
        <v>0</v>
      </c>
      <c r="G42" s="14">
        <f>COUNTIF(경기기록Sheet!$Q:$U,B42)</f>
        <v>0</v>
      </c>
      <c r="H42" s="14">
        <f>COUNTIF(경기기록Sheet!$V:$V,B42)</f>
        <v>0</v>
      </c>
      <c r="I42" s="14">
        <f t="shared" si="8"/>
        <v>0</v>
      </c>
      <c r="J42" s="15"/>
    </row>
    <row r="43" spans="1:10" x14ac:dyDescent="0.25">
      <c r="A43" s="2">
        <f>종합Sheet!A22</f>
        <v>19</v>
      </c>
      <c r="B43" s="2" t="str">
        <f>종합Sheet!B22</f>
        <v>김범기</v>
      </c>
      <c r="C43" s="2">
        <f t="shared" si="7"/>
        <v>0</v>
      </c>
      <c r="D43" s="14">
        <f>COUNTIF(경기기록Sheet!$E:$H,B43)</f>
        <v>0</v>
      </c>
      <c r="E43" s="14">
        <f>COUNTIF(경기기록Sheet!$I:$L,B43)</f>
        <v>0</v>
      </c>
      <c r="F43" s="14">
        <f>COUNTIF(경기기록Sheet!$M:$P,B43)</f>
        <v>0</v>
      </c>
      <c r="G43" s="14">
        <f>COUNTIF(경기기록Sheet!$Q:$U,B43)</f>
        <v>0</v>
      </c>
      <c r="H43" s="14">
        <f>COUNTIF(경기기록Sheet!$V:$V,B43)</f>
        <v>0</v>
      </c>
      <c r="I43" s="14">
        <f t="shared" si="8"/>
        <v>0</v>
      </c>
      <c r="J43" s="15"/>
    </row>
    <row r="44" spans="1:10" x14ac:dyDescent="0.25">
      <c r="A44" s="2">
        <f>종합Sheet!A23</f>
        <v>20</v>
      </c>
      <c r="B44" s="2" t="str">
        <f>종합Sheet!B23</f>
        <v>김병준</v>
      </c>
      <c r="C44" s="2">
        <f t="shared" si="7"/>
        <v>0</v>
      </c>
      <c r="D44" s="14">
        <f>COUNTIF(경기기록Sheet!$E:$H,B44)</f>
        <v>0</v>
      </c>
      <c r="E44" s="14">
        <f>COUNTIF(경기기록Sheet!$I:$L,B44)</f>
        <v>0</v>
      </c>
      <c r="F44" s="14">
        <f>COUNTIF(경기기록Sheet!$M:$P,B44)</f>
        <v>0</v>
      </c>
      <c r="G44" s="14">
        <f>COUNTIF(경기기록Sheet!$Q:$U,B44)</f>
        <v>0</v>
      </c>
      <c r="H44" s="14">
        <f>COUNTIF(경기기록Sheet!$V:$V,B44)</f>
        <v>0</v>
      </c>
      <c r="I44" s="14">
        <f t="shared" si="8"/>
        <v>0</v>
      </c>
      <c r="J44" s="15"/>
    </row>
    <row r="45" spans="1:10" x14ac:dyDescent="0.25">
      <c r="A45" s="2">
        <f>종합Sheet!A24</f>
        <v>21</v>
      </c>
      <c r="B45" s="2" t="str">
        <f>종합Sheet!B24</f>
        <v>김부건</v>
      </c>
      <c r="C45" s="2">
        <f t="shared" si="7"/>
        <v>0</v>
      </c>
      <c r="D45" s="14">
        <f>COUNTIF(경기기록Sheet!$E:$H,B45)</f>
        <v>0</v>
      </c>
      <c r="E45" s="14">
        <f>COUNTIF(경기기록Sheet!$I:$L,B45)</f>
        <v>0</v>
      </c>
      <c r="F45" s="14">
        <f>COUNTIF(경기기록Sheet!$M:$P,B45)</f>
        <v>0</v>
      </c>
      <c r="G45" s="14">
        <f>COUNTIF(경기기록Sheet!$Q:$U,B45)</f>
        <v>0</v>
      </c>
      <c r="H45" s="14">
        <f>COUNTIF(경기기록Sheet!$V:$V,B45)</f>
        <v>0</v>
      </c>
      <c r="I45" s="14">
        <f t="shared" si="8"/>
        <v>0</v>
      </c>
      <c r="J45" s="15"/>
    </row>
    <row r="46" spans="1:10" x14ac:dyDescent="0.25">
      <c r="A46" s="2">
        <f>종합Sheet!A25</f>
        <v>22</v>
      </c>
      <c r="B46" s="2" t="str">
        <f>종합Sheet!B25</f>
        <v>김성수</v>
      </c>
      <c r="C46" s="2">
        <f t="shared" si="7"/>
        <v>0</v>
      </c>
      <c r="D46" s="14">
        <f>COUNTIF(경기기록Sheet!$E:$H,B46)</f>
        <v>0</v>
      </c>
      <c r="E46" s="14">
        <f>COUNTIF(경기기록Sheet!$I:$L,B46)</f>
        <v>0</v>
      </c>
      <c r="F46" s="14">
        <f>COUNTIF(경기기록Sheet!$M:$P,B46)</f>
        <v>0</v>
      </c>
      <c r="G46" s="14">
        <f>COUNTIF(경기기록Sheet!$Q:$U,B46)</f>
        <v>0</v>
      </c>
      <c r="H46" s="14">
        <f>COUNTIF(경기기록Sheet!$V:$V,B46)</f>
        <v>0</v>
      </c>
      <c r="I46" s="14">
        <f t="shared" si="8"/>
        <v>0</v>
      </c>
      <c r="J46" s="15"/>
    </row>
    <row r="47" spans="1:10" x14ac:dyDescent="0.25">
      <c r="A47" s="2">
        <f>종합Sheet!A28</f>
        <v>25</v>
      </c>
      <c r="B47" s="2" t="str">
        <f>종합Sheet!B28</f>
        <v>김승철</v>
      </c>
      <c r="C47" s="2">
        <f t="shared" si="7"/>
        <v>0</v>
      </c>
      <c r="D47" s="14">
        <f>COUNTIF(경기기록Sheet!$E:$H,B47)</f>
        <v>0</v>
      </c>
      <c r="E47" s="14">
        <f>COUNTIF(경기기록Sheet!$I:$L,B47)</f>
        <v>0</v>
      </c>
      <c r="F47" s="14">
        <f>COUNTIF(경기기록Sheet!$M:$P,B47)</f>
        <v>0</v>
      </c>
      <c r="G47" s="14">
        <f>COUNTIF(경기기록Sheet!$Q:$U,B47)</f>
        <v>0</v>
      </c>
      <c r="H47" s="14">
        <f>COUNTIF(경기기록Sheet!$V:$V,B47)</f>
        <v>0</v>
      </c>
      <c r="I47" s="14">
        <f t="shared" si="8"/>
        <v>0</v>
      </c>
      <c r="J47" s="15"/>
    </row>
    <row r="48" spans="1:10" x14ac:dyDescent="0.25">
      <c r="A48" s="2">
        <f>종합Sheet!A29</f>
        <v>26</v>
      </c>
      <c r="B48" s="2" t="str">
        <f>종합Sheet!B29</f>
        <v>김영태</v>
      </c>
      <c r="C48" s="2">
        <f t="shared" si="7"/>
        <v>0</v>
      </c>
      <c r="D48" s="14">
        <f>COUNTIF(경기기록Sheet!$E:$H,B48)</f>
        <v>0</v>
      </c>
      <c r="E48" s="14">
        <f>COUNTIF(경기기록Sheet!$I:$L,B48)</f>
        <v>0</v>
      </c>
      <c r="F48" s="14">
        <f>COUNTIF(경기기록Sheet!$M:$P,B48)</f>
        <v>0</v>
      </c>
      <c r="G48" s="14">
        <f>COUNTIF(경기기록Sheet!$Q:$U,B48)</f>
        <v>0</v>
      </c>
      <c r="H48" s="14">
        <f>COUNTIF(경기기록Sheet!$V:$V,B48)</f>
        <v>0</v>
      </c>
      <c r="I48" s="14">
        <f t="shared" si="8"/>
        <v>0</v>
      </c>
      <c r="J48" s="15"/>
    </row>
    <row r="49" spans="1:10" x14ac:dyDescent="0.25">
      <c r="A49" s="2">
        <f>종합Sheet!A30</f>
        <v>27</v>
      </c>
      <c r="B49" s="2" t="str">
        <f>종합Sheet!B30</f>
        <v>김용만</v>
      </c>
      <c r="C49" s="2">
        <f t="shared" si="7"/>
        <v>0</v>
      </c>
      <c r="D49" s="14">
        <f>COUNTIF(경기기록Sheet!$E:$H,B49)</f>
        <v>0</v>
      </c>
      <c r="E49" s="14">
        <f>COUNTIF(경기기록Sheet!$I:$L,B49)</f>
        <v>0</v>
      </c>
      <c r="F49" s="14">
        <f>COUNTIF(경기기록Sheet!$M:$P,B49)</f>
        <v>0</v>
      </c>
      <c r="G49" s="14">
        <f>COUNTIF(경기기록Sheet!$Q:$U,B49)</f>
        <v>0</v>
      </c>
      <c r="H49" s="14">
        <f>COUNTIF(경기기록Sheet!$V:$V,B49)</f>
        <v>0</v>
      </c>
      <c r="I49" s="14">
        <f t="shared" si="8"/>
        <v>0</v>
      </c>
      <c r="J49" s="15"/>
    </row>
    <row r="50" spans="1:10" x14ac:dyDescent="0.25">
      <c r="A50" s="2">
        <f>종합Sheet!A31</f>
        <v>28</v>
      </c>
      <c r="B50" s="2" t="str">
        <f>종합Sheet!B31</f>
        <v>김용빈</v>
      </c>
      <c r="C50" s="2">
        <f t="shared" si="7"/>
        <v>0</v>
      </c>
      <c r="D50" s="14">
        <f>COUNTIF(경기기록Sheet!$E:$H,B50)</f>
        <v>0</v>
      </c>
      <c r="E50" s="14">
        <f>COUNTIF(경기기록Sheet!$I:$L,B50)</f>
        <v>0</v>
      </c>
      <c r="F50" s="14">
        <f>COUNTIF(경기기록Sheet!$M:$P,B50)</f>
        <v>0</v>
      </c>
      <c r="G50" s="14">
        <f>COUNTIF(경기기록Sheet!$Q:$U,B50)</f>
        <v>0</v>
      </c>
      <c r="H50" s="14">
        <f>COUNTIF(경기기록Sheet!$V:$V,B50)</f>
        <v>0</v>
      </c>
      <c r="I50" s="14">
        <f t="shared" si="8"/>
        <v>0</v>
      </c>
      <c r="J50" s="15"/>
    </row>
    <row r="51" spans="1:10" x14ac:dyDescent="0.25">
      <c r="A51" s="2">
        <f>종합Sheet!A34</f>
        <v>31</v>
      </c>
      <c r="B51" s="2" t="str">
        <f>종합Sheet!B34</f>
        <v>김종준</v>
      </c>
      <c r="C51" s="2">
        <f t="shared" si="7"/>
        <v>0</v>
      </c>
      <c r="D51" s="14">
        <f>COUNTIF(경기기록Sheet!$E:$H,B51)</f>
        <v>0</v>
      </c>
      <c r="E51" s="14">
        <f>COUNTIF(경기기록Sheet!$I:$L,B51)</f>
        <v>0</v>
      </c>
      <c r="F51" s="14">
        <f>COUNTIF(경기기록Sheet!$M:$P,B51)</f>
        <v>0</v>
      </c>
      <c r="G51" s="14">
        <f>COUNTIF(경기기록Sheet!$Q:$U,B51)</f>
        <v>0</v>
      </c>
      <c r="H51" s="14">
        <f>COUNTIF(경기기록Sheet!$V:$V,B51)</f>
        <v>0</v>
      </c>
      <c r="I51" s="14">
        <f t="shared" si="8"/>
        <v>0</v>
      </c>
      <c r="J51" s="15"/>
    </row>
    <row r="52" spans="1:10" x14ac:dyDescent="0.25">
      <c r="A52" s="2">
        <f>종합Sheet!A36</f>
        <v>33</v>
      </c>
      <c r="B52" s="2" t="str">
        <f>종합Sheet!B36</f>
        <v>김주식</v>
      </c>
      <c r="C52" s="2">
        <f t="shared" si="7"/>
        <v>0</v>
      </c>
      <c r="D52" s="14">
        <f>COUNTIF(경기기록Sheet!$E:$H,B52)</f>
        <v>0</v>
      </c>
      <c r="E52" s="14">
        <f>COUNTIF(경기기록Sheet!$I:$L,B52)</f>
        <v>0</v>
      </c>
      <c r="F52" s="14">
        <f>COUNTIF(경기기록Sheet!$M:$P,B52)</f>
        <v>0</v>
      </c>
      <c r="G52" s="14">
        <f>COUNTIF(경기기록Sheet!$Q:$U,B52)</f>
        <v>0</v>
      </c>
      <c r="H52" s="14">
        <f>COUNTIF(경기기록Sheet!$V:$V,B52)</f>
        <v>0</v>
      </c>
      <c r="I52" s="14">
        <f t="shared" si="8"/>
        <v>0</v>
      </c>
      <c r="J52" s="15"/>
    </row>
    <row r="53" spans="1:10" x14ac:dyDescent="0.25">
      <c r="A53" s="2">
        <f>종합Sheet!A37</f>
        <v>34</v>
      </c>
      <c r="B53" s="2" t="str">
        <f>종합Sheet!B37</f>
        <v>김준영</v>
      </c>
      <c r="C53" s="2">
        <f t="shared" si="7"/>
        <v>0</v>
      </c>
      <c r="D53" s="14">
        <f>COUNTIF(경기기록Sheet!$E:$H,B53)</f>
        <v>0</v>
      </c>
      <c r="E53" s="14">
        <f>COUNTIF(경기기록Sheet!$I:$L,B53)</f>
        <v>0</v>
      </c>
      <c r="F53" s="14">
        <f>COUNTIF(경기기록Sheet!$M:$P,B53)</f>
        <v>0</v>
      </c>
      <c r="G53" s="14">
        <f>COUNTIF(경기기록Sheet!$Q:$U,B53)</f>
        <v>0</v>
      </c>
      <c r="H53" s="14">
        <f>COUNTIF(경기기록Sheet!$V:$V,B53)</f>
        <v>0</v>
      </c>
      <c r="I53" s="14">
        <f t="shared" si="8"/>
        <v>0</v>
      </c>
      <c r="J53" s="15"/>
    </row>
    <row r="54" spans="1:10" x14ac:dyDescent="0.25">
      <c r="A54" s="2">
        <f>종합Sheet!A38</f>
        <v>35</v>
      </c>
      <c r="B54" s="2" t="str">
        <f>종합Sheet!B38</f>
        <v>김진형</v>
      </c>
      <c r="C54" s="2">
        <f t="shared" si="7"/>
        <v>0</v>
      </c>
      <c r="D54" s="14">
        <f>COUNTIF(경기기록Sheet!$E:$H,B54)</f>
        <v>0</v>
      </c>
      <c r="E54" s="14">
        <f>COUNTIF(경기기록Sheet!$I:$L,B54)</f>
        <v>0</v>
      </c>
      <c r="F54" s="14">
        <f>COUNTIF(경기기록Sheet!$M:$P,B54)</f>
        <v>0</v>
      </c>
      <c r="G54" s="14">
        <f>COUNTIF(경기기록Sheet!$Q:$U,B54)</f>
        <v>0</v>
      </c>
      <c r="H54" s="14">
        <f>COUNTIF(경기기록Sheet!$V:$V,B54)</f>
        <v>0</v>
      </c>
      <c r="I54" s="14">
        <f t="shared" si="8"/>
        <v>0</v>
      </c>
      <c r="J54" s="15"/>
    </row>
    <row r="55" spans="1:10" x14ac:dyDescent="0.25">
      <c r="A55" s="2">
        <f>종합Sheet!A40</f>
        <v>37</v>
      </c>
      <c r="B55" s="2" t="str">
        <f>종합Sheet!B40</f>
        <v>김태성</v>
      </c>
      <c r="C55" s="2">
        <f t="shared" si="7"/>
        <v>0</v>
      </c>
      <c r="D55" s="14">
        <f>COUNTIF(경기기록Sheet!$E:$H,B55)</f>
        <v>0</v>
      </c>
      <c r="E55" s="14">
        <f>COUNTIF(경기기록Sheet!$I:$L,B55)</f>
        <v>0</v>
      </c>
      <c r="F55" s="14">
        <f>COUNTIF(경기기록Sheet!$M:$P,B55)</f>
        <v>0</v>
      </c>
      <c r="G55" s="14">
        <f>COUNTIF(경기기록Sheet!$Q:$U,B55)</f>
        <v>0</v>
      </c>
      <c r="H55" s="14">
        <f>COUNTIF(경기기록Sheet!$V:$V,B55)</f>
        <v>0</v>
      </c>
      <c r="I55" s="14">
        <f t="shared" si="8"/>
        <v>0</v>
      </c>
      <c r="J55" s="15"/>
    </row>
    <row r="56" spans="1:10" x14ac:dyDescent="0.25">
      <c r="A56" s="2">
        <f>종합Sheet!A41</f>
        <v>38</v>
      </c>
      <c r="B56" s="2" t="str">
        <f>종합Sheet!B41</f>
        <v>김태양</v>
      </c>
      <c r="C56" s="2">
        <f t="shared" si="7"/>
        <v>0</v>
      </c>
      <c r="D56" s="14">
        <f>COUNTIF(경기기록Sheet!$E:$H,B56)</f>
        <v>0</v>
      </c>
      <c r="E56" s="14">
        <f>COUNTIF(경기기록Sheet!$I:$L,B56)</f>
        <v>0</v>
      </c>
      <c r="F56" s="14">
        <f>COUNTIF(경기기록Sheet!$M:$P,B56)</f>
        <v>0</v>
      </c>
      <c r="G56" s="14">
        <f>COUNTIF(경기기록Sheet!$Q:$U,B56)</f>
        <v>0</v>
      </c>
      <c r="H56" s="14">
        <f>COUNTIF(경기기록Sheet!$V:$V,B56)</f>
        <v>0</v>
      </c>
      <c r="I56" s="14">
        <f t="shared" si="8"/>
        <v>0</v>
      </c>
      <c r="J56" s="15"/>
    </row>
    <row r="57" spans="1:10" x14ac:dyDescent="0.25">
      <c r="A57" s="2">
        <f>종합Sheet!A42</f>
        <v>39</v>
      </c>
      <c r="B57" s="2" t="str">
        <f>종합Sheet!B42</f>
        <v>김태완</v>
      </c>
      <c r="C57" s="2">
        <f t="shared" si="7"/>
        <v>0</v>
      </c>
      <c r="D57" s="14">
        <f>COUNTIF(경기기록Sheet!$E:$H,B57)</f>
        <v>0</v>
      </c>
      <c r="E57" s="14">
        <f>COUNTIF(경기기록Sheet!$I:$L,B57)</f>
        <v>0</v>
      </c>
      <c r="F57" s="14">
        <f>COUNTIF(경기기록Sheet!$M:$P,B57)</f>
        <v>0</v>
      </c>
      <c r="G57" s="14">
        <f>COUNTIF(경기기록Sheet!$Q:$U,B57)</f>
        <v>0</v>
      </c>
      <c r="H57" s="14">
        <f>COUNTIF(경기기록Sheet!$V:$V,B57)</f>
        <v>0</v>
      </c>
      <c r="I57" s="14">
        <f t="shared" si="8"/>
        <v>0</v>
      </c>
      <c r="J57" s="15"/>
    </row>
    <row r="58" spans="1:10" x14ac:dyDescent="0.25">
      <c r="A58" s="2">
        <f>종합Sheet!A43</f>
        <v>40</v>
      </c>
      <c r="B58" s="2" t="str">
        <f>종합Sheet!B43</f>
        <v>김태호</v>
      </c>
      <c r="C58" s="2">
        <f t="shared" si="7"/>
        <v>0</v>
      </c>
      <c r="D58" s="14">
        <f>COUNTIF(경기기록Sheet!$E:$H,B58)</f>
        <v>0</v>
      </c>
      <c r="E58" s="14">
        <f>COUNTIF(경기기록Sheet!$I:$L,B58)</f>
        <v>0</v>
      </c>
      <c r="F58" s="14">
        <f>COUNTIF(경기기록Sheet!$M:$P,B58)</f>
        <v>0</v>
      </c>
      <c r="G58" s="14">
        <f>COUNTIF(경기기록Sheet!$Q:$U,B58)</f>
        <v>0</v>
      </c>
      <c r="H58" s="14">
        <f>COUNTIF(경기기록Sheet!$V:$V,B58)</f>
        <v>0</v>
      </c>
      <c r="I58" s="14">
        <f t="shared" si="8"/>
        <v>0</v>
      </c>
      <c r="J58" s="15"/>
    </row>
    <row r="59" spans="1:10" x14ac:dyDescent="0.25">
      <c r="A59" s="2">
        <f>종합Sheet!A44</f>
        <v>41</v>
      </c>
      <c r="B59" s="2" t="str">
        <f>종합Sheet!B44</f>
        <v>김형원</v>
      </c>
      <c r="C59" s="2">
        <f t="shared" si="7"/>
        <v>0</v>
      </c>
      <c r="D59" s="14">
        <f>COUNTIF(경기기록Sheet!$E:$H,B59)</f>
        <v>0</v>
      </c>
      <c r="E59" s="14">
        <f>COUNTIF(경기기록Sheet!$I:$L,B59)</f>
        <v>0</v>
      </c>
      <c r="F59" s="14">
        <f>COUNTIF(경기기록Sheet!$M:$P,B59)</f>
        <v>0</v>
      </c>
      <c r="G59" s="14">
        <f>COUNTIF(경기기록Sheet!$Q:$U,B59)</f>
        <v>0</v>
      </c>
      <c r="H59" s="14">
        <f>COUNTIF(경기기록Sheet!$V:$V,B59)</f>
        <v>0</v>
      </c>
      <c r="I59" s="14">
        <f t="shared" si="8"/>
        <v>0</v>
      </c>
      <c r="J59" s="15"/>
    </row>
    <row r="60" spans="1:10" x14ac:dyDescent="0.25">
      <c r="A60" s="2">
        <f>종합Sheet!A46</f>
        <v>43</v>
      </c>
      <c r="B60" s="2" t="str">
        <f>종합Sheet!B46</f>
        <v>마창기</v>
      </c>
      <c r="C60" s="2">
        <f t="shared" si="7"/>
        <v>0</v>
      </c>
      <c r="D60" s="14">
        <f>COUNTIF(경기기록Sheet!$E:$H,B60)</f>
        <v>0</v>
      </c>
      <c r="E60" s="14">
        <f>COUNTIF(경기기록Sheet!$I:$L,B60)</f>
        <v>0</v>
      </c>
      <c r="F60" s="14">
        <f>COUNTIF(경기기록Sheet!$M:$P,B60)</f>
        <v>0</v>
      </c>
      <c r="G60" s="14">
        <f>COUNTIF(경기기록Sheet!$Q:$U,B60)</f>
        <v>0</v>
      </c>
      <c r="H60" s="14">
        <f>COUNTIF(경기기록Sheet!$V:$V,B60)</f>
        <v>0</v>
      </c>
      <c r="I60" s="14">
        <f t="shared" si="8"/>
        <v>0</v>
      </c>
      <c r="J60" s="15"/>
    </row>
    <row r="61" spans="1:10" x14ac:dyDescent="0.25">
      <c r="A61" s="2">
        <f>종합Sheet!A47</f>
        <v>44</v>
      </c>
      <c r="B61" s="2" t="str">
        <f>종합Sheet!B47</f>
        <v>문준수</v>
      </c>
      <c r="C61" s="2">
        <f t="shared" si="7"/>
        <v>0</v>
      </c>
      <c r="D61" s="14">
        <f>COUNTIF(경기기록Sheet!$E:$H,B61)</f>
        <v>0</v>
      </c>
      <c r="E61" s="14">
        <f>COUNTIF(경기기록Sheet!$I:$L,B61)</f>
        <v>0</v>
      </c>
      <c r="F61" s="14">
        <f>COUNTIF(경기기록Sheet!$M:$P,B61)</f>
        <v>0</v>
      </c>
      <c r="G61" s="14">
        <f>COUNTIF(경기기록Sheet!$Q:$U,B61)</f>
        <v>0</v>
      </c>
      <c r="H61" s="14">
        <f>COUNTIF(경기기록Sheet!$V:$V,B61)</f>
        <v>0</v>
      </c>
      <c r="I61" s="14">
        <f t="shared" si="8"/>
        <v>0</v>
      </c>
      <c r="J61" s="15"/>
    </row>
    <row r="62" spans="1:10" x14ac:dyDescent="0.25">
      <c r="A62" s="2">
        <f>종합Sheet!A48</f>
        <v>45</v>
      </c>
      <c r="B62" s="2" t="str">
        <f>종합Sheet!B48</f>
        <v>민건호</v>
      </c>
      <c r="C62" s="2">
        <f t="shared" si="7"/>
        <v>0</v>
      </c>
      <c r="D62" s="14">
        <f>COUNTIF(경기기록Sheet!$E:$H,B62)</f>
        <v>0</v>
      </c>
      <c r="E62" s="14">
        <f>COUNTIF(경기기록Sheet!$I:$L,B62)</f>
        <v>0</v>
      </c>
      <c r="F62" s="14">
        <f>COUNTIF(경기기록Sheet!$M:$P,B62)</f>
        <v>0</v>
      </c>
      <c r="G62" s="14">
        <f>COUNTIF(경기기록Sheet!$Q:$U,B62)</f>
        <v>0</v>
      </c>
      <c r="H62" s="14">
        <f>COUNTIF(경기기록Sheet!$V:$V,B62)</f>
        <v>0</v>
      </c>
      <c r="I62" s="14">
        <f t="shared" si="8"/>
        <v>0</v>
      </c>
      <c r="J62" s="15"/>
    </row>
    <row r="63" spans="1:10" x14ac:dyDescent="0.25">
      <c r="A63" s="2">
        <f>종합Sheet!A49</f>
        <v>46</v>
      </c>
      <c r="B63" s="2" t="str">
        <f>종합Sheet!B49</f>
        <v>박수천</v>
      </c>
      <c r="C63" s="2">
        <f t="shared" si="7"/>
        <v>0</v>
      </c>
      <c r="D63" s="14">
        <f>COUNTIF(경기기록Sheet!$E:$H,B63)</f>
        <v>0</v>
      </c>
      <c r="E63" s="14">
        <f>COUNTIF(경기기록Sheet!$I:$L,B63)</f>
        <v>0</v>
      </c>
      <c r="F63" s="14">
        <f>COUNTIF(경기기록Sheet!$M:$P,B63)</f>
        <v>0</v>
      </c>
      <c r="G63" s="14">
        <f>COUNTIF(경기기록Sheet!$Q:$U,B63)</f>
        <v>0</v>
      </c>
      <c r="H63" s="14">
        <f>COUNTIF(경기기록Sheet!$V:$V,B63)</f>
        <v>0</v>
      </c>
      <c r="I63" s="14">
        <f t="shared" si="8"/>
        <v>0</v>
      </c>
      <c r="J63" s="15"/>
    </row>
    <row r="64" spans="1:10" x14ac:dyDescent="0.25">
      <c r="A64" s="2">
        <f>종합Sheet!A50</f>
        <v>47</v>
      </c>
      <c r="B64" s="2" t="str">
        <f>종합Sheet!B50</f>
        <v>박정호</v>
      </c>
      <c r="C64" s="2">
        <f t="shared" si="7"/>
        <v>0</v>
      </c>
      <c r="D64" s="14">
        <f>COUNTIF(경기기록Sheet!$E:$H,B64)</f>
        <v>0</v>
      </c>
      <c r="E64" s="14">
        <f>COUNTIF(경기기록Sheet!$I:$L,B64)</f>
        <v>0</v>
      </c>
      <c r="F64" s="14">
        <f>COUNTIF(경기기록Sheet!$M:$P,B64)</f>
        <v>0</v>
      </c>
      <c r="G64" s="14">
        <f>COUNTIF(경기기록Sheet!$Q:$U,B64)</f>
        <v>0</v>
      </c>
      <c r="H64" s="14">
        <f>COUNTIF(경기기록Sheet!$V:$V,B64)</f>
        <v>0</v>
      </c>
      <c r="I64" s="14">
        <f t="shared" si="8"/>
        <v>0</v>
      </c>
      <c r="J64" s="15"/>
    </row>
    <row r="65" spans="1:10" x14ac:dyDescent="0.25">
      <c r="A65" s="2">
        <f>종합Sheet!A52</f>
        <v>49</v>
      </c>
      <c r="B65" s="2" t="str">
        <f>종합Sheet!B52</f>
        <v>박주현</v>
      </c>
      <c r="C65" s="2">
        <f t="shared" si="7"/>
        <v>0</v>
      </c>
      <c r="D65" s="14">
        <f>COUNTIF(경기기록Sheet!$E:$H,B65)</f>
        <v>0</v>
      </c>
      <c r="E65" s="14">
        <f>COUNTIF(경기기록Sheet!$I:$L,B65)</f>
        <v>0</v>
      </c>
      <c r="F65" s="14">
        <f>COUNTIF(경기기록Sheet!$M:$P,B65)</f>
        <v>0</v>
      </c>
      <c r="G65" s="14">
        <f>COUNTIF(경기기록Sheet!$Q:$U,B65)</f>
        <v>0</v>
      </c>
      <c r="H65" s="14">
        <f>COUNTIF(경기기록Sheet!$V:$V,B65)</f>
        <v>0</v>
      </c>
      <c r="I65" s="14">
        <f t="shared" si="8"/>
        <v>0</v>
      </c>
      <c r="J65" s="15"/>
    </row>
    <row r="66" spans="1:10" x14ac:dyDescent="0.25">
      <c r="A66" s="2">
        <f>종합Sheet!A53</f>
        <v>50</v>
      </c>
      <c r="B66" s="2" t="str">
        <f>종합Sheet!B53</f>
        <v>박하빈</v>
      </c>
      <c r="C66" s="2">
        <f t="shared" si="7"/>
        <v>0</v>
      </c>
      <c r="D66" s="14">
        <f>COUNTIF(경기기록Sheet!$E:$H,B66)</f>
        <v>0</v>
      </c>
      <c r="E66" s="14">
        <f>COUNTIF(경기기록Sheet!$I:$L,B66)</f>
        <v>0</v>
      </c>
      <c r="F66" s="14">
        <f>COUNTIF(경기기록Sheet!$M:$P,B66)</f>
        <v>0</v>
      </c>
      <c r="G66" s="14">
        <f>COUNTIF(경기기록Sheet!$Q:$U,B66)</f>
        <v>0</v>
      </c>
      <c r="H66" s="14">
        <f>COUNTIF(경기기록Sheet!$V:$V,B66)</f>
        <v>0</v>
      </c>
      <c r="I66" s="14">
        <f t="shared" si="8"/>
        <v>0</v>
      </c>
      <c r="J66" s="15"/>
    </row>
    <row r="67" spans="1:10" x14ac:dyDescent="0.25">
      <c r="A67" s="2">
        <f>종합Sheet!A54</f>
        <v>51</v>
      </c>
      <c r="B67" s="2" t="str">
        <f>종합Sheet!B54</f>
        <v>박형기</v>
      </c>
      <c r="C67" s="2">
        <f t="shared" si="7"/>
        <v>0</v>
      </c>
      <c r="D67" s="14">
        <f>COUNTIF(경기기록Sheet!$E:$H,B67)</f>
        <v>0</v>
      </c>
      <c r="E67" s="14">
        <f>COUNTIF(경기기록Sheet!$I:$L,B67)</f>
        <v>0</v>
      </c>
      <c r="F67" s="14">
        <f>COUNTIF(경기기록Sheet!$M:$P,B67)</f>
        <v>0</v>
      </c>
      <c r="G67" s="14">
        <f>COUNTIF(경기기록Sheet!$Q:$U,B67)</f>
        <v>0</v>
      </c>
      <c r="H67" s="14">
        <f>COUNTIF(경기기록Sheet!$V:$V,B67)</f>
        <v>0</v>
      </c>
      <c r="I67" s="14">
        <f t="shared" si="8"/>
        <v>0</v>
      </c>
      <c r="J67" s="15"/>
    </row>
    <row r="68" spans="1:10" x14ac:dyDescent="0.25">
      <c r="A68" s="2">
        <f>종합Sheet!A55</f>
        <v>52</v>
      </c>
      <c r="B68" s="2" t="str">
        <f>종합Sheet!B55</f>
        <v>손경호</v>
      </c>
      <c r="C68" s="2">
        <f t="shared" ref="C68:C99" si="9">((D68+E68+G68+H68)*0.2)+(F68*0.3)</f>
        <v>0</v>
      </c>
      <c r="D68" s="14">
        <f>COUNTIF(경기기록Sheet!$E:$H,B68)</f>
        <v>0</v>
      </c>
      <c r="E68" s="14">
        <f>COUNTIF(경기기록Sheet!$I:$L,B68)</f>
        <v>0</v>
      </c>
      <c r="F68" s="14">
        <f>COUNTIF(경기기록Sheet!$M:$P,B68)</f>
        <v>0</v>
      </c>
      <c r="G68" s="14">
        <f>COUNTIF(경기기록Sheet!$Q:$U,B68)</f>
        <v>0</v>
      </c>
      <c r="H68" s="14">
        <f>COUNTIF(경기기록Sheet!$V:$V,B68)</f>
        <v>0</v>
      </c>
      <c r="I68" s="14">
        <f t="shared" ref="I68:I99" si="10">SUM(D68:H68)</f>
        <v>0</v>
      </c>
      <c r="J68" s="15"/>
    </row>
    <row r="69" spans="1:10" x14ac:dyDescent="0.25">
      <c r="A69" s="2">
        <f>종합Sheet!A57</f>
        <v>54</v>
      </c>
      <c r="B69" s="2" t="str">
        <f>종합Sheet!B57</f>
        <v>신기웅</v>
      </c>
      <c r="C69" s="2">
        <f t="shared" si="9"/>
        <v>0</v>
      </c>
      <c r="D69" s="14">
        <f>COUNTIF(경기기록Sheet!$E:$H,B69)</f>
        <v>0</v>
      </c>
      <c r="E69" s="14">
        <f>COUNTIF(경기기록Sheet!$I:$L,B69)</f>
        <v>0</v>
      </c>
      <c r="F69" s="14">
        <f>COUNTIF(경기기록Sheet!$M:$P,B69)</f>
        <v>0</v>
      </c>
      <c r="G69" s="14">
        <f>COUNTIF(경기기록Sheet!$Q:$U,B69)</f>
        <v>0</v>
      </c>
      <c r="H69" s="14">
        <f>COUNTIF(경기기록Sheet!$V:$V,B69)</f>
        <v>0</v>
      </c>
      <c r="I69" s="14">
        <f t="shared" si="10"/>
        <v>0</v>
      </c>
      <c r="J69" s="15"/>
    </row>
    <row r="70" spans="1:10" x14ac:dyDescent="0.25">
      <c r="A70" s="2">
        <f>종합Sheet!A58</f>
        <v>55</v>
      </c>
      <c r="B70" s="2" t="str">
        <f>종합Sheet!B58</f>
        <v>신종훈</v>
      </c>
      <c r="C70" s="2">
        <f t="shared" si="9"/>
        <v>0</v>
      </c>
      <c r="D70" s="14">
        <f>COUNTIF(경기기록Sheet!$E:$H,B70)</f>
        <v>0</v>
      </c>
      <c r="E70" s="14">
        <f>COUNTIF(경기기록Sheet!$I:$L,B70)</f>
        <v>0</v>
      </c>
      <c r="F70" s="14">
        <f>COUNTIF(경기기록Sheet!$M:$P,B70)</f>
        <v>0</v>
      </c>
      <c r="G70" s="14">
        <f>COUNTIF(경기기록Sheet!$Q:$U,B70)</f>
        <v>0</v>
      </c>
      <c r="H70" s="14">
        <f>COUNTIF(경기기록Sheet!$V:$V,B70)</f>
        <v>0</v>
      </c>
      <c r="I70" s="14">
        <f t="shared" si="10"/>
        <v>0</v>
      </c>
      <c r="J70" s="15"/>
    </row>
    <row r="71" spans="1:10" x14ac:dyDescent="0.25">
      <c r="A71" s="2">
        <f>종합Sheet!A59</f>
        <v>56</v>
      </c>
      <c r="B71" s="2" t="str">
        <f>종합Sheet!B59</f>
        <v>안진혁</v>
      </c>
      <c r="C71" s="2">
        <f t="shared" si="9"/>
        <v>0</v>
      </c>
      <c r="D71" s="14">
        <f>COUNTIF(경기기록Sheet!$E:$H,B71)</f>
        <v>0</v>
      </c>
      <c r="E71" s="14">
        <f>COUNTIF(경기기록Sheet!$I:$L,B71)</f>
        <v>0</v>
      </c>
      <c r="F71" s="14">
        <f>COUNTIF(경기기록Sheet!$M:$P,B71)</f>
        <v>0</v>
      </c>
      <c r="G71" s="14">
        <f>COUNTIF(경기기록Sheet!$Q:$U,B71)</f>
        <v>0</v>
      </c>
      <c r="H71" s="14">
        <f>COUNTIF(경기기록Sheet!$V:$V,B71)</f>
        <v>0</v>
      </c>
      <c r="I71" s="14">
        <f t="shared" si="10"/>
        <v>0</v>
      </c>
      <c r="J71" s="15"/>
    </row>
    <row r="72" spans="1:10" x14ac:dyDescent="0.25">
      <c r="A72" s="2">
        <f>종합Sheet!A60</f>
        <v>57</v>
      </c>
      <c r="B72" s="2" t="str">
        <f>종합Sheet!B60</f>
        <v>양진웅</v>
      </c>
      <c r="C72" s="2">
        <f t="shared" si="9"/>
        <v>0</v>
      </c>
      <c r="D72" s="14">
        <f>COUNTIF(경기기록Sheet!$E:$H,B72)</f>
        <v>0</v>
      </c>
      <c r="E72" s="14">
        <f>COUNTIF(경기기록Sheet!$I:$L,B72)</f>
        <v>0</v>
      </c>
      <c r="F72" s="14">
        <f>COUNTIF(경기기록Sheet!$M:$P,B72)</f>
        <v>0</v>
      </c>
      <c r="G72" s="14">
        <f>COUNTIF(경기기록Sheet!$Q:$U,B72)</f>
        <v>0</v>
      </c>
      <c r="H72" s="14">
        <f>COUNTIF(경기기록Sheet!$V:$V,B72)</f>
        <v>0</v>
      </c>
      <c r="I72" s="14">
        <f t="shared" si="10"/>
        <v>0</v>
      </c>
      <c r="J72" s="15"/>
    </row>
    <row r="73" spans="1:10" x14ac:dyDescent="0.25">
      <c r="A73" s="2">
        <f>종합Sheet!A62</f>
        <v>59</v>
      </c>
      <c r="B73" s="2" t="str">
        <f>종합Sheet!B62</f>
        <v>오운용</v>
      </c>
      <c r="C73" s="2">
        <f t="shared" si="9"/>
        <v>0</v>
      </c>
      <c r="D73" s="14">
        <f>COUNTIF(경기기록Sheet!$E:$H,B73)</f>
        <v>0</v>
      </c>
      <c r="E73" s="14">
        <f>COUNTIF(경기기록Sheet!$I:$L,B73)</f>
        <v>0</v>
      </c>
      <c r="F73" s="14">
        <f>COUNTIF(경기기록Sheet!$M:$P,B73)</f>
        <v>0</v>
      </c>
      <c r="G73" s="14">
        <f>COUNTIF(경기기록Sheet!$Q:$U,B73)</f>
        <v>0</v>
      </c>
      <c r="H73" s="14">
        <f>COUNTIF(경기기록Sheet!$V:$V,B73)</f>
        <v>0</v>
      </c>
      <c r="I73" s="14">
        <f t="shared" si="10"/>
        <v>0</v>
      </c>
      <c r="J73" s="15"/>
    </row>
    <row r="74" spans="1:10" x14ac:dyDescent="0.25">
      <c r="A74" s="2">
        <f>종합Sheet!A63</f>
        <v>60</v>
      </c>
      <c r="B74" s="2" t="str">
        <f>종합Sheet!B63</f>
        <v>오진환</v>
      </c>
      <c r="C74" s="2">
        <f t="shared" si="9"/>
        <v>0</v>
      </c>
      <c r="D74" s="14">
        <f>COUNTIF(경기기록Sheet!$E:$H,B74)</f>
        <v>0</v>
      </c>
      <c r="E74" s="14">
        <f>COUNTIF(경기기록Sheet!$I:$L,B74)</f>
        <v>0</v>
      </c>
      <c r="F74" s="14">
        <f>COUNTIF(경기기록Sheet!$M:$P,B74)</f>
        <v>0</v>
      </c>
      <c r="G74" s="14">
        <f>COUNTIF(경기기록Sheet!$Q:$U,B74)</f>
        <v>0</v>
      </c>
      <c r="H74" s="14">
        <f>COUNTIF(경기기록Sheet!$V:$V,B74)</f>
        <v>0</v>
      </c>
      <c r="I74" s="14">
        <f t="shared" si="10"/>
        <v>0</v>
      </c>
      <c r="J74" s="15"/>
    </row>
    <row r="75" spans="1:10" x14ac:dyDescent="0.25">
      <c r="A75" s="2">
        <f>종합Sheet!A64</f>
        <v>61</v>
      </c>
      <c r="B75" s="2" t="str">
        <f>종합Sheet!B64</f>
        <v>우보광</v>
      </c>
      <c r="C75" s="2">
        <f t="shared" si="9"/>
        <v>0</v>
      </c>
      <c r="D75" s="14">
        <f>COUNTIF(경기기록Sheet!$E:$H,B75)</f>
        <v>0</v>
      </c>
      <c r="E75" s="14">
        <f>COUNTIF(경기기록Sheet!$I:$L,B75)</f>
        <v>0</v>
      </c>
      <c r="F75" s="14">
        <f>COUNTIF(경기기록Sheet!$M:$P,B75)</f>
        <v>0</v>
      </c>
      <c r="G75" s="14">
        <f>COUNTIF(경기기록Sheet!$Q:$U,B75)</f>
        <v>0</v>
      </c>
      <c r="H75" s="14">
        <f>COUNTIF(경기기록Sheet!$V:$V,B75)</f>
        <v>0</v>
      </c>
      <c r="I75" s="14">
        <f t="shared" si="10"/>
        <v>0</v>
      </c>
      <c r="J75" s="15"/>
    </row>
    <row r="76" spans="1:10" x14ac:dyDescent="0.25">
      <c r="A76" s="2">
        <f>종합Sheet!A66</f>
        <v>63</v>
      </c>
      <c r="B76" s="2" t="str">
        <f>종합Sheet!B66</f>
        <v>유인상</v>
      </c>
      <c r="C76" s="2">
        <f t="shared" si="9"/>
        <v>0</v>
      </c>
      <c r="D76" s="14">
        <f>COUNTIF(경기기록Sheet!$E:$H,B76)</f>
        <v>0</v>
      </c>
      <c r="E76" s="14">
        <f>COUNTIF(경기기록Sheet!$I:$L,B76)</f>
        <v>0</v>
      </c>
      <c r="F76" s="14">
        <f>COUNTIF(경기기록Sheet!$M:$P,B76)</f>
        <v>0</v>
      </c>
      <c r="G76" s="14">
        <f>COUNTIF(경기기록Sheet!$Q:$U,B76)</f>
        <v>0</v>
      </c>
      <c r="H76" s="14">
        <f>COUNTIF(경기기록Sheet!$V:$V,B76)</f>
        <v>0</v>
      </c>
      <c r="I76" s="14">
        <f t="shared" si="10"/>
        <v>0</v>
      </c>
      <c r="J76" s="15"/>
    </row>
    <row r="77" spans="1:10" x14ac:dyDescent="0.25">
      <c r="A77" s="2">
        <f>종합Sheet!A67</f>
        <v>64</v>
      </c>
      <c r="B77" s="2" t="str">
        <f>종합Sheet!B67</f>
        <v>유정훈</v>
      </c>
      <c r="C77" s="2">
        <f t="shared" si="9"/>
        <v>0</v>
      </c>
      <c r="D77" s="14">
        <f>COUNTIF(경기기록Sheet!$E:$H,B77)</f>
        <v>0</v>
      </c>
      <c r="E77" s="14">
        <f>COUNTIF(경기기록Sheet!$I:$L,B77)</f>
        <v>0</v>
      </c>
      <c r="F77" s="14">
        <f>COUNTIF(경기기록Sheet!$M:$P,B77)</f>
        <v>0</v>
      </c>
      <c r="G77" s="14">
        <f>COUNTIF(경기기록Sheet!$Q:$U,B77)</f>
        <v>0</v>
      </c>
      <c r="H77" s="14">
        <f>COUNTIF(경기기록Sheet!$V:$V,B77)</f>
        <v>0</v>
      </c>
      <c r="I77" s="14">
        <f t="shared" si="10"/>
        <v>0</v>
      </c>
      <c r="J77" s="15"/>
    </row>
    <row r="78" spans="1:10" x14ac:dyDescent="0.25">
      <c r="A78" s="2">
        <f>종합Sheet!A68</f>
        <v>65</v>
      </c>
      <c r="B78" s="2" t="str">
        <f>종합Sheet!B68</f>
        <v>유진효</v>
      </c>
      <c r="C78" s="2">
        <f t="shared" si="9"/>
        <v>0</v>
      </c>
      <c r="D78" s="14">
        <f>COUNTIF(경기기록Sheet!$E:$H,B78)</f>
        <v>0</v>
      </c>
      <c r="E78" s="14">
        <f>COUNTIF(경기기록Sheet!$I:$L,B78)</f>
        <v>0</v>
      </c>
      <c r="F78" s="14">
        <f>COUNTIF(경기기록Sheet!$M:$P,B78)</f>
        <v>0</v>
      </c>
      <c r="G78" s="14">
        <f>COUNTIF(경기기록Sheet!$Q:$U,B78)</f>
        <v>0</v>
      </c>
      <c r="H78" s="14">
        <f>COUNTIF(경기기록Sheet!$V:$V,B78)</f>
        <v>0</v>
      </c>
      <c r="I78" s="14">
        <f t="shared" si="10"/>
        <v>0</v>
      </c>
      <c r="J78" s="15"/>
    </row>
    <row r="79" spans="1:10" x14ac:dyDescent="0.25">
      <c r="A79" s="2">
        <f>종합Sheet!A69</f>
        <v>66</v>
      </c>
      <c r="B79" s="2" t="str">
        <f>종합Sheet!B69</f>
        <v>윤원택</v>
      </c>
      <c r="C79" s="2">
        <f t="shared" si="9"/>
        <v>0</v>
      </c>
      <c r="D79" s="14">
        <f>COUNTIF(경기기록Sheet!$E:$H,B79)</f>
        <v>0</v>
      </c>
      <c r="E79" s="14">
        <f>COUNTIF(경기기록Sheet!$I:$L,B79)</f>
        <v>0</v>
      </c>
      <c r="F79" s="14">
        <f>COUNTIF(경기기록Sheet!$M:$P,B79)</f>
        <v>0</v>
      </c>
      <c r="G79" s="14">
        <f>COUNTIF(경기기록Sheet!$Q:$U,B79)</f>
        <v>0</v>
      </c>
      <c r="H79" s="14">
        <f>COUNTIF(경기기록Sheet!$V:$V,B79)</f>
        <v>0</v>
      </c>
      <c r="I79" s="14">
        <f t="shared" si="10"/>
        <v>0</v>
      </c>
      <c r="J79" s="15"/>
    </row>
    <row r="80" spans="1:10" x14ac:dyDescent="0.25">
      <c r="A80" s="2">
        <f>종합Sheet!A70</f>
        <v>67</v>
      </c>
      <c r="B80" s="2" t="str">
        <f>종합Sheet!B70</f>
        <v>윤창현</v>
      </c>
      <c r="C80" s="2">
        <f t="shared" si="9"/>
        <v>0</v>
      </c>
      <c r="D80" s="14">
        <f>COUNTIF(경기기록Sheet!$E:$H,B80)</f>
        <v>0</v>
      </c>
      <c r="E80" s="14">
        <f>COUNTIF(경기기록Sheet!$I:$L,B80)</f>
        <v>0</v>
      </c>
      <c r="F80" s="14">
        <f>COUNTIF(경기기록Sheet!$M:$P,B80)</f>
        <v>0</v>
      </c>
      <c r="G80" s="14">
        <f>COUNTIF(경기기록Sheet!$Q:$U,B80)</f>
        <v>0</v>
      </c>
      <c r="H80" s="14">
        <f>COUNTIF(경기기록Sheet!$V:$V,B80)</f>
        <v>0</v>
      </c>
      <c r="I80" s="14">
        <f t="shared" si="10"/>
        <v>0</v>
      </c>
      <c r="J80" s="15"/>
    </row>
    <row r="81" spans="1:10" x14ac:dyDescent="0.25">
      <c r="A81" s="2">
        <f>종합Sheet!A72</f>
        <v>69</v>
      </c>
      <c r="B81" s="2" t="str">
        <f>종합Sheet!B72</f>
        <v>이경석</v>
      </c>
      <c r="C81" s="2">
        <f t="shared" si="9"/>
        <v>0</v>
      </c>
      <c r="D81" s="14">
        <f>COUNTIF(경기기록Sheet!$E:$H,B81)</f>
        <v>0</v>
      </c>
      <c r="E81" s="14">
        <f>COUNTIF(경기기록Sheet!$I:$L,B81)</f>
        <v>0</v>
      </c>
      <c r="F81" s="14">
        <f>COUNTIF(경기기록Sheet!$M:$P,B81)</f>
        <v>0</v>
      </c>
      <c r="G81" s="14">
        <f>COUNTIF(경기기록Sheet!$Q:$U,B81)</f>
        <v>0</v>
      </c>
      <c r="H81" s="14">
        <f>COUNTIF(경기기록Sheet!$V:$V,B81)</f>
        <v>0</v>
      </c>
      <c r="I81" s="14">
        <f t="shared" si="10"/>
        <v>0</v>
      </c>
      <c r="J81" s="15"/>
    </row>
    <row r="82" spans="1:10" x14ac:dyDescent="0.25">
      <c r="A82" s="2">
        <f>종합Sheet!A73</f>
        <v>70</v>
      </c>
      <c r="B82" s="2" t="str">
        <f>종합Sheet!B73</f>
        <v>이민재</v>
      </c>
      <c r="C82" s="2">
        <f t="shared" si="9"/>
        <v>0</v>
      </c>
      <c r="D82" s="14">
        <f>COUNTIF(경기기록Sheet!$E:$H,B82)</f>
        <v>0</v>
      </c>
      <c r="E82" s="14">
        <f>COUNTIF(경기기록Sheet!$I:$L,B82)</f>
        <v>0</v>
      </c>
      <c r="F82" s="14">
        <f>COUNTIF(경기기록Sheet!$M:$P,B82)</f>
        <v>0</v>
      </c>
      <c r="G82" s="14">
        <f>COUNTIF(경기기록Sheet!$Q:$U,B82)</f>
        <v>0</v>
      </c>
      <c r="H82" s="14">
        <f>COUNTIF(경기기록Sheet!$V:$V,B82)</f>
        <v>0</v>
      </c>
      <c r="I82" s="14">
        <f t="shared" si="10"/>
        <v>0</v>
      </c>
      <c r="J82" s="15"/>
    </row>
    <row r="83" spans="1:10" x14ac:dyDescent="0.25">
      <c r="A83" s="2">
        <f>종합Sheet!A76</f>
        <v>73</v>
      </c>
      <c r="B83" s="2" t="str">
        <f>종합Sheet!B76</f>
        <v>이상현</v>
      </c>
      <c r="C83" s="2">
        <f t="shared" si="9"/>
        <v>0</v>
      </c>
      <c r="D83" s="14">
        <f>COUNTIF(경기기록Sheet!$E:$H,B83)</f>
        <v>0</v>
      </c>
      <c r="E83" s="14">
        <f>COUNTIF(경기기록Sheet!$I:$L,B83)</f>
        <v>0</v>
      </c>
      <c r="F83" s="14">
        <f>COUNTIF(경기기록Sheet!$M:$P,B83)</f>
        <v>0</v>
      </c>
      <c r="G83" s="14">
        <f>COUNTIF(경기기록Sheet!$Q:$U,B83)</f>
        <v>0</v>
      </c>
      <c r="H83" s="14">
        <f>COUNTIF(경기기록Sheet!$V:$V,B83)</f>
        <v>0</v>
      </c>
      <c r="I83" s="14">
        <f t="shared" si="10"/>
        <v>0</v>
      </c>
      <c r="J83" s="15"/>
    </row>
    <row r="84" spans="1:10" x14ac:dyDescent="0.25">
      <c r="A84" s="2">
        <f>종합Sheet!A77</f>
        <v>74</v>
      </c>
      <c r="B84" s="2" t="str">
        <f>종합Sheet!B77</f>
        <v>이새샘</v>
      </c>
      <c r="C84" s="2">
        <f t="shared" si="9"/>
        <v>0</v>
      </c>
      <c r="D84" s="14">
        <f>COUNTIF(경기기록Sheet!$E:$H,B84)</f>
        <v>0</v>
      </c>
      <c r="E84" s="14">
        <f>COUNTIF(경기기록Sheet!$I:$L,B84)</f>
        <v>0</v>
      </c>
      <c r="F84" s="14">
        <f>COUNTIF(경기기록Sheet!$M:$P,B84)</f>
        <v>0</v>
      </c>
      <c r="G84" s="14">
        <f>COUNTIF(경기기록Sheet!$Q:$U,B84)</f>
        <v>0</v>
      </c>
      <c r="H84" s="14">
        <f>COUNTIF(경기기록Sheet!$V:$V,B84)</f>
        <v>0</v>
      </c>
      <c r="I84" s="14">
        <f t="shared" si="10"/>
        <v>0</v>
      </c>
      <c r="J84" s="15"/>
    </row>
    <row r="85" spans="1:10" x14ac:dyDescent="0.25">
      <c r="A85" s="2">
        <f>종합Sheet!A78</f>
        <v>75</v>
      </c>
      <c r="B85" s="2" t="str">
        <f>종합Sheet!B78</f>
        <v>이성관</v>
      </c>
      <c r="C85" s="2">
        <f t="shared" si="9"/>
        <v>0</v>
      </c>
      <c r="D85" s="14">
        <f>COUNTIF(경기기록Sheet!$E:$H,B85)</f>
        <v>0</v>
      </c>
      <c r="E85" s="14">
        <f>COUNTIF(경기기록Sheet!$I:$L,B85)</f>
        <v>0</v>
      </c>
      <c r="F85" s="14">
        <f>COUNTIF(경기기록Sheet!$M:$P,B85)</f>
        <v>0</v>
      </c>
      <c r="G85" s="14">
        <f>COUNTIF(경기기록Sheet!$Q:$U,B85)</f>
        <v>0</v>
      </c>
      <c r="H85" s="14">
        <f>COUNTIF(경기기록Sheet!$V:$V,B85)</f>
        <v>0</v>
      </c>
      <c r="I85" s="14">
        <f t="shared" si="10"/>
        <v>0</v>
      </c>
      <c r="J85" s="15"/>
    </row>
    <row r="86" spans="1:10" x14ac:dyDescent="0.25">
      <c r="A86" s="2">
        <f>종합Sheet!A79</f>
        <v>76</v>
      </c>
      <c r="B86" s="2" t="str">
        <f>종합Sheet!B79</f>
        <v>이승윤</v>
      </c>
      <c r="C86" s="2">
        <f t="shared" si="9"/>
        <v>0</v>
      </c>
      <c r="D86" s="14">
        <f>COUNTIF(경기기록Sheet!$E:$H,B86)</f>
        <v>0</v>
      </c>
      <c r="E86" s="14">
        <f>COUNTIF(경기기록Sheet!$I:$L,B86)</f>
        <v>0</v>
      </c>
      <c r="F86" s="14">
        <f>COUNTIF(경기기록Sheet!$M:$P,B86)</f>
        <v>0</v>
      </c>
      <c r="G86" s="14">
        <f>COUNTIF(경기기록Sheet!$Q:$U,B86)</f>
        <v>0</v>
      </c>
      <c r="H86" s="14">
        <f>COUNTIF(경기기록Sheet!$V:$V,B86)</f>
        <v>0</v>
      </c>
      <c r="I86" s="14">
        <f t="shared" si="10"/>
        <v>0</v>
      </c>
      <c r="J86" s="15"/>
    </row>
    <row r="87" spans="1:10" x14ac:dyDescent="0.25">
      <c r="A87" s="2">
        <f>종합Sheet!A80</f>
        <v>77</v>
      </c>
      <c r="B87" s="2" t="str">
        <f>종합Sheet!B80</f>
        <v>이연길</v>
      </c>
      <c r="C87" s="2">
        <f t="shared" si="9"/>
        <v>0</v>
      </c>
      <c r="D87" s="14">
        <f>COUNTIF(경기기록Sheet!$E:$H,B87)</f>
        <v>0</v>
      </c>
      <c r="E87" s="14">
        <f>COUNTIF(경기기록Sheet!$I:$L,B87)</f>
        <v>0</v>
      </c>
      <c r="F87" s="14">
        <f>COUNTIF(경기기록Sheet!$M:$P,B87)</f>
        <v>0</v>
      </c>
      <c r="G87" s="14">
        <f>COUNTIF(경기기록Sheet!$Q:$U,B87)</f>
        <v>0</v>
      </c>
      <c r="H87" s="14">
        <f>COUNTIF(경기기록Sheet!$V:$V,B87)</f>
        <v>0</v>
      </c>
      <c r="I87" s="14">
        <f t="shared" si="10"/>
        <v>0</v>
      </c>
      <c r="J87" s="15"/>
    </row>
    <row r="88" spans="1:10" x14ac:dyDescent="0.25">
      <c r="A88" s="2">
        <f>종합Sheet!A81</f>
        <v>78</v>
      </c>
      <c r="B88" s="2" t="str">
        <f>종합Sheet!B81</f>
        <v>이정범</v>
      </c>
      <c r="C88" s="2">
        <f t="shared" si="9"/>
        <v>0</v>
      </c>
      <c r="D88" s="14">
        <f>COUNTIF(경기기록Sheet!$E:$H,B88)</f>
        <v>0</v>
      </c>
      <c r="E88" s="14">
        <f>COUNTIF(경기기록Sheet!$I:$L,B88)</f>
        <v>0</v>
      </c>
      <c r="F88" s="14">
        <f>COUNTIF(경기기록Sheet!$M:$P,B88)</f>
        <v>0</v>
      </c>
      <c r="G88" s="14">
        <f>COUNTIF(경기기록Sheet!$Q:$U,B88)</f>
        <v>0</v>
      </c>
      <c r="H88" s="14">
        <f>COUNTIF(경기기록Sheet!$V:$V,B88)</f>
        <v>0</v>
      </c>
      <c r="I88" s="14">
        <f t="shared" si="10"/>
        <v>0</v>
      </c>
      <c r="J88" s="15"/>
    </row>
    <row r="89" spans="1:10" x14ac:dyDescent="0.25">
      <c r="A89" s="2">
        <f>종합Sheet!A82</f>
        <v>79</v>
      </c>
      <c r="B89" s="2" t="str">
        <f>종합Sheet!B82</f>
        <v>이종수</v>
      </c>
      <c r="C89" s="2">
        <f t="shared" si="9"/>
        <v>0</v>
      </c>
      <c r="D89" s="14">
        <f>COUNTIF(경기기록Sheet!$E:$H,B89)</f>
        <v>0</v>
      </c>
      <c r="E89" s="14">
        <f>COUNTIF(경기기록Sheet!$I:$L,B89)</f>
        <v>0</v>
      </c>
      <c r="F89" s="14">
        <f>COUNTIF(경기기록Sheet!$M:$P,B89)</f>
        <v>0</v>
      </c>
      <c r="G89" s="14">
        <f>COUNTIF(경기기록Sheet!$Q:$U,B89)</f>
        <v>0</v>
      </c>
      <c r="H89" s="14">
        <f>COUNTIF(경기기록Sheet!$V:$V,B89)</f>
        <v>0</v>
      </c>
      <c r="I89" s="14">
        <f t="shared" si="10"/>
        <v>0</v>
      </c>
      <c r="J89" s="15"/>
    </row>
    <row r="90" spans="1:10" x14ac:dyDescent="0.25">
      <c r="A90" s="2">
        <f>종합Sheet!A83</f>
        <v>80</v>
      </c>
      <c r="B90" s="2" t="str">
        <f>종합Sheet!B83</f>
        <v>이찬영</v>
      </c>
      <c r="C90" s="2">
        <f t="shared" si="9"/>
        <v>0</v>
      </c>
      <c r="D90" s="14">
        <f>COUNTIF(경기기록Sheet!$E:$H,B90)</f>
        <v>0</v>
      </c>
      <c r="E90" s="14">
        <f>COUNTIF(경기기록Sheet!$I:$L,B90)</f>
        <v>0</v>
      </c>
      <c r="F90" s="14">
        <f>COUNTIF(경기기록Sheet!$M:$P,B90)</f>
        <v>0</v>
      </c>
      <c r="G90" s="14">
        <f>COUNTIF(경기기록Sheet!$Q:$U,B90)</f>
        <v>0</v>
      </c>
      <c r="H90" s="14">
        <f>COUNTIF(경기기록Sheet!$V:$V,B90)</f>
        <v>0</v>
      </c>
      <c r="I90" s="14">
        <f t="shared" si="10"/>
        <v>0</v>
      </c>
      <c r="J90" s="15"/>
    </row>
    <row r="91" spans="1:10" x14ac:dyDescent="0.25">
      <c r="A91" s="2">
        <f>종합Sheet!A84</f>
        <v>81</v>
      </c>
      <c r="B91" s="2" t="str">
        <f>종합Sheet!B84</f>
        <v>이태한</v>
      </c>
      <c r="C91" s="2">
        <f t="shared" si="9"/>
        <v>0</v>
      </c>
      <c r="D91" s="14">
        <f>COUNTIF(경기기록Sheet!$E:$H,B91)</f>
        <v>0</v>
      </c>
      <c r="E91" s="14">
        <f>COUNTIF(경기기록Sheet!$I:$L,B91)</f>
        <v>0</v>
      </c>
      <c r="F91" s="14">
        <f>COUNTIF(경기기록Sheet!$M:$P,B91)</f>
        <v>0</v>
      </c>
      <c r="G91" s="14">
        <f>COUNTIF(경기기록Sheet!$Q:$U,B91)</f>
        <v>0</v>
      </c>
      <c r="H91" s="14">
        <f>COUNTIF(경기기록Sheet!$V:$V,B91)</f>
        <v>0</v>
      </c>
      <c r="I91" s="14">
        <f t="shared" si="10"/>
        <v>0</v>
      </c>
      <c r="J91" s="15"/>
    </row>
    <row r="92" spans="1:10" x14ac:dyDescent="0.25">
      <c r="A92" s="2">
        <f>종합Sheet!A85</f>
        <v>82</v>
      </c>
      <c r="B92" s="2" t="str">
        <f>종합Sheet!B85</f>
        <v>이호행</v>
      </c>
      <c r="C92" s="2">
        <f t="shared" si="9"/>
        <v>0</v>
      </c>
      <c r="D92" s="14">
        <f>COUNTIF(경기기록Sheet!$E:$H,B92)</f>
        <v>0</v>
      </c>
      <c r="E92" s="14">
        <f>COUNTIF(경기기록Sheet!$I:$L,B92)</f>
        <v>0</v>
      </c>
      <c r="F92" s="14">
        <f>COUNTIF(경기기록Sheet!$M:$P,B92)</f>
        <v>0</v>
      </c>
      <c r="G92" s="14">
        <f>COUNTIF(경기기록Sheet!$Q:$U,B92)</f>
        <v>0</v>
      </c>
      <c r="H92" s="14">
        <f>COUNTIF(경기기록Sheet!$V:$V,B92)</f>
        <v>0</v>
      </c>
      <c r="I92" s="14">
        <f t="shared" si="10"/>
        <v>0</v>
      </c>
      <c r="J92" s="15"/>
    </row>
    <row r="93" spans="1:10" x14ac:dyDescent="0.25">
      <c r="A93" s="2">
        <f>종합Sheet!A86</f>
        <v>83</v>
      </c>
      <c r="B93" s="2" t="str">
        <f>종합Sheet!B86</f>
        <v>임수철</v>
      </c>
      <c r="C93" s="2">
        <f t="shared" si="9"/>
        <v>0</v>
      </c>
      <c r="D93" s="14">
        <f>COUNTIF(경기기록Sheet!$E:$H,B93)</f>
        <v>0</v>
      </c>
      <c r="E93" s="14">
        <f>COUNTIF(경기기록Sheet!$I:$L,B93)</f>
        <v>0</v>
      </c>
      <c r="F93" s="14">
        <f>COUNTIF(경기기록Sheet!$M:$P,B93)</f>
        <v>0</v>
      </c>
      <c r="G93" s="14">
        <f>COUNTIF(경기기록Sheet!$Q:$U,B93)</f>
        <v>0</v>
      </c>
      <c r="H93" s="14">
        <f>COUNTIF(경기기록Sheet!$V:$V,B93)</f>
        <v>0</v>
      </c>
      <c r="I93" s="14">
        <f t="shared" si="10"/>
        <v>0</v>
      </c>
      <c r="J93" s="15"/>
    </row>
    <row r="94" spans="1:10" x14ac:dyDescent="0.25">
      <c r="A94" s="2">
        <f>종합Sheet!A87</f>
        <v>84</v>
      </c>
      <c r="B94" s="2" t="str">
        <f>종합Sheet!B87</f>
        <v>임태환</v>
      </c>
      <c r="C94" s="2">
        <f t="shared" si="9"/>
        <v>0</v>
      </c>
      <c r="D94" s="14">
        <f>COUNTIF(경기기록Sheet!$E:$H,B94)</f>
        <v>0</v>
      </c>
      <c r="E94" s="14">
        <f>COUNTIF(경기기록Sheet!$I:$L,B94)</f>
        <v>0</v>
      </c>
      <c r="F94" s="14">
        <f>COUNTIF(경기기록Sheet!$M:$P,B94)</f>
        <v>0</v>
      </c>
      <c r="G94" s="14">
        <f>COUNTIF(경기기록Sheet!$Q:$U,B94)</f>
        <v>0</v>
      </c>
      <c r="H94" s="14">
        <f>COUNTIF(경기기록Sheet!$V:$V,B94)</f>
        <v>0</v>
      </c>
      <c r="I94" s="14">
        <f t="shared" si="10"/>
        <v>0</v>
      </c>
      <c r="J94" s="15"/>
    </row>
    <row r="95" spans="1:10" x14ac:dyDescent="0.25">
      <c r="A95" s="2">
        <f>종합Sheet!A88</f>
        <v>85</v>
      </c>
      <c r="B95" s="2" t="str">
        <f>종합Sheet!B88</f>
        <v>장희도</v>
      </c>
      <c r="C95" s="2">
        <f t="shared" si="9"/>
        <v>0</v>
      </c>
      <c r="D95" s="14">
        <f>COUNTIF(경기기록Sheet!$E:$H,B95)</f>
        <v>0</v>
      </c>
      <c r="E95" s="14">
        <f>COUNTIF(경기기록Sheet!$I:$L,B95)</f>
        <v>0</v>
      </c>
      <c r="F95" s="14">
        <f>COUNTIF(경기기록Sheet!$M:$P,B95)</f>
        <v>0</v>
      </c>
      <c r="G95" s="14">
        <f>COUNTIF(경기기록Sheet!$Q:$U,B95)</f>
        <v>0</v>
      </c>
      <c r="H95" s="14">
        <f>COUNTIF(경기기록Sheet!$V:$V,B95)</f>
        <v>0</v>
      </c>
      <c r="I95" s="14">
        <f t="shared" si="10"/>
        <v>0</v>
      </c>
      <c r="J95" s="15"/>
    </row>
    <row r="96" spans="1:10" x14ac:dyDescent="0.25">
      <c r="A96" s="2">
        <f>종합Sheet!A89</f>
        <v>86</v>
      </c>
      <c r="B96" s="2" t="str">
        <f>종합Sheet!B89</f>
        <v>장희준</v>
      </c>
      <c r="C96" s="2">
        <f t="shared" si="9"/>
        <v>0</v>
      </c>
      <c r="D96" s="14">
        <f>COUNTIF(경기기록Sheet!$E:$H,B96)</f>
        <v>0</v>
      </c>
      <c r="E96" s="14">
        <f>COUNTIF(경기기록Sheet!$I:$L,B96)</f>
        <v>0</v>
      </c>
      <c r="F96" s="14">
        <f>COUNTIF(경기기록Sheet!$M:$P,B96)</f>
        <v>0</v>
      </c>
      <c r="G96" s="14">
        <f>COUNTIF(경기기록Sheet!$Q:$U,B96)</f>
        <v>0</v>
      </c>
      <c r="H96" s="14">
        <f>COUNTIF(경기기록Sheet!$V:$V,B96)</f>
        <v>0</v>
      </c>
      <c r="I96" s="14">
        <f t="shared" si="10"/>
        <v>0</v>
      </c>
      <c r="J96" s="15"/>
    </row>
    <row r="97" spans="1:10" x14ac:dyDescent="0.25">
      <c r="A97" s="2">
        <f>종합Sheet!A90</f>
        <v>87</v>
      </c>
      <c r="B97" s="2" t="str">
        <f>종합Sheet!B90</f>
        <v>전나현</v>
      </c>
      <c r="C97" s="2">
        <f t="shared" si="9"/>
        <v>0</v>
      </c>
      <c r="D97" s="14">
        <f>COUNTIF(경기기록Sheet!$E:$H,B97)</f>
        <v>0</v>
      </c>
      <c r="E97" s="14">
        <f>COUNTIF(경기기록Sheet!$I:$L,B97)</f>
        <v>0</v>
      </c>
      <c r="F97" s="14">
        <f>COUNTIF(경기기록Sheet!$M:$P,B97)</f>
        <v>0</v>
      </c>
      <c r="G97" s="14">
        <f>COUNTIF(경기기록Sheet!$Q:$U,B97)</f>
        <v>0</v>
      </c>
      <c r="H97" s="14">
        <f>COUNTIF(경기기록Sheet!$V:$V,B97)</f>
        <v>0</v>
      </c>
      <c r="I97" s="14">
        <f t="shared" si="10"/>
        <v>0</v>
      </c>
      <c r="J97" s="15"/>
    </row>
    <row r="98" spans="1:10" x14ac:dyDescent="0.25">
      <c r="A98" s="2">
        <f>종합Sheet!A91</f>
        <v>88</v>
      </c>
      <c r="B98" s="2" t="str">
        <f>종합Sheet!B91</f>
        <v>전성환</v>
      </c>
      <c r="C98" s="2">
        <f t="shared" si="9"/>
        <v>0</v>
      </c>
      <c r="D98" s="14">
        <f>COUNTIF(경기기록Sheet!$E:$H,B98)</f>
        <v>0</v>
      </c>
      <c r="E98" s="14">
        <f>COUNTIF(경기기록Sheet!$I:$L,B98)</f>
        <v>0</v>
      </c>
      <c r="F98" s="14">
        <f>COUNTIF(경기기록Sheet!$M:$P,B98)</f>
        <v>0</v>
      </c>
      <c r="G98" s="14">
        <f>COUNTIF(경기기록Sheet!$Q:$U,B98)</f>
        <v>0</v>
      </c>
      <c r="H98" s="14">
        <f>COUNTIF(경기기록Sheet!$V:$V,B98)</f>
        <v>0</v>
      </c>
      <c r="I98" s="14">
        <f t="shared" si="10"/>
        <v>0</v>
      </c>
      <c r="J98" s="15"/>
    </row>
    <row r="99" spans="1:10" x14ac:dyDescent="0.25">
      <c r="A99" s="2">
        <f>종합Sheet!A92</f>
        <v>89</v>
      </c>
      <c r="B99" s="2" t="str">
        <f>종합Sheet!B92</f>
        <v>전하늘</v>
      </c>
      <c r="C99" s="2">
        <f t="shared" si="9"/>
        <v>0</v>
      </c>
      <c r="D99" s="14">
        <f>COUNTIF(경기기록Sheet!$E:$H,B99)</f>
        <v>0</v>
      </c>
      <c r="E99" s="14">
        <f>COUNTIF(경기기록Sheet!$I:$L,B99)</f>
        <v>0</v>
      </c>
      <c r="F99" s="14">
        <f>COUNTIF(경기기록Sheet!$M:$P,B99)</f>
        <v>0</v>
      </c>
      <c r="G99" s="14">
        <f>COUNTIF(경기기록Sheet!$Q:$U,B99)</f>
        <v>0</v>
      </c>
      <c r="H99" s="14">
        <f>COUNTIF(경기기록Sheet!$V:$V,B99)</f>
        <v>0</v>
      </c>
      <c r="I99" s="14">
        <f t="shared" si="10"/>
        <v>0</v>
      </c>
      <c r="J99" s="15"/>
    </row>
    <row r="100" spans="1:10" x14ac:dyDescent="0.25">
      <c r="A100" s="2">
        <f>종합Sheet!A94</f>
        <v>91</v>
      </c>
      <c r="B100" s="2" t="str">
        <f>종합Sheet!B94</f>
        <v>정재명</v>
      </c>
      <c r="C100" s="2">
        <f t="shared" ref="C100:C114" si="11">((D100+E100+G100+H100)*0.2)+(F100*0.3)</f>
        <v>0</v>
      </c>
      <c r="D100" s="14">
        <f>COUNTIF(경기기록Sheet!$E:$H,B100)</f>
        <v>0</v>
      </c>
      <c r="E100" s="14">
        <f>COUNTIF(경기기록Sheet!$I:$L,B100)</f>
        <v>0</v>
      </c>
      <c r="F100" s="14">
        <f>COUNTIF(경기기록Sheet!$M:$P,B100)</f>
        <v>0</v>
      </c>
      <c r="G100" s="14">
        <f>COUNTIF(경기기록Sheet!$Q:$U,B100)</f>
        <v>0</v>
      </c>
      <c r="H100" s="14">
        <f>COUNTIF(경기기록Sheet!$V:$V,B100)</f>
        <v>0</v>
      </c>
      <c r="I100" s="14">
        <f t="shared" ref="I100:I114" si="12">SUM(D100:H100)</f>
        <v>0</v>
      </c>
      <c r="J100" s="15"/>
    </row>
    <row r="101" spans="1:10" x14ac:dyDescent="0.25">
      <c r="A101" s="2">
        <f>종합Sheet!A98</f>
        <v>95</v>
      </c>
      <c r="B101" s="2" t="str">
        <f>종합Sheet!B98</f>
        <v>최령창</v>
      </c>
      <c r="C101" s="2">
        <f t="shared" si="11"/>
        <v>0</v>
      </c>
      <c r="D101" s="14">
        <f>COUNTIF(경기기록Sheet!$E:$H,B101)</f>
        <v>0</v>
      </c>
      <c r="E101" s="14">
        <f>COUNTIF(경기기록Sheet!$I:$L,B101)</f>
        <v>0</v>
      </c>
      <c r="F101" s="14">
        <f>COUNTIF(경기기록Sheet!$M:$P,B101)</f>
        <v>0</v>
      </c>
      <c r="G101" s="14">
        <f>COUNTIF(경기기록Sheet!$Q:$U,B101)</f>
        <v>0</v>
      </c>
      <c r="H101" s="14">
        <f>COUNTIF(경기기록Sheet!$V:$V,B101)</f>
        <v>0</v>
      </c>
      <c r="I101" s="14">
        <f t="shared" si="12"/>
        <v>0</v>
      </c>
      <c r="J101" s="15"/>
    </row>
    <row r="102" spans="1:10" x14ac:dyDescent="0.25">
      <c r="A102" s="2">
        <f>종합Sheet!A99</f>
        <v>96</v>
      </c>
      <c r="B102" s="2" t="str">
        <f>종합Sheet!B99</f>
        <v>최승훈</v>
      </c>
      <c r="C102" s="2">
        <f t="shared" si="11"/>
        <v>0</v>
      </c>
      <c r="D102" s="14">
        <f>COUNTIF(경기기록Sheet!$E:$H,B102)</f>
        <v>0</v>
      </c>
      <c r="E102" s="14">
        <f>COUNTIF(경기기록Sheet!$I:$L,B102)</f>
        <v>0</v>
      </c>
      <c r="F102" s="14">
        <f>COUNTIF(경기기록Sheet!$M:$P,B102)</f>
        <v>0</v>
      </c>
      <c r="G102" s="14">
        <f>COUNTIF(경기기록Sheet!$Q:$U,B102)</f>
        <v>0</v>
      </c>
      <c r="H102" s="14">
        <f>COUNTIF(경기기록Sheet!$V:$V,B102)</f>
        <v>0</v>
      </c>
      <c r="I102" s="14">
        <f t="shared" si="12"/>
        <v>0</v>
      </c>
      <c r="J102" s="15"/>
    </row>
    <row r="103" spans="1:10" x14ac:dyDescent="0.25">
      <c r="A103" s="2">
        <f>종합Sheet!A101</f>
        <v>98</v>
      </c>
      <c r="B103" s="2" t="str">
        <f>종합Sheet!B101</f>
        <v>한의현</v>
      </c>
      <c r="C103" s="2">
        <f t="shared" si="11"/>
        <v>0</v>
      </c>
      <c r="D103" s="14">
        <f>COUNTIF(경기기록Sheet!$E:$H,B103)</f>
        <v>0</v>
      </c>
      <c r="E103" s="14">
        <f>COUNTIF(경기기록Sheet!$I:$L,B103)</f>
        <v>0</v>
      </c>
      <c r="F103" s="14">
        <f>COUNTIF(경기기록Sheet!$M:$P,B103)</f>
        <v>0</v>
      </c>
      <c r="G103" s="14">
        <f>COUNTIF(경기기록Sheet!$Q:$U,B103)</f>
        <v>0</v>
      </c>
      <c r="H103" s="14">
        <f>COUNTIF(경기기록Sheet!$V:$V,B103)</f>
        <v>0</v>
      </c>
      <c r="I103" s="14">
        <f t="shared" si="12"/>
        <v>0</v>
      </c>
      <c r="J103" s="15"/>
    </row>
    <row r="104" spans="1:10" x14ac:dyDescent="0.25">
      <c r="A104" s="2">
        <f>종합Sheet!A102</f>
        <v>99</v>
      </c>
      <c r="B104" s="2" t="str">
        <f>종합Sheet!B102</f>
        <v>한중희</v>
      </c>
      <c r="C104" s="2">
        <f t="shared" si="11"/>
        <v>0</v>
      </c>
      <c r="D104" s="14">
        <f>COUNTIF(경기기록Sheet!$E:$H,B104)</f>
        <v>0</v>
      </c>
      <c r="E104" s="14">
        <f>COUNTIF(경기기록Sheet!$I:$L,B104)</f>
        <v>0</v>
      </c>
      <c r="F104" s="14">
        <f>COUNTIF(경기기록Sheet!$M:$P,B104)</f>
        <v>0</v>
      </c>
      <c r="G104" s="14">
        <f>COUNTIF(경기기록Sheet!$Q:$U,B104)</f>
        <v>0</v>
      </c>
      <c r="H104" s="14">
        <f>COUNTIF(경기기록Sheet!$V:$V,B104)</f>
        <v>0</v>
      </c>
      <c r="I104" s="14">
        <f t="shared" si="12"/>
        <v>0</v>
      </c>
      <c r="J104" s="15"/>
    </row>
    <row r="105" spans="1:10" x14ac:dyDescent="0.25">
      <c r="A105" s="2">
        <f>종합Sheet!A103</f>
        <v>100</v>
      </c>
      <c r="B105" s="2" t="str">
        <f>종합Sheet!B103</f>
        <v>허동혁</v>
      </c>
      <c r="C105" s="2">
        <f t="shared" si="11"/>
        <v>0</v>
      </c>
      <c r="D105" s="14">
        <f>COUNTIF(경기기록Sheet!$E:$H,B105)</f>
        <v>0</v>
      </c>
      <c r="E105" s="14">
        <f>COUNTIF(경기기록Sheet!$I:$L,B105)</f>
        <v>0</v>
      </c>
      <c r="F105" s="14">
        <f>COUNTIF(경기기록Sheet!$M:$P,B105)</f>
        <v>0</v>
      </c>
      <c r="G105" s="14">
        <f>COUNTIF(경기기록Sheet!$Q:$U,B105)</f>
        <v>0</v>
      </c>
      <c r="H105" s="14">
        <f>COUNTIF(경기기록Sheet!$V:$V,B105)</f>
        <v>0</v>
      </c>
      <c r="I105" s="14">
        <f t="shared" si="12"/>
        <v>0</v>
      </c>
    </row>
    <row r="106" spans="1:10" x14ac:dyDescent="0.25">
      <c r="A106" s="2">
        <f>종합Sheet!A104</f>
        <v>101</v>
      </c>
      <c r="B106" s="2" t="str">
        <f>종합Sheet!B104</f>
        <v>홍석준</v>
      </c>
      <c r="C106" s="2">
        <f t="shared" si="11"/>
        <v>0</v>
      </c>
      <c r="D106" s="14">
        <f>COUNTIF(경기기록Sheet!$E:$H,B106)</f>
        <v>0</v>
      </c>
      <c r="E106" s="14">
        <f>COUNTIF(경기기록Sheet!$I:$L,B106)</f>
        <v>0</v>
      </c>
      <c r="F106" s="14">
        <f>COUNTIF(경기기록Sheet!$M:$P,B106)</f>
        <v>0</v>
      </c>
      <c r="G106" s="14">
        <f>COUNTIF(경기기록Sheet!$Q:$U,B106)</f>
        <v>0</v>
      </c>
      <c r="H106" s="14">
        <f>COUNTIF(경기기록Sheet!$V:$V,B106)</f>
        <v>0</v>
      </c>
      <c r="I106" s="14">
        <f t="shared" si="12"/>
        <v>0</v>
      </c>
    </row>
    <row r="107" spans="1:10" x14ac:dyDescent="0.25">
      <c r="A107" s="2">
        <f>종합Sheet!A107</f>
        <v>104</v>
      </c>
      <c r="B107" s="2" t="str">
        <f>종합Sheet!B107</f>
        <v>황재순</v>
      </c>
      <c r="C107" s="2">
        <f t="shared" si="11"/>
        <v>0</v>
      </c>
      <c r="D107" s="14">
        <f>COUNTIF(경기기록Sheet!$E:$H,B107)</f>
        <v>0</v>
      </c>
      <c r="E107" s="14">
        <f>COUNTIF(경기기록Sheet!$I:$L,B107)</f>
        <v>0</v>
      </c>
      <c r="F107" s="14">
        <f>COUNTIF(경기기록Sheet!$M:$P,B107)</f>
        <v>0</v>
      </c>
      <c r="G107" s="14">
        <f>COUNTIF(경기기록Sheet!$Q:$U,B107)</f>
        <v>0</v>
      </c>
      <c r="H107" s="14">
        <f>COUNTIF(경기기록Sheet!$V:$V,B107)</f>
        <v>0</v>
      </c>
      <c r="I107" s="14">
        <f t="shared" si="12"/>
        <v>0</v>
      </c>
    </row>
    <row r="108" spans="1:10" x14ac:dyDescent="0.25">
      <c r="A108" s="2">
        <f>종합Sheet!A108</f>
        <v>105</v>
      </c>
      <c r="B108" s="2" t="str">
        <f>종합Sheet!B108</f>
        <v>황철우</v>
      </c>
      <c r="C108" s="2">
        <f t="shared" si="11"/>
        <v>0</v>
      </c>
      <c r="D108" s="14">
        <f>COUNTIF(경기기록Sheet!$E:$H,B108)</f>
        <v>0</v>
      </c>
      <c r="E108" s="14">
        <f>COUNTIF(경기기록Sheet!$I:$L,B108)</f>
        <v>0</v>
      </c>
      <c r="F108" s="14">
        <f>COUNTIF(경기기록Sheet!$M:$P,B108)</f>
        <v>0</v>
      </c>
      <c r="G108" s="14">
        <f>COUNTIF(경기기록Sheet!$Q:$U,B108)</f>
        <v>0</v>
      </c>
      <c r="H108" s="14">
        <f>COUNTIF(경기기록Sheet!$V:$V,B108)</f>
        <v>0</v>
      </c>
      <c r="I108" s="14">
        <f t="shared" si="12"/>
        <v>0</v>
      </c>
    </row>
    <row r="109" spans="1:10" x14ac:dyDescent="0.25">
      <c r="A109" s="2">
        <f>종합Sheet!A109</f>
        <v>106</v>
      </c>
      <c r="B109" s="2" t="str">
        <f>종합Sheet!B109</f>
        <v>김민성</v>
      </c>
      <c r="C109" s="2">
        <f t="shared" si="11"/>
        <v>0</v>
      </c>
      <c r="D109" s="14">
        <f>COUNTIF(경기기록Sheet!$E:$H,B109)</f>
        <v>0</v>
      </c>
      <c r="E109" s="14">
        <f>COUNTIF(경기기록Sheet!$I:$L,B109)</f>
        <v>0</v>
      </c>
      <c r="F109" s="14">
        <f>COUNTIF(경기기록Sheet!$M:$P,B109)</f>
        <v>0</v>
      </c>
      <c r="G109" s="14">
        <f>COUNTIF(경기기록Sheet!$Q:$U,B109)</f>
        <v>0</v>
      </c>
      <c r="H109" s="14">
        <f>COUNTIF(경기기록Sheet!$V:$V,B109)</f>
        <v>0</v>
      </c>
      <c r="I109" s="14">
        <f t="shared" si="12"/>
        <v>0</v>
      </c>
    </row>
    <row r="110" spans="1:10" x14ac:dyDescent="0.25">
      <c r="A110" s="2">
        <f>종합Sheet!A110</f>
        <v>107</v>
      </c>
      <c r="B110" s="2" t="str">
        <f>종합Sheet!B110</f>
        <v>송명섭</v>
      </c>
      <c r="C110" s="2">
        <f t="shared" si="11"/>
        <v>0</v>
      </c>
      <c r="D110" s="14">
        <f>COUNTIF(경기기록Sheet!$E:$H,B110)</f>
        <v>0</v>
      </c>
      <c r="E110" s="14">
        <f>COUNTIF(경기기록Sheet!$I:$L,B110)</f>
        <v>0</v>
      </c>
      <c r="F110" s="14">
        <f>COUNTIF(경기기록Sheet!$M:$P,B110)</f>
        <v>0</v>
      </c>
      <c r="G110" s="14">
        <f>COUNTIF(경기기록Sheet!$Q:$U,B110)</f>
        <v>0</v>
      </c>
      <c r="H110" s="14">
        <f>COUNTIF(경기기록Sheet!$V:$V,B110)</f>
        <v>0</v>
      </c>
      <c r="I110" s="14">
        <f t="shared" si="12"/>
        <v>0</v>
      </c>
    </row>
    <row r="111" spans="1:10" x14ac:dyDescent="0.25">
      <c r="A111" s="2">
        <f>종합Sheet!A111</f>
        <v>108</v>
      </c>
      <c r="B111" s="2" t="str">
        <f>종합Sheet!B111</f>
        <v>최경영</v>
      </c>
      <c r="C111" s="2">
        <f t="shared" si="11"/>
        <v>0</v>
      </c>
      <c r="D111" s="14">
        <f>COUNTIF(경기기록Sheet!$E:$H,B111)</f>
        <v>0</v>
      </c>
      <c r="E111" s="14">
        <f>COUNTIF(경기기록Sheet!$I:$L,B111)</f>
        <v>0</v>
      </c>
      <c r="F111" s="14">
        <f>COUNTIF(경기기록Sheet!$M:$P,B111)</f>
        <v>0</v>
      </c>
      <c r="G111" s="14">
        <f>COUNTIF(경기기록Sheet!$Q:$U,B111)</f>
        <v>0</v>
      </c>
      <c r="H111" s="14">
        <f>COUNTIF(경기기록Sheet!$V:$V,B111)</f>
        <v>0</v>
      </c>
      <c r="I111" s="14">
        <f t="shared" si="12"/>
        <v>0</v>
      </c>
    </row>
    <row r="112" spans="1:10" x14ac:dyDescent="0.25">
      <c r="A112" s="2">
        <f>종합Sheet!A112</f>
        <v>109</v>
      </c>
      <c r="B112" s="2" t="str">
        <f>종합Sheet!B112</f>
        <v>김민찬</v>
      </c>
      <c r="C112" s="2">
        <f t="shared" si="11"/>
        <v>0</v>
      </c>
      <c r="D112" s="14">
        <f>COUNTIF(경기기록Sheet!$E:$H,B112)</f>
        <v>0</v>
      </c>
      <c r="E112" s="14">
        <f>COUNTIF(경기기록Sheet!$I:$L,B112)</f>
        <v>0</v>
      </c>
      <c r="F112" s="14">
        <f>COUNTIF(경기기록Sheet!$M:$P,B112)</f>
        <v>0</v>
      </c>
      <c r="G112" s="14">
        <f>COUNTIF(경기기록Sheet!$Q:$U,B112)</f>
        <v>0</v>
      </c>
      <c r="H112" s="14">
        <f>COUNTIF(경기기록Sheet!$V:$V,B112)</f>
        <v>0</v>
      </c>
      <c r="I112" s="14">
        <f t="shared" si="12"/>
        <v>0</v>
      </c>
    </row>
    <row r="113" spans="1:9" x14ac:dyDescent="0.25">
      <c r="A113" s="2">
        <f>종합Sheet!A113</f>
        <v>110</v>
      </c>
      <c r="B113" s="2" t="str">
        <f>종합Sheet!B113</f>
        <v>김현우</v>
      </c>
      <c r="C113" s="2">
        <f t="shared" si="11"/>
        <v>0</v>
      </c>
      <c r="D113" s="14">
        <f>COUNTIF(경기기록Sheet!$E:$H,B113)</f>
        <v>0</v>
      </c>
      <c r="E113" s="14">
        <f>COUNTIF(경기기록Sheet!$I:$L,B113)</f>
        <v>0</v>
      </c>
      <c r="F113" s="14">
        <f>COUNTIF(경기기록Sheet!$M:$P,B113)</f>
        <v>0</v>
      </c>
      <c r="G113" s="14">
        <f>COUNTIF(경기기록Sheet!$Q:$U,B113)</f>
        <v>0</v>
      </c>
      <c r="H113" s="14">
        <f>COUNTIF(경기기록Sheet!$V:$V,B113)</f>
        <v>0</v>
      </c>
      <c r="I113" s="14">
        <f t="shared" si="12"/>
        <v>0</v>
      </c>
    </row>
    <row r="114" spans="1:9" x14ac:dyDescent="0.25">
      <c r="A114" s="2">
        <f>종합Sheet!A114</f>
        <v>111</v>
      </c>
      <c r="B114" s="2" t="str">
        <f>종합Sheet!B114</f>
        <v>류서진</v>
      </c>
      <c r="C114" s="2">
        <f t="shared" si="11"/>
        <v>0</v>
      </c>
      <c r="D114" s="14">
        <f>COUNTIF(경기기록Sheet!$E:$H,B114)</f>
        <v>0</v>
      </c>
      <c r="E114" s="14">
        <f>COUNTIF(경기기록Sheet!$I:$L,B114)</f>
        <v>0</v>
      </c>
      <c r="F114" s="14">
        <f>COUNTIF(경기기록Sheet!$M:$P,B114)</f>
        <v>0</v>
      </c>
      <c r="G114" s="14">
        <f>COUNTIF(경기기록Sheet!$Q:$U,B114)</f>
        <v>0</v>
      </c>
      <c r="H114" s="14">
        <f>COUNTIF(경기기록Sheet!$V:$V,B114)</f>
        <v>0</v>
      </c>
      <c r="I114" s="14">
        <f t="shared" si="12"/>
        <v>0</v>
      </c>
    </row>
  </sheetData>
  <autoFilter ref="A3:I3" xr:uid="{00000000-0001-0000-0200-000000000000}">
    <sortState xmlns:xlrd2="http://schemas.microsoft.com/office/spreadsheetml/2017/richdata2" ref="A4:I114">
      <sortCondition descending="1" ref="C3"/>
    </sortState>
  </autoFilter>
  <phoneticPr fontId="2" type="noConversion"/>
  <conditionalFormatting sqref="D4:D114">
    <cfRule type="top10" dxfId="9" priority="862" rank="7"/>
  </conditionalFormatting>
  <conditionalFormatting sqref="E4:E114">
    <cfRule type="top10" dxfId="8" priority="863" rank="7"/>
  </conditionalFormatting>
  <conditionalFormatting sqref="F4:F114">
    <cfRule type="top10" dxfId="7" priority="864" rank="7"/>
  </conditionalFormatting>
  <conditionalFormatting sqref="G4:G114">
    <cfRule type="top10" dxfId="6" priority="865" rank="7"/>
  </conditionalFormatting>
  <conditionalFormatting sqref="H4:H114">
    <cfRule type="top10" dxfId="5" priority="866" rank="3"/>
    <cfRule type="top10" priority="867" rank="5"/>
  </conditionalFormatting>
  <conditionalFormatting sqref="I4:I114">
    <cfRule type="top10" dxfId="4" priority="868" rank="10"/>
  </conditionalFormatting>
  <pageMargins left="0.39347222447395325" right="0.39347222447395325" top="0.19666667282581329" bottom="0.19666667282581329" header="0.19666667282581329" footer="0.19666667282581329"/>
  <pageSetup paperSize="9" scale="9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A18"/>
  <sheetViews>
    <sheetView workbookViewId="0">
      <selection activeCell="M20" sqref="M20"/>
    </sheetView>
  </sheetViews>
  <sheetFormatPr defaultRowHeight="16" x14ac:dyDescent="0.25"/>
  <cols>
    <col min="1" max="2" width="8.83203125" style="1"/>
    <col min="3" max="3" width="25.4140625" style="1" bestFit="1" customWidth="1"/>
    <col min="4" max="4" width="26.9140625" style="1" bestFit="1" customWidth="1"/>
    <col min="5" max="5" width="8.6640625" style="1" customWidth="1"/>
    <col min="6" max="6" width="4.6640625" style="1" customWidth="1"/>
    <col min="7" max="7" width="8.6640625" style="1" customWidth="1"/>
    <col min="8" max="8" width="4.6640625" style="1" customWidth="1"/>
    <col min="9" max="9" width="8.6640625" style="1" customWidth="1"/>
    <col min="10" max="10" width="4.6640625" style="1" customWidth="1"/>
    <col min="11" max="11" width="8.6640625" style="1" customWidth="1"/>
    <col min="12" max="12" width="4.6640625" style="1" customWidth="1"/>
    <col min="13" max="13" width="8.6640625" style="1" customWidth="1"/>
    <col min="14" max="14" width="4.6640625" style="1" customWidth="1"/>
    <col min="15" max="16" width="8.83203125" style="1"/>
    <col min="17" max="17" width="10.5" style="1" bestFit="1" customWidth="1"/>
    <col min="18" max="18" width="11.6640625" style="1" bestFit="1" customWidth="1"/>
    <col min="19" max="27" width="8.83203125" style="1"/>
  </cols>
  <sheetData>
    <row r="2" spans="1:18" ht="16.5" thickBot="1" x14ac:dyDescent="0.3"/>
    <row r="3" spans="1:18" x14ac:dyDescent="0.25">
      <c r="A3" s="2"/>
      <c r="B3" s="2" t="s">
        <v>146</v>
      </c>
      <c r="C3" s="2" t="s">
        <v>147</v>
      </c>
      <c r="D3" s="2" t="s">
        <v>153</v>
      </c>
      <c r="E3" s="2" t="s">
        <v>185</v>
      </c>
      <c r="F3" s="2"/>
      <c r="G3" s="2" t="s">
        <v>186</v>
      </c>
      <c r="H3" s="2"/>
      <c r="I3" s="2" t="s">
        <v>187</v>
      </c>
      <c r="J3" s="2"/>
      <c r="K3" s="2" t="s">
        <v>188</v>
      </c>
      <c r="L3" s="2"/>
      <c r="M3" s="2" t="s">
        <v>189</v>
      </c>
      <c r="N3" s="2"/>
      <c r="P3" s="40" t="s">
        <v>274</v>
      </c>
      <c r="Q3" s="41" t="s">
        <v>253</v>
      </c>
      <c r="R3" s="42" t="s">
        <v>273</v>
      </c>
    </row>
    <row r="4" spans="1:18" x14ac:dyDescent="0.25">
      <c r="A4" s="2">
        <v>1</v>
      </c>
      <c r="B4" s="2" t="s">
        <v>152</v>
      </c>
      <c r="C4" s="2" t="s">
        <v>184</v>
      </c>
      <c r="D4" s="2" t="s">
        <v>181</v>
      </c>
      <c r="E4" s="26" t="s">
        <v>105</v>
      </c>
      <c r="F4" s="26">
        <v>42</v>
      </c>
      <c r="G4" s="26" t="s">
        <v>124</v>
      </c>
      <c r="H4" s="26">
        <v>36</v>
      </c>
      <c r="I4" s="29" t="s">
        <v>118</v>
      </c>
      <c r="J4" s="29">
        <v>27</v>
      </c>
      <c r="K4" s="29" t="s">
        <v>109</v>
      </c>
      <c r="L4" s="29">
        <v>27</v>
      </c>
      <c r="M4" s="2" t="s">
        <v>102</v>
      </c>
      <c r="N4" s="2">
        <v>26</v>
      </c>
      <c r="P4" s="43">
        <v>1</v>
      </c>
      <c r="Q4" s="2" t="s">
        <v>255</v>
      </c>
      <c r="R4" s="44" t="s">
        <v>268</v>
      </c>
    </row>
    <row r="5" spans="1:18" x14ac:dyDescent="0.25">
      <c r="A5" s="2">
        <v>2</v>
      </c>
      <c r="B5" s="2" t="s">
        <v>141</v>
      </c>
      <c r="C5" s="2" t="s">
        <v>148</v>
      </c>
      <c r="D5" s="2" t="s">
        <v>191</v>
      </c>
      <c r="E5" s="29" t="s">
        <v>109</v>
      </c>
      <c r="F5" s="29">
        <v>20</v>
      </c>
      <c r="G5" s="2" t="s">
        <v>102</v>
      </c>
      <c r="H5" s="2">
        <v>17</v>
      </c>
      <c r="I5" s="2" t="s">
        <v>121</v>
      </c>
      <c r="J5" s="2">
        <v>13</v>
      </c>
      <c r="K5" s="2" t="s">
        <v>135</v>
      </c>
      <c r="L5" s="2">
        <v>12</v>
      </c>
      <c r="M5" s="2" t="s">
        <v>131</v>
      </c>
      <c r="N5" s="2">
        <v>10</v>
      </c>
      <c r="P5" s="43">
        <v>2</v>
      </c>
      <c r="Q5" s="2" t="s">
        <v>256</v>
      </c>
      <c r="R5" s="44" t="s">
        <v>269</v>
      </c>
    </row>
    <row r="6" spans="1:18" x14ac:dyDescent="0.25">
      <c r="A6" s="2">
        <v>3</v>
      </c>
      <c r="B6" s="2" t="s">
        <v>142</v>
      </c>
      <c r="C6" s="2" t="s">
        <v>149</v>
      </c>
      <c r="D6" s="2" t="s">
        <v>191</v>
      </c>
      <c r="E6" s="29" t="s">
        <v>90</v>
      </c>
      <c r="F6" s="29">
        <v>14</v>
      </c>
      <c r="G6" s="2" t="s">
        <v>100</v>
      </c>
      <c r="H6" s="2">
        <v>11</v>
      </c>
      <c r="I6" s="2" t="s">
        <v>109</v>
      </c>
      <c r="J6" s="2">
        <v>11</v>
      </c>
      <c r="K6" s="2" t="s">
        <v>102</v>
      </c>
      <c r="L6" s="2">
        <v>8</v>
      </c>
      <c r="M6" s="2" t="s">
        <v>135</v>
      </c>
      <c r="N6" s="2">
        <v>8</v>
      </c>
      <c r="P6" s="43">
        <v>3</v>
      </c>
      <c r="Q6" s="2" t="s">
        <v>257</v>
      </c>
      <c r="R6" s="44" t="s">
        <v>267</v>
      </c>
    </row>
    <row r="7" spans="1:18" x14ac:dyDescent="0.25">
      <c r="A7" s="2">
        <v>4</v>
      </c>
      <c r="B7" s="2" t="s">
        <v>144</v>
      </c>
      <c r="C7" s="2" t="s">
        <v>150</v>
      </c>
      <c r="D7" s="2" t="s">
        <v>191</v>
      </c>
      <c r="E7" s="29" t="s">
        <v>107</v>
      </c>
      <c r="F7" s="29">
        <v>24</v>
      </c>
      <c r="G7" s="2" t="s">
        <v>102</v>
      </c>
      <c r="H7" s="2">
        <v>21</v>
      </c>
      <c r="I7" s="2" t="s">
        <v>101</v>
      </c>
      <c r="J7" s="2">
        <v>19</v>
      </c>
      <c r="K7" s="2" t="s">
        <v>135</v>
      </c>
      <c r="L7" s="2">
        <v>19</v>
      </c>
      <c r="M7" s="2" t="s">
        <v>103</v>
      </c>
      <c r="N7" s="2">
        <v>17</v>
      </c>
      <c r="P7" s="43">
        <v>4</v>
      </c>
      <c r="Q7" s="2" t="s">
        <v>258</v>
      </c>
      <c r="R7" s="44" t="s">
        <v>270</v>
      </c>
    </row>
    <row r="8" spans="1:18" x14ac:dyDescent="0.25">
      <c r="A8" s="2">
        <v>5</v>
      </c>
      <c r="B8" s="2" t="s">
        <v>143</v>
      </c>
      <c r="C8" s="2" t="s">
        <v>151</v>
      </c>
      <c r="D8" s="2" t="s">
        <v>192</v>
      </c>
      <c r="E8" s="29" t="s">
        <v>124</v>
      </c>
      <c r="F8" s="29">
        <v>50</v>
      </c>
      <c r="G8" s="29" t="s">
        <v>118</v>
      </c>
      <c r="H8" s="29">
        <v>40</v>
      </c>
      <c r="I8" s="2" t="s">
        <v>115</v>
      </c>
      <c r="J8" s="2">
        <v>34</v>
      </c>
      <c r="K8" s="2" t="s">
        <v>104</v>
      </c>
      <c r="L8" s="2">
        <v>25</v>
      </c>
      <c r="M8" s="2" t="s">
        <v>134</v>
      </c>
      <c r="N8" s="2">
        <v>24</v>
      </c>
      <c r="P8" s="43">
        <v>5</v>
      </c>
      <c r="Q8" s="2" t="s">
        <v>254</v>
      </c>
      <c r="R8" s="44" t="s">
        <v>270</v>
      </c>
    </row>
    <row r="9" spans="1:18" x14ac:dyDescent="0.25">
      <c r="A9" s="2">
        <v>6</v>
      </c>
      <c r="B9" s="2" t="s">
        <v>145</v>
      </c>
      <c r="C9" s="2" t="s">
        <v>151</v>
      </c>
      <c r="D9" s="2" t="s">
        <v>191</v>
      </c>
      <c r="E9" s="29" t="s">
        <v>108</v>
      </c>
      <c r="F9" s="29">
        <v>34</v>
      </c>
      <c r="G9" s="2" t="s">
        <v>162</v>
      </c>
      <c r="H9" s="2">
        <v>15</v>
      </c>
      <c r="I9" s="2" t="s">
        <v>190</v>
      </c>
      <c r="J9" s="2">
        <v>8</v>
      </c>
      <c r="K9" s="2"/>
      <c r="L9" s="2"/>
      <c r="M9" s="2"/>
      <c r="N9" s="2"/>
      <c r="P9" s="43">
        <v>6</v>
      </c>
      <c r="Q9" s="2" t="s">
        <v>259</v>
      </c>
      <c r="R9" s="44" t="s">
        <v>271</v>
      </c>
    </row>
    <row r="10" spans="1:18" x14ac:dyDescent="0.25">
      <c r="A10" s="82">
        <v>7</v>
      </c>
      <c r="B10" s="82" t="s">
        <v>157</v>
      </c>
      <c r="C10" s="82" t="s">
        <v>158</v>
      </c>
      <c r="D10" s="82" t="s">
        <v>193</v>
      </c>
      <c r="E10" s="26" t="s">
        <v>124</v>
      </c>
      <c r="F10" s="26">
        <v>47.7</v>
      </c>
      <c r="G10" s="26" t="s">
        <v>105</v>
      </c>
      <c r="H10" s="26">
        <v>45.2</v>
      </c>
      <c r="I10" s="29" t="s">
        <v>102</v>
      </c>
      <c r="J10" s="29">
        <v>38.299999999999997</v>
      </c>
      <c r="K10" s="26" t="s">
        <v>118</v>
      </c>
      <c r="L10" s="26">
        <v>36.4</v>
      </c>
      <c r="M10" s="29" t="s">
        <v>100</v>
      </c>
      <c r="N10" s="29">
        <v>34.200000000000003</v>
      </c>
      <c r="P10" s="43">
        <v>7</v>
      </c>
      <c r="Q10" s="2" t="s">
        <v>260</v>
      </c>
      <c r="R10" s="44"/>
    </row>
    <row r="11" spans="1:18" x14ac:dyDescent="0.25">
      <c r="A11" s="83"/>
      <c r="B11" s="83"/>
      <c r="C11" s="83"/>
      <c r="D11" s="83"/>
      <c r="E11" s="26" t="s">
        <v>109</v>
      </c>
      <c r="F11" s="26">
        <v>34.200000000000003</v>
      </c>
      <c r="G11" s="29" t="s">
        <v>135</v>
      </c>
      <c r="H11" s="29">
        <v>33.5</v>
      </c>
      <c r="I11" s="29" t="s">
        <v>101</v>
      </c>
      <c r="J11" s="29">
        <v>33.299999999999997</v>
      </c>
      <c r="K11" s="26" t="s">
        <v>108</v>
      </c>
      <c r="L11" s="26">
        <v>32.6</v>
      </c>
      <c r="M11" s="29" t="s">
        <v>115</v>
      </c>
      <c r="N11" s="29">
        <v>31.6</v>
      </c>
      <c r="P11" s="43">
        <v>8</v>
      </c>
      <c r="Q11" s="2" t="s">
        <v>261</v>
      </c>
      <c r="R11" s="44"/>
    </row>
    <row r="12" spans="1:18" x14ac:dyDescent="0.25">
      <c r="A12" s="2">
        <v>8</v>
      </c>
      <c r="B12" s="2" t="s">
        <v>154</v>
      </c>
      <c r="C12" s="2" t="s">
        <v>160</v>
      </c>
      <c r="D12" s="2" t="s">
        <v>161</v>
      </c>
      <c r="E12" s="26" t="s">
        <v>109</v>
      </c>
      <c r="F12" s="26">
        <v>27</v>
      </c>
      <c r="G12" s="26" t="s">
        <v>118</v>
      </c>
      <c r="H12" s="26">
        <v>27</v>
      </c>
      <c r="I12" s="29" t="s">
        <v>113</v>
      </c>
      <c r="J12" s="29">
        <v>24</v>
      </c>
      <c r="K12" s="2" t="s">
        <v>136</v>
      </c>
      <c r="L12" s="2">
        <v>23</v>
      </c>
      <c r="M12" s="2" t="s">
        <v>131</v>
      </c>
      <c r="N12" s="2">
        <v>23</v>
      </c>
      <c r="P12" s="43">
        <v>9</v>
      </c>
      <c r="Q12" s="2" t="s">
        <v>262</v>
      </c>
      <c r="R12" s="44"/>
    </row>
    <row r="13" spans="1:18" x14ac:dyDescent="0.25">
      <c r="A13" s="2">
        <v>9</v>
      </c>
      <c r="B13" s="2" t="s">
        <v>155</v>
      </c>
      <c r="C13" s="2" t="s">
        <v>159</v>
      </c>
      <c r="D13" s="2" t="s">
        <v>161</v>
      </c>
      <c r="E13" s="26" t="s">
        <v>109</v>
      </c>
      <c r="F13" s="26">
        <v>27</v>
      </c>
      <c r="G13" s="26" t="s">
        <v>118</v>
      </c>
      <c r="H13" s="26">
        <v>27</v>
      </c>
      <c r="I13" s="26" t="s">
        <v>113</v>
      </c>
      <c r="J13" s="26">
        <v>24</v>
      </c>
      <c r="K13" s="26" t="s">
        <v>91</v>
      </c>
      <c r="L13" s="26">
        <v>22</v>
      </c>
      <c r="M13" s="29" t="s">
        <v>106</v>
      </c>
      <c r="N13" s="29">
        <v>21</v>
      </c>
      <c r="P13" s="43">
        <v>10</v>
      </c>
      <c r="Q13" s="2" t="s">
        <v>244</v>
      </c>
      <c r="R13" s="44"/>
    </row>
    <row r="14" spans="1:18" x14ac:dyDescent="0.25">
      <c r="A14" s="2">
        <v>10</v>
      </c>
      <c r="B14" s="2" t="s">
        <v>156</v>
      </c>
      <c r="C14" s="2" t="s">
        <v>176</v>
      </c>
      <c r="D14" s="2" t="s">
        <v>161</v>
      </c>
      <c r="E14" s="29" t="s">
        <v>136</v>
      </c>
      <c r="F14" s="29">
        <v>23</v>
      </c>
      <c r="G14" s="29" t="s">
        <v>131</v>
      </c>
      <c r="H14" s="29">
        <v>23</v>
      </c>
      <c r="I14" s="26" t="s">
        <v>135</v>
      </c>
      <c r="J14" s="26">
        <v>22</v>
      </c>
      <c r="K14" s="2" t="s">
        <v>126</v>
      </c>
      <c r="L14" s="2">
        <v>20</v>
      </c>
      <c r="M14" s="2" t="s">
        <v>134</v>
      </c>
      <c r="N14" s="2">
        <v>19</v>
      </c>
      <c r="P14" s="43">
        <v>11</v>
      </c>
      <c r="Q14" s="2" t="s">
        <v>263</v>
      </c>
      <c r="R14" s="44"/>
    </row>
    <row r="15" spans="1:18" x14ac:dyDescent="0.25">
      <c r="A15" s="2">
        <v>11</v>
      </c>
      <c r="B15" s="2" t="s">
        <v>177</v>
      </c>
      <c r="C15" s="2" t="s">
        <v>178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P15" s="43">
        <v>12</v>
      </c>
      <c r="Q15" s="2" t="s">
        <v>264</v>
      </c>
      <c r="R15" s="44" t="s">
        <v>272</v>
      </c>
    </row>
    <row r="16" spans="1:18" x14ac:dyDescent="0.25">
      <c r="P16" s="43">
        <v>13</v>
      </c>
      <c r="Q16" s="2" t="s">
        <v>265</v>
      </c>
      <c r="R16" s="44" t="s">
        <v>272</v>
      </c>
    </row>
    <row r="17" spans="1:18" x14ac:dyDescent="0.25">
      <c r="A17" s="30" t="s">
        <v>194</v>
      </c>
      <c r="P17" s="43">
        <v>14</v>
      </c>
      <c r="Q17" s="2" t="s">
        <v>243</v>
      </c>
      <c r="R17" s="44" t="s">
        <v>272</v>
      </c>
    </row>
    <row r="18" spans="1:18" ht="16.5" thickBot="1" x14ac:dyDescent="0.3">
      <c r="A18" s="30" t="s">
        <v>195</v>
      </c>
      <c r="P18" s="45">
        <v>15</v>
      </c>
      <c r="Q18" s="46" t="s">
        <v>266</v>
      </c>
      <c r="R18" s="47" t="s">
        <v>272</v>
      </c>
    </row>
  </sheetData>
  <mergeCells count="4">
    <mergeCell ref="A10:A11"/>
    <mergeCell ref="B10:B11"/>
    <mergeCell ref="C10:C11"/>
    <mergeCell ref="D10:D1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A1E7-878E-4BD1-AA56-2AF3E69AA6A2}">
  <dimension ref="A2:V19"/>
  <sheetViews>
    <sheetView showGridLines="0" topLeftCell="D1" workbookViewId="0">
      <selection activeCell="S20" sqref="S20"/>
    </sheetView>
  </sheetViews>
  <sheetFormatPr defaultRowHeight="16" x14ac:dyDescent="0.25"/>
  <cols>
    <col min="1" max="1" width="12.5" style="1" bestFit="1" customWidth="1"/>
    <col min="2" max="3" width="8.83203125" style="1"/>
    <col min="4" max="4" width="10.08203125" style="1" bestFit="1" customWidth="1"/>
    <col min="5" max="5" width="3.1640625" style="38" bestFit="1" customWidth="1"/>
    <col min="6" max="6" width="8.83203125" style="1"/>
    <col min="7" max="8" width="10.6640625" style="1" customWidth="1"/>
    <col min="9" max="9" width="8.83203125" style="38"/>
    <col min="10" max="10" width="10.08203125" style="1" bestFit="1" customWidth="1"/>
    <col min="11" max="11" width="3.1640625" style="38" bestFit="1" customWidth="1"/>
    <col min="12" max="12" width="8.83203125" style="1"/>
    <col min="13" max="13" width="8.83203125" style="38"/>
    <col min="14" max="15" width="8.83203125" style="1"/>
    <col min="16" max="16" width="10.08203125" style="1" bestFit="1" customWidth="1"/>
    <col min="17" max="17" width="3.1640625" style="38" bestFit="1" customWidth="1"/>
    <col min="18" max="18" width="8.83203125" style="1"/>
    <col min="19" max="19" width="8.83203125" style="38"/>
    <col min="20" max="20" width="8.83203125" style="1"/>
    <col min="21" max="22" width="8.83203125" style="38"/>
  </cols>
  <sheetData>
    <row r="2" spans="1:22" x14ac:dyDescent="0.25">
      <c r="D2" s="92" t="s">
        <v>185</v>
      </c>
      <c r="E2" s="92"/>
      <c r="F2" s="92"/>
      <c r="G2" s="92"/>
      <c r="H2" s="92"/>
      <c r="J2" s="84" t="s">
        <v>186</v>
      </c>
      <c r="K2" s="84"/>
      <c r="L2" s="84"/>
      <c r="M2" s="84"/>
      <c r="N2" s="84"/>
      <c r="P2" s="84" t="s">
        <v>187</v>
      </c>
      <c r="Q2" s="84"/>
      <c r="R2" s="84"/>
      <c r="S2" s="84"/>
      <c r="T2" s="84"/>
      <c r="U2" s="84"/>
      <c r="V2" s="84"/>
    </row>
    <row r="3" spans="1:22" x14ac:dyDescent="0.25">
      <c r="A3" s="1" t="s">
        <v>249</v>
      </c>
      <c r="B3" s="1" t="s">
        <v>227</v>
      </c>
      <c r="D3" s="92" t="s">
        <v>249</v>
      </c>
      <c r="E3" s="92"/>
      <c r="F3" s="48" t="s">
        <v>227</v>
      </c>
      <c r="G3" s="48" t="s">
        <v>276</v>
      </c>
      <c r="H3" s="48"/>
      <c r="J3" s="84" t="s">
        <v>249</v>
      </c>
      <c r="K3" s="84"/>
      <c r="L3" s="51" t="s">
        <v>227</v>
      </c>
      <c r="M3" s="51" t="s">
        <v>277</v>
      </c>
      <c r="N3" s="51" t="s">
        <v>278</v>
      </c>
      <c r="P3" s="84" t="s">
        <v>249</v>
      </c>
      <c r="Q3" s="84"/>
      <c r="R3" s="51" t="s">
        <v>227</v>
      </c>
      <c r="S3" s="51" t="s">
        <v>277</v>
      </c>
      <c r="T3" s="51" t="s">
        <v>278</v>
      </c>
      <c r="U3" s="51" t="s">
        <v>278</v>
      </c>
      <c r="V3" s="51" t="s">
        <v>278</v>
      </c>
    </row>
    <row r="4" spans="1:22" ht="15.65" customHeight="1" x14ac:dyDescent="0.25">
      <c r="A4" s="1" t="s">
        <v>152</v>
      </c>
      <c r="B4" s="1" t="s">
        <v>131</v>
      </c>
      <c r="D4" s="85" t="s">
        <v>246</v>
      </c>
      <c r="E4" s="49">
        <v>1</v>
      </c>
      <c r="F4" s="48" t="s">
        <v>279</v>
      </c>
      <c r="G4" s="48"/>
      <c r="H4" s="48"/>
      <c r="J4" s="88" t="s">
        <v>251</v>
      </c>
      <c r="K4" s="52">
        <v>1</v>
      </c>
      <c r="L4" s="51" t="s">
        <v>50</v>
      </c>
      <c r="M4" s="52">
        <v>39</v>
      </c>
      <c r="N4" s="51" t="str">
        <f>IF(1=COUNTIF($F$5:$F$15,L4),"수상","미수상")</f>
        <v>미수상</v>
      </c>
      <c r="P4" s="91" t="s">
        <v>252</v>
      </c>
      <c r="Q4" s="52">
        <v>1</v>
      </c>
      <c r="R4" s="51" t="s">
        <v>221</v>
      </c>
      <c r="S4" s="52">
        <v>30</v>
      </c>
      <c r="T4" s="51" t="str">
        <f>IF(1=COUNTIF($F$4:$F$14,R4),"수상","미수상")</f>
        <v>수상</v>
      </c>
      <c r="U4" s="51" t="str">
        <f>IF(1=COUNTIF($L$4:$L$14,R4),"수상","미수상")</f>
        <v>수상</v>
      </c>
      <c r="V4" s="51"/>
    </row>
    <row r="5" spans="1:22" x14ac:dyDescent="0.25">
      <c r="A5" s="1" t="s">
        <v>250</v>
      </c>
      <c r="B5" s="1" t="s">
        <v>97</v>
      </c>
      <c r="D5" s="86"/>
      <c r="E5" s="49">
        <v>2</v>
      </c>
      <c r="F5" s="50" t="s">
        <v>280</v>
      </c>
      <c r="G5" s="48" t="s">
        <v>152</v>
      </c>
      <c r="H5" s="48" t="s">
        <v>247</v>
      </c>
      <c r="J5" s="89"/>
      <c r="K5" s="52">
        <v>2</v>
      </c>
      <c r="L5" s="51" t="s">
        <v>221</v>
      </c>
      <c r="M5" s="52">
        <v>30</v>
      </c>
      <c r="N5" s="51" t="str">
        <f t="shared" ref="N5:N19" si="0">IF(1=COUNTIF($F$5:$F$15,L5),"수상","미수상")</f>
        <v>수상</v>
      </c>
      <c r="P5" s="91"/>
      <c r="Q5" s="52">
        <v>2</v>
      </c>
      <c r="R5" s="51" t="s">
        <v>229</v>
      </c>
      <c r="S5" s="52">
        <v>26</v>
      </c>
      <c r="T5" s="51" t="str">
        <f t="shared" ref="T5:T16" si="1">IF(1=COUNTIF($F$4:$F$14,R5),"수상","미수상")</f>
        <v>미수상</v>
      </c>
      <c r="U5" s="51" t="str">
        <f t="shared" ref="U5:U16" si="2">IF(1=COUNTIF($L$4:$L$14,R5),"수상","미수상")</f>
        <v>수상</v>
      </c>
      <c r="V5" s="51"/>
    </row>
    <row r="6" spans="1:22" x14ac:dyDescent="0.25">
      <c r="A6" s="1" t="s">
        <v>245</v>
      </c>
      <c r="B6" s="1" t="s">
        <v>135</v>
      </c>
      <c r="D6" s="86"/>
      <c r="E6" s="49">
        <v>3</v>
      </c>
      <c r="F6" s="50" t="s">
        <v>281</v>
      </c>
      <c r="G6" s="48" t="s">
        <v>248</v>
      </c>
      <c r="H6" s="48"/>
      <c r="J6" s="89"/>
      <c r="K6" s="52">
        <v>3</v>
      </c>
      <c r="L6" s="51" t="s">
        <v>225</v>
      </c>
      <c r="M6" s="52">
        <v>30</v>
      </c>
      <c r="N6" s="51" t="str">
        <f t="shared" si="0"/>
        <v>수상</v>
      </c>
      <c r="P6" s="91"/>
      <c r="Q6" s="52">
        <v>3</v>
      </c>
      <c r="R6" s="51" t="s">
        <v>242</v>
      </c>
      <c r="S6" s="52">
        <v>25</v>
      </c>
      <c r="T6" s="51" t="str">
        <f t="shared" si="1"/>
        <v>미수상</v>
      </c>
      <c r="U6" s="51" t="str">
        <f t="shared" si="2"/>
        <v>수상</v>
      </c>
      <c r="V6" s="51"/>
    </row>
    <row r="7" spans="1:22" x14ac:dyDescent="0.25">
      <c r="A7" s="1" t="s">
        <v>236</v>
      </c>
      <c r="B7" s="39" t="s">
        <v>135</v>
      </c>
      <c r="D7" s="86"/>
      <c r="E7" s="49">
        <v>4</v>
      </c>
      <c r="F7" s="50" t="s">
        <v>282</v>
      </c>
      <c r="G7" s="48" t="s">
        <v>248</v>
      </c>
      <c r="H7" s="48"/>
      <c r="J7" s="89"/>
      <c r="K7" s="52">
        <v>4</v>
      </c>
      <c r="L7" s="51" t="s">
        <v>42</v>
      </c>
      <c r="M7" s="52">
        <v>29</v>
      </c>
      <c r="N7" s="51" t="str">
        <f t="shared" si="0"/>
        <v>수상</v>
      </c>
      <c r="P7" s="91"/>
      <c r="Q7" s="52">
        <v>4</v>
      </c>
      <c r="R7" s="51" t="s">
        <v>232</v>
      </c>
      <c r="S7" s="52">
        <v>25</v>
      </c>
      <c r="T7" s="51" t="str">
        <f t="shared" si="1"/>
        <v>미수상</v>
      </c>
      <c r="U7" s="51" t="str">
        <f t="shared" si="2"/>
        <v>수상</v>
      </c>
      <c r="V7" s="51"/>
    </row>
    <row r="8" spans="1:22" x14ac:dyDescent="0.25">
      <c r="A8" s="1" t="s">
        <v>247</v>
      </c>
      <c r="B8" s="1" t="s">
        <v>97</v>
      </c>
      <c r="D8" s="86"/>
      <c r="E8" s="49">
        <v>5</v>
      </c>
      <c r="F8" s="50" t="s">
        <v>283</v>
      </c>
      <c r="G8" s="48"/>
      <c r="H8" s="48"/>
      <c r="J8" s="89"/>
      <c r="K8" s="52">
        <v>5</v>
      </c>
      <c r="L8" s="51" t="s">
        <v>55</v>
      </c>
      <c r="M8" s="52">
        <v>28</v>
      </c>
      <c r="N8" s="51" t="str">
        <f t="shared" si="0"/>
        <v>수상</v>
      </c>
      <c r="P8" s="91"/>
      <c r="Q8" s="52">
        <v>5</v>
      </c>
      <c r="R8" s="51" t="s">
        <v>222</v>
      </c>
      <c r="S8" s="52">
        <v>22</v>
      </c>
      <c r="T8" s="51" t="str">
        <f t="shared" si="1"/>
        <v>수상</v>
      </c>
      <c r="U8" s="51" t="str">
        <f t="shared" si="2"/>
        <v>미수상</v>
      </c>
      <c r="V8" s="51"/>
    </row>
    <row r="9" spans="1:22" x14ac:dyDescent="0.25">
      <c r="A9" s="1" t="s">
        <v>248</v>
      </c>
      <c r="B9" s="1" t="s">
        <v>118</v>
      </c>
      <c r="D9" s="86"/>
      <c r="E9" s="49">
        <v>6</v>
      </c>
      <c r="F9" s="50" t="s">
        <v>284</v>
      </c>
      <c r="G9" s="48"/>
      <c r="H9" s="48"/>
      <c r="J9" s="89"/>
      <c r="K9" s="52">
        <v>6</v>
      </c>
      <c r="L9" s="51" t="s">
        <v>224</v>
      </c>
      <c r="M9" s="52">
        <v>27</v>
      </c>
      <c r="N9" s="51" t="str">
        <f t="shared" si="0"/>
        <v>수상</v>
      </c>
      <c r="P9" s="91"/>
      <c r="Q9" s="52">
        <v>6</v>
      </c>
      <c r="R9" s="51" t="s">
        <v>287</v>
      </c>
      <c r="S9" s="52">
        <v>19</v>
      </c>
      <c r="T9" s="51" t="str">
        <f t="shared" si="1"/>
        <v>수상</v>
      </c>
      <c r="U9" s="51" t="str">
        <f t="shared" si="2"/>
        <v>미수상</v>
      </c>
      <c r="V9" s="51"/>
    </row>
    <row r="10" spans="1:22" x14ac:dyDescent="0.25">
      <c r="A10" s="1" t="s">
        <v>248</v>
      </c>
      <c r="B10" s="1" t="s">
        <v>108</v>
      </c>
      <c r="D10" s="86"/>
      <c r="E10" s="49">
        <v>7</v>
      </c>
      <c r="F10" s="50" t="s">
        <v>285</v>
      </c>
      <c r="G10" s="48" t="s">
        <v>152</v>
      </c>
      <c r="H10" s="48"/>
      <c r="J10" s="89"/>
      <c r="K10" s="52">
        <v>7</v>
      </c>
      <c r="L10" s="51" t="s">
        <v>233</v>
      </c>
      <c r="M10" s="52">
        <v>27</v>
      </c>
      <c r="N10" s="51" t="str">
        <f t="shared" si="0"/>
        <v>수상</v>
      </c>
      <c r="P10" s="91"/>
      <c r="Q10" s="52">
        <v>7</v>
      </c>
      <c r="R10" s="53" t="s">
        <v>294</v>
      </c>
      <c r="S10" s="52">
        <v>19</v>
      </c>
      <c r="T10" s="51" t="str">
        <f t="shared" si="1"/>
        <v>미수상</v>
      </c>
      <c r="U10" s="51" t="str">
        <f t="shared" si="2"/>
        <v>미수상</v>
      </c>
      <c r="V10" s="51"/>
    </row>
    <row r="11" spans="1:22" x14ac:dyDescent="0.25">
      <c r="D11" s="86"/>
      <c r="E11" s="49">
        <v>8</v>
      </c>
      <c r="F11" s="50" t="s">
        <v>286</v>
      </c>
      <c r="G11" s="48"/>
      <c r="H11" s="48"/>
      <c r="J11" s="89"/>
      <c r="K11" s="52">
        <v>8</v>
      </c>
      <c r="L11" s="51" t="s">
        <v>53</v>
      </c>
      <c r="M11" s="52">
        <v>26</v>
      </c>
      <c r="N11" s="51" t="str">
        <f t="shared" si="0"/>
        <v>수상</v>
      </c>
      <c r="P11" s="91"/>
      <c r="Q11" s="52">
        <v>8</v>
      </c>
      <c r="R11" s="53" t="s">
        <v>230</v>
      </c>
      <c r="S11" s="52">
        <v>19</v>
      </c>
      <c r="T11" s="51" t="str">
        <f t="shared" si="1"/>
        <v>미수상</v>
      </c>
      <c r="U11" s="51" t="str">
        <f t="shared" si="2"/>
        <v>미수상</v>
      </c>
      <c r="V11" s="51"/>
    </row>
    <row r="12" spans="1:22" x14ac:dyDescent="0.25">
      <c r="D12" s="86"/>
      <c r="E12" s="49">
        <v>9</v>
      </c>
      <c r="F12" s="50" t="s">
        <v>287</v>
      </c>
      <c r="G12" s="48" t="s">
        <v>245</v>
      </c>
      <c r="H12" s="48" t="s">
        <v>236</v>
      </c>
      <c r="J12" s="89"/>
      <c r="K12" s="52">
        <v>9</v>
      </c>
      <c r="L12" s="51" t="s">
        <v>229</v>
      </c>
      <c r="M12" s="52">
        <v>26</v>
      </c>
      <c r="N12" s="51" t="str">
        <f t="shared" si="0"/>
        <v>수상</v>
      </c>
      <c r="P12" s="91"/>
      <c r="Q12" s="52">
        <v>9</v>
      </c>
      <c r="R12" s="53" t="s">
        <v>213</v>
      </c>
      <c r="S12" s="52">
        <v>17</v>
      </c>
      <c r="T12" s="51" t="str">
        <f t="shared" si="1"/>
        <v>미수상</v>
      </c>
      <c r="U12" s="51" t="str">
        <f t="shared" si="2"/>
        <v>미수상</v>
      </c>
      <c r="V12" s="51"/>
    </row>
    <row r="13" spans="1:22" x14ac:dyDescent="0.25">
      <c r="D13" s="86"/>
      <c r="E13" s="49">
        <v>10</v>
      </c>
      <c r="F13" s="50" t="s">
        <v>288</v>
      </c>
      <c r="G13" s="48"/>
      <c r="H13" s="48"/>
      <c r="J13" s="89"/>
      <c r="K13" s="52">
        <v>10</v>
      </c>
      <c r="L13" s="53" t="s">
        <v>242</v>
      </c>
      <c r="M13" s="52">
        <v>25</v>
      </c>
      <c r="N13" s="51" t="str">
        <f t="shared" si="0"/>
        <v>미수상</v>
      </c>
      <c r="P13" s="91"/>
      <c r="Q13" s="52">
        <v>10</v>
      </c>
      <c r="R13" s="53" t="s">
        <v>231</v>
      </c>
      <c r="S13" s="52">
        <v>17</v>
      </c>
      <c r="T13" s="51" t="str">
        <f t="shared" si="1"/>
        <v>미수상</v>
      </c>
      <c r="U13" s="51" t="str">
        <f t="shared" si="2"/>
        <v>미수상</v>
      </c>
      <c r="V13" s="51"/>
    </row>
    <row r="14" spans="1:22" x14ac:dyDescent="0.25">
      <c r="D14" s="86"/>
      <c r="E14" s="49">
        <v>11</v>
      </c>
      <c r="F14" s="50" t="s">
        <v>289</v>
      </c>
      <c r="G14" s="48"/>
      <c r="H14" s="48"/>
      <c r="J14" s="89"/>
      <c r="K14" s="52">
        <v>11</v>
      </c>
      <c r="L14" s="53" t="s">
        <v>232</v>
      </c>
      <c r="M14" s="52">
        <v>25</v>
      </c>
      <c r="N14" s="51" t="str">
        <f t="shared" si="0"/>
        <v>미수상</v>
      </c>
      <c r="P14" s="91"/>
      <c r="Q14" s="52">
        <v>11</v>
      </c>
      <c r="R14" s="51" t="s">
        <v>228</v>
      </c>
      <c r="S14" s="52">
        <v>16</v>
      </c>
      <c r="T14" s="51" t="str">
        <f t="shared" si="1"/>
        <v>미수상</v>
      </c>
      <c r="U14" s="51" t="str">
        <f t="shared" si="2"/>
        <v>미수상</v>
      </c>
      <c r="V14" s="51"/>
    </row>
    <row r="15" spans="1:22" x14ac:dyDescent="0.25">
      <c r="D15" s="86"/>
      <c r="E15" s="49">
        <v>12</v>
      </c>
      <c r="F15" s="50" t="s">
        <v>290</v>
      </c>
      <c r="G15" s="48"/>
      <c r="H15" s="48"/>
      <c r="J15" s="89"/>
      <c r="K15" s="52">
        <v>12</v>
      </c>
      <c r="L15" s="53" t="s">
        <v>62</v>
      </c>
      <c r="M15" s="52">
        <v>25</v>
      </c>
      <c r="N15" s="51" t="str">
        <f t="shared" si="0"/>
        <v>미수상</v>
      </c>
      <c r="P15" s="91"/>
      <c r="Q15" s="52">
        <v>12</v>
      </c>
      <c r="R15" s="51" t="s">
        <v>275</v>
      </c>
      <c r="S15" s="52">
        <v>14</v>
      </c>
      <c r="T15" s="51" t="str">
        <f t="shared" si="1"/>
        <v>미수상</v>
      </c>
      <c r="U15" s="51" t="str">
        <f t="shared" si="2"/>
        <v>미수상</v>
      </c>
      <c r="V15" s="51"/>
    </row>
    <row r="16" spans="1:22" x14ac:dyDescent="0.25">
      <c r="D16" s="86"/>
      <c r="E16" s="49">
        <v>13</v>
      </c>
      <c r="F16" s="48" t="s">
        <v>291</v>
      </c>
      <c r="G16" s="48"/>
      <c r="H16" s="48"/>
      <c r="J16" s="89"/>
      <c r="K16" s="52">
        <v>13</v>
      </c>
      <c r="L16" s="51" t="s">
        <v>39</v>
      </c>
      <c r="M16" s="52">
        <v>24</v>
      </c>
      <c r="N16" s="51" t="str">
        <f t="shared" si="0"/>
        <v>수상</v>
      </c>
      <c r="P16" s="91"/>
      <c r="Q16" s="52">
        <v>13</v>
      </c>
      <c r="R16" s="51" t="s">
        <v>295</v>
      </c>
      <c r="S16" s="52">
        <v>13</v>
      </c>
      <c r="T16" s="51" t="str">
        <f t="shared" si="1"/>
        <v>미수상</v>
      </c>
      <c r="U16" s="51" t="str">
        <f t="shared" si="2"/>
        <v>미수상</v>
      </c>
      <c r="V16" s="51"/>
    </row>
    <row r="17" spans="4:14" x14ac:dyDescent="0.25">
      <c r="D17" s="86"/>
      <c r="E17" s="49">
        <v>14</v>
      </c>
      <c r="F17" s="48" t="s">
        <v>292</v>
      </c>
      <c r="G17" s="48"/>
      <c r="H17" s="48"/>
      <c r="J17" s="89"/>
      <c r="K17" s="52">
        <v>14</v>
      </c>
      <c r="L17" s="53" t="s">
        <v>64</v>
      </c>
      <c r="M17" s="52">
        <v>24</v>
      </c>
      <c r="N17" s="51" t="str">
        <f t="shared" si="0"/>
        <v>미수상</v>
      </c>
    </row>
    <row r="18" spans="4:14" x14ac:dyDescent="0.25">
      <c r="D18" s="87"/>
      <c r="E18" s="49">
        <v>15</v>
      </c>
      <c r="F18" s="48" t="s">
        <v>293</v>
      </c>
      <c r="G18" s="48"/>
      <c r="H18" s="48"/>
      <c r="J18" s="89"/>
      <c r="K18" s="52">
        <v>15</v>
      </c>
      <c r="L18" s="53" t="s">
        <v>34</v>
      </c>
      <c r="M18" s="52">
        <v>24</v>
      </c>
      <c r="N18" s="51" t="str">
        <f t="shared" si="0"/>
        <v>미수상</v>
      </c>
    </row>
    <row r="19" spans="4:14" x14ac:dyDescent="0.25">
      <c r="J19" s="90"/>
      <c r="K19" s="52">
        <v>16</v>
      </c>
      <c r="L19" s="51"/>
      <c r="M19" s="52"/>
      <c r="N19" s="51" t="str">
        <f t="shared" si="0"/>
        <v>미수상</v>
      </c>
    </row>
  </sheetData>
  <mergeCells count="9">
    <mergeCell ref="P3:Q3"/>
    <mergeCell ref="D4:D18"/>
    <mergeCell ref="J4:J19"/>
    <mergeCell ref="P4:P16"/>
    <mergeCell ref="D2:H2"/>
    <mergeCell ref="J2:N2"/>
    <mergeCell ref="J3:K3"/>
    <mergeCell ref="D3:E3"/>
    <mergeCell ref="P2:V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8DBD-49BC-431D-8A71-74E2FC7A3D82}">
  <dimension ref="A2:U30"/>
  <sheetViews>
    <sheetView showGridLines="0" workbookViewId="0">
      <selection activeCell="N16" sqref="N16"/>
    </sheetView>
  </sheetViews>
  <sheetFormatPr defaultRowHeight="16" x14ac:dyDescent="0.25"/>
  <cols>
    <col min="1" max="1" width="8.83203125" style="1"/>
    <col min="2" max="2" width="10.08203125" style="1" bestFit="1" customWidth="1"/>
    <col min="3" max="3" width="3.1640625" style="38" bestFit="1" customWidth="1"/>
    <col min="4" max="4" width="8.83203125" style="1"/>
    <col min="5" max="7" width="10.6640625" style="1" customWidth="1"/>
    <col min="8" max="8" width="8.83203125" style="38"/>
    <col min="9" max="9" width="10.08203125" style="54" bestFit="1" customWidth="1"/>
    <col min="10" max="10" width="3.1640625" style="68" bestFit="1" customWidth="1"/>
    <col min="11" max="11" width="8.83203125" style="54"/>
    <col min="12" max="12" width="10.6640625" style="54" customWidth="1"/>
    <col min="14" max="14" width="10.08203125" style="1" bestFit="1" customWidth="1"/>
    <col min="15" max="15" width="3.1640625" style="38" bestFit="1" customWidth="1"/>
    <col min="16" max="16" width="8.83203125" style="1"/>
    <col min="17" max="19" width="10.6640625" style="1" customWidth="1"/>
  </cols>
  <sheetData>
    <row r="2" spans="2:19" x14ac:dyDescent="0.25">
      <c r="B2" s="92" t="s">
        <v>249</v>
      </c>
      <c r="C2" s="92"/>
      <c r="D2" s="48" t="s">
        <v>277</v>
      </c>
      <c r="E2" s="48" t="s">
        <v>334</v>
      </c>
      <c r="F2" s="48" t="s">
        <v>333</v>
      </c>
      <c r="G2" s="48" t="s">
        <v>334</v>
      </c>
      <c r="I2" s="94" t="s">
        <v>249</v>
      </c>
      <c r="J2" s="94"/>
      <c r="K2" s="66" t="s">
        <v>277</v>
      </c>
      <c r="L2" s="66" t="s">
        <v>334</v>
      </c>
      <c r="N2" s="92" t="s">
        <v>249</v>
      </c>
      <c r="O2" s="92"/>
      <c r="P2" s="48" t="s">
        <v>277</v>
      </c>
      <c r="Q2" s="48" t="s">
        <v>334</v>
      </c>
      <c r="R2" s="48" t="s">
        <v>333</v>
      </c>
      <c r="S2" s="48" t="s">
        <v>334</v>
      </c>
    </row>
    <row r="3" spans="2:19" x14ac:dyDescent="0.25">
      <c r="B3" s="93" t="s">
        <v>340</v>
      </c>
      <c r="C3" s="73">
        <v>1</v>
      </c>
      <c r="D3" s="71" t="s">
        <v>299</v>
      </c>
      <c r="E3" s="71">
        <f>VLOOKUP(D3,종합Sheet!$B$3:$I$114,8,0)</f>
        <v>2</v>
      </c>
      <c r="F3" s="71" t="s">
        <v>299</v>
      </c>
      <c r="G3" s="62">
        <f>VLOOKUP(F3,종합Sheet!$B$3:$I$114,7,0)</f>
        <v>2.8</v>
      </c>
      <c r="I3" s="95" t="s">
        <v>335</v>
      </c>
      <c r="J3" s="69">
        <v>1</v>
      </c>
      <c r="K3" s="70" t="s">
        <v>300</v>
      </c>
      <c r="L3" s="70">
        <v>16</v>
      </c>
      <c r="N3" s="85" t="s">
        <v>252</v>
      </c>
      <c r="O3" s="49">
        <v>1</v>
      </c>
      <c r="P3" s="63" t="s">
        <v>299</v>
      </c>
      <c r="Q3" s="63">
        <f>VLOOKUP(P3,종합Sheet!$B$3:$I$114,8,0)</f>
        <v>2</v>
      </c>
      <c r="R3" s="63" t="s">
        <v>299</v>
      </c>
      <c r="S3" s="64">
        <f>VLOOKUP(R3,종합Sheet!$B$3:$I$114,7,0)</f>
        <v>2.8</v>
      </c>
    </row>
    <row r="4" spans="2:19" x14ac:dyDescent="0.25">
      <c r="B4" s="86"/>
      <c r="C4" s="49">
        <v>2</v>
      </c>
      <c r="D4" s="63" t="s">
        <v>50</v>
      </c>
      <c r="E4" s="63">
        <f>VLOOKUP(D4,종합Sheet!$B$3:$I$114,8,0)</f>
        <v>5</v>
      </c>
      <c r="F4" s="71" t="s">
        <v>225</v>
      </c>
      <c r="G4" s="62">
        <f>VLOOKUP(F4,종합Sheet!$B$3:$I$114,7,0)</f>
        <v>2</v>
      </c>
      <c r="I4" s="96"/>
      <c r="J4" s="67">
        <v>2</v>
      </c>
      <c r="K4" s="66" t="s">
        <v>224</v>
      </c>
      <c r="L4" s="66">
        <v>15</v>
      </c>
      <c r="N4" s="86"/>
      <c r="O4" s="49">
        <v>2</v>
      </c>
      <c r="P4" s="63" t="s">
        <v>222</v>
      </c>
      <c r="Q4" s="63">
        <f>VLOOKUP(P4,종합Sheet!$B$3:$I$114,8,0)</f>
        <v>5</v>
      </c>
      <c r="R4" s="63" t="s">
        <v>222</v>
      </c>
      <c r="S4" s="64">
        <f>VLOOKUP(R4,종합Sheet!$B$3:$I$114,7,0)</f>
        <v>5.2</v>
      </c>
    </row>
    <row r="5" spans="2:19" x14ac:dyDescent="0.25">
      <c r="B5" s="86"/>
      <c r="C5" s="49">
        <v>3</v>
      </c>
      <c r="D5" s="48" t="s">
        <v>222</v>
      </c>
      <c r="E5" s="48">
        <f>VLOOKUP(D5,종합Sheet!$B$3:$I$114,8,0)</f>
        <v>5</v>
      </c>
      <c r="F5" s="71" t="s">
        <v>222</v>
      </c>
      <c r="G5" s="62">
        <f>VLOOKUP(F5,종합Sheet!$B$3:$I$114,7,0)</f>
        <v>5.2</v>
      </c>
      <c r="I5" s="96"/>
      <c r="J5" s="67">
        <v>3</v>
      </c>
      <c r="K5" s="66" t="s">
        <v>242</v>
      </c>
      <c r="L5" s="66">
        <v>12</v>
      </c>
      <c r="N5" s="86"/>
      <c r="O5" s="49">
        <v>3</v>
      </c>
      <c r="P5" s="63" t="s">
        <v>306</v>
      </c>
      <c r="Q5" s="63">
        <f>VLOOKUP(P5,종합Sheet!$B$3:$I$114,8,0)</f>
        <v>5</v>
      </c>
      <c r="R5" s="63" t="s">
        <v>306</v>
      </c>
      <c r="S5" s="64">
        <f>VLOOKUP(R5,종합Sheet!$B$3:$I$114,7,0)</f>
        <v>5</v>
      </c>
    </row>
    <row r="6" spans="2:19" x14ac:dyDescent="0.25">
      <c r="B6" s="86"/>
      <c r="C6" s="49">
        <v>4</v>
      </c>
      <c r="D6" s="48" t="s">
        <v>306</v>
      </c>
      <c r="E6" s="48">
        <f>VLOOKUP(D6,종합Sheet!$B$3:$I$114,8,0)</f>
        <v>5</v>
      </c>
      <c r="F6" s="71" t="s">
        <v>233</v>
      </c>
      <c r="G6" s="62">
        <f>VLOOKUP(F6,종합Sheet!$B$3:$I$114,7,0)</f>
        <v>3</v>
      </c>
      <c r="I6" s="96"/>
      <c r="J6" s="67">
        <v>4</v>
      </c>
      <c r="K6" s="66" t="s">
        <v>311</v>
      </c>
      <c r="L6" s="66">
        <v>12</v>
      </c>
      <c r="N6" s="86"/>
      <c r="O6" s="49">
        <v>4</v>
      </c>
      <c r="P6" s="70" t="s">
        <v>231</v>
      </c>
      <c r="Q6" s="70">
        <f>VLOOKUP(P6,종합Sheet!$B$3:$I$114,8,0)</f>
        <v>3</v>
      </c>
      <c r="R6" s="66" t="s">
        <v>231</v>
      </c>
      <c r="S6" s="72">
        <f>VLOOKUP(R6,종합Sheet!$B$3:$I$114,7,0)</f>
        <v>3</v>
      </c>
    </row>
    <row r="7" spans="2:19" x14ac:dyDescent="0.25">
      <c r="B7" s="86"/>
      <c r="C7" s="49">
        <v>5</v>
      </c>
      <c r="D7" s="48" t="s">
        <v>233</v>
      </c>
      <c r="E7" s="48">
        <f>VLOOKUP(D7,종합Sheet!$B$3:$I$114,8,0)</f>
        <v>3</v>
      </c>
      <c r="F7" s="71" t="s">
        <v>306</v>
      </c>
      <c r="G7" s="62">
        <f>VLOOKUP(F7,종합Sheet!$B$3:$I$114,7,0)</f>
        <v>5</v>
      </c>
      <c r="I7" s="98"/>
      <c r="J7" s="67">
        <v>5</v>
      </c>
      <c r="K7" s="66" t="s">
        <v>229</v>
      </c>
      <c r="L7" s="66">
        <v>11</v>
      </c>
      <c r="N7" s="86"/>
      <c r="O7" s="49">
        <v>5</v>
      </c>
      <c r="P7" s="70" t="s">
        <v>327</v>
      </c>
      <c r="Q7" s="70">
        <f>VLOOKUP(P7,종합Sheet!$B$3:$I$114,8,0)</f>
        <v>2</v>
      </c>
      <c r="R7" s="66" t="s">
        <v>327</v>
      </c>
      <c r="S7" s="72">
        <f>VLOOKUP(R7,종합Sheet!$B$3:$I$114,7,0)</f>
        <v>2</v>
      </c>
    </row>
    <row r="8" spans="2:19" x14ac:dyDescent="0.25">
      <c r="B8" s="86"/>
      <c r="C8" s="49">
        <v>6</v>
      </c>
      <c r="D8" s="48" t="s">
        <v>225</v>
      </c>
      <c r="E8" s="48">
        <f>VLOOKUP(D8,종합Sheet!$B$3:$I$114,8,0)</f>
        <v>2</v>
      </c>
      <c r="F8" s="63" t="s">
        <v>50</v>
      </c>
      <c r="G8" s="64">
        <f>VLOOKUP(F8,종합Sheet!$B$3:$I$114,7,0)</f>
        <v>6.4</v>
      </c>
      <c r="N8" s="86"/>
      <c r="O8" s="49">
        <v>6</v>
      </c>
      <c r="P8" s="70" t="s">
        <v>320</v>
      </c>
      <c r="Q8" s="70">
        <f>VLOOKUP(P8,종합Sheet!$B$3:$I$114,8,0)</f>
        <v>5</v>
      </c>
      <c r="R8" s="66" t="s">
        <v>320</v>
      </c>
      <c r="S8" s="72">
        <f>VLOOKUP(R8,종합Sheet!$B$3:$I$114,7,0)</f>
        <v>5</v>
      </c>
    </row>
    <row r="9" spans="2:19" x14ac:dyDescent="0.25">
      <c r="B9" s="86"/>
      <c r="C9" s="49">
        <v>7</v>
      </c>
      <c r="D9" s="66" t="s">
        <v>48</v>
      </c>
      <c r="E9" s="66">
        <f>VLOOKUP(D9,종합Sheet!$B$3:$I$114,8,0)</f>
        <v>2</v>
      </c>
      <c r="F9" s="71" t="s">
        <v>7</v>
      </c>
      <c r="G9" s="62">
        <f>VLOOKUP(F9,종합Sheet!$B$3:$I$114,7,0)</f>
        <v>1</v>
      </c>
      <c r="I9" s="94" t="s">
        <v>249</v>
      </c>
      <c r="J9" s="94"/>
      <c r="K9" s="66" t="s">
        <v>277</v>
      </c>
      <c r="L9" s="66" t="s">
        <v>334</v>
      </c>
      <c r="N9" s="86"/>
      <c r="O9" s="49">
        <v>7</v>
      </c>
      <c r="P9" s="70" t="s">
        <v>310</v>
      </c>
      <c r="Q9" s="70">
        <f>VLOOKUP(P9,종합Sheet!$B$3:$I$114,8,0)</f>
        <v>1</v>
      </c>
      <c r="R9" s="66" t="s">
        <v>311</v>
      </c>
      <c r="S9" s="72">
        <f>VLOOKUP(R9,종합Sheet!$B$3:$I$114,7,0)</f>
        <v>0</v>
      </c>
    </row>
    <row r="10" spans="2:19" x14ac:dyDescent="0.25">
      <c r="B10" s="86"/>
      <c r="C10" s="49">
        <v>8</v>
      </c>
      <c r="D10" s="65" t="s">
        <v>55</v>
      </c>
      <c r="E10" s="65">
        <f>VLOOKUP(D10,종합Sheet!$B$3:$I$114,8,0)</f>
        <v>5</v>
      </c>
      <c r="F10" s="71" t="s">
        <v>53</v>
      </c>
      <c r="G10" s="62">
        <f>VLOOKUP(F10,종합Sheet!$B$3:$I$114,7,0)</f>
        <v>3</v>
      </c>
      <c r="I10" s="95" t="s">
        <v>336</v>
      </c>
      <c r="J10" s="67">
        <v>1</v>
      </c>
      <c r="K10" s="70" t="s">
        <v>225</v>
      </c>
      <c r="L10" s="70">
        <v>11</v>
      </c>
      <c r="N10" s="86"/>
      <c r="O10" s="49">
        <v>8</v>
      </c>
      <c r="P10" s="66" t="s">
        <v>311</v>
      </c>
      <c r="Q10" s="66">
        <f>VLOOKUP(P10,종합Sheet!$B$3:$I$114,8,0)</f>
        <v>0</v>
      </c>
      <c r="R10" s="66" t="s">
        <v>310</v>
      </c>
      <c r="S10" s="72">
        <f>VLOOKUP(R10,종합Sheet!$B$3:$I$114,7,0)</f>
        <v>1</v>
      </c>
    </row>
    <row r="11" spans="2:19" x14ac:dyDescent="0.25">
      <c r="B11" s="86"/>
      <c r="C11" s="49">
        <v>9</v>
      </c>
      <c r="D11" s="66" t="s">
        <v>7</v>
      </c>
      <c r="E11" s="66">
        <f>VLOOKUP(D11,종합Sheet!$B$3:$I$114,8,0)</f>
        <v>1</v>
      </c>
      <c r="F11" s="71" t="s">
        <v>48</v>
      </c>
      <c r="G11" s="62">
        <f>VLOOKUP(F11,종합Sheet!$B$3:$I$114,7,0)</f>
        <v>2.8</v>
      </c>
      <c r="I11" s="96"/>
      <c r="J11" s="67">
        <v>2</v>
      </c>
      <c r="K11" s="66" t="s">
        <v>7</v>
      </c>
      <c r="L11" s="66">
        <v>10</v>
      </c>
      <c r="N11" s="86"/>
      <c r="O11" s="49">
        <v>9</v>
      </c>
      <c r="P11" s="66" t="s">
        <v>316</v>
      </c>
      <c r="Q11" s="66">
        <f>VLOOKUP(P11,종합Sheet!$B$3:$I$114,8,0)</f>
        <v>2</v>
      </c>
      <c r="R11" s="66" t="s">
        <v>316</v>
      </c>
      <c r="S11" s="72">
        <f>VLOOKUP(R11,종합Sheet!$B$3:$I$114,7,0)</f>
        <v>2</v>
      </c>
    </row>
    <row r="12" spans="2:19" x14ac:dyDescent="0.25">
      <c r="B12" s="86"/>
      <c r="C12" s="49">
        <v>10</v>
      </c>
      <c r="D12" s="66" t="s">
        <v>224</v>
      </c>
      <c r="E12" s="66">
        <f>VLOOKUP(D12,종합Sheet!$B$3:$I$114,8,0)</f>
        <v>3</v>
      </c>
      <c r="F12" s="71" t="s">
        <v>224</v>
      </c>
      <c r="G12" s="62">
        <f>VLOOKUP(F12,종합Sheet!$B$3:$I$114,7,0)</f>
        <v>3.8</v>
      </c>
      <c r="I12" s="96"/>
      <c r="J12" s="67">
        <v>3</v>
      </c>
      <c r="K12" s="66" t="s">
        <v>224</v>
      </c>
      <c r="L12" s="66">
        <v>8</v>
      </c>
      <c r="N12" s="101"/>
      <c r="O12" s="49">
        <v>10</v>
      </c>
      <c r="P12" s="66" t="s">
        <v>339</v>
      </c>
      <c r="Q12" s="66" t="e">
        <f>VLOOKUP(P12,종합Sheet!$B$3:$I$114,8,0)</f>
        <v>#N/A</v>
      </c>
      <c r="R12" s="66" t="s">
        <v>339</v>
      </c>
      <c r="S12" s="72" t="e">
        <f>VLOOKUP(R12,종합Sheet!$B$3:$I$114,7,0)</f>
        <v>#N/A</v>
      </c>
    </row>
    <row r="13" spans="2:19" x14ac:dyDescent="0.25">
      <c r="B13" s="86"/>
      <c r="C13" s="49">
        <v>11</v>
      </c>
      <c r="D13" s="66" t="s">
        <v>53</v>
      </c>
      <c r="E13" s="66">
        <f>VLOOKUP(D13,종합Sheet!$B$3:$I$114,8,0)</f>
        <v>3</v>
      </c>
      <c r="F13" s="71" t="s">
        <v>242</v>
      </c>
      <c r="G13" s="62">
        <f>VLOOKUP(F13,종합Sheet!$B$3:$I$114,7,0)</f>
        <v>3</v>
      </c>
      <c r="I13" s="96"/>
      <c r="J13" s="67">
        <v>4</v>
      </c>
      <c r="K13" s="66" t="s">
        <v>242</v>
      </c>
      <c r="L13" s="66">
        <v>7</v>
      </c>
      <c r="N13"/>
      <c r="O13"/>
      <c r="P13"/>
      <c r="Q13"/>
      <c r="R13"/>
      <c r="S13"/>
    </row>
    <row r="14" spans="2:19" x14ac:dyDescent="0.25">
      <c r="B14" s="86"/>
      <c r="C14" s="49">
        <v>12</v>
      </c>
      <c r="D14" s="66" t="s">
        <v>229</v>
      </c>
      <c r="E14" s="66">
        <f>VLOOKUP(D14,종합Sheet!$B$3:$I$114,8,0)</f>
        <v>5</v>
      </c>
      <c r="F14" s="71" t="s">
        <v>229</v>
      </c>
      <c r="G14" s="62">
        <f>VLOOKUP(F14,종합Sheet!$B$3:$I$114,7,0)</f>
        <v>5</v>
      </c>
      <c r="I14" s="98"/>
      <c r="J14" s="67">
        <v>5</v>
      </c>
      <c r="K14" s="66" t="s">
        <v>315</v>
      </c>
      <c r="L14" s="66">
        <v>6</v>
      </c>
      <c r="N14"/>
      <c r="O14"/>
      <c r="P14"/>
      <c r="Q14"/>
      <c r="R14"/>
      <c r="S14"/>
    </row>
    <row r="15" spans="2:19" x14ac:dyDescent="0.25">
      <c r="B15" s="86"/>
      <c r="C15" s="49">
        <v>13</v>
      </c>
      <c r="D15" s="66" t="s">
        <v>242</v>
      </c>
      <c r="E15" s="66">
        <f>VLOOKUP(D15,종합Sheet!$B$3:$I$114,8,0)</f>
        <v>3</v>
      </c>
      <c r="F15" s="63" t="s">
        <v>300</v>
      </c>
      <c r="G15" s="64">
        <f>VLOOKUP(F15,종합Sheet!$B$3:$I$114,7,0)</f>
        <v>3.6</v>
      </c>
      <c r="N15"/>
      <c r="O15"/>
      <c r="P15"/>
      <c r="Q15"/>
      <c r="R15"/>
      <c r="S15"/>
    </row>
    <row r="16" spans="2:19" s="1" customFormat="1" x14ac:dyDescent="0.25">
      <c r="B16" s="86"/>
      <c r="C16" s="49">
        <v>14</v>
      </c>
      <c r="D16" s="66" t="s">
        <v>231</v>
      </c>
      <c r="E16" s="66">
        <f>VLOOKUP(D16,종합Sheet!$B$3:$I$114,8,0)</f>
        <v>3</v>
      </c>
      <c r="F16" s="63" t="s">
        <v>231</v>
      </c>
      <c r="G16" s="64">
        <f>VLOOKUP(F16,종합Sheet!$B$3:$I$114,7,0)</f>
        <v>3</v>
      </c>
      <c r="H16" s="38"/>
      <c r="I16" s="94" t="s">
        <v>249</v>
      </c>
      <c r="J16" s="94"/>
      <c r="K16" s="66" t="s">
        <v>277</v>
      </c>
      <c r="L16" s="66" t="s">
        <v>334</v>
      </c>
      <c r="M16"/>
      <c r="N16"/>
      <c r="O16"/>
    </row>
    <row r="17" spans="2:21" s="1" customFormat="1" ht="15.65" customHeight="1" x14ac:dyDescent="0.25">
      <c r="B17" s="87"/>
      <c r="C17" s="49">
        <v>15</v>
      </c>
      <c r="D17" s="63"/>
      <c r="E17" s="63"/>
      <c r="F17" s="63" t="s">
        <v>230</v>
      </c>
      <c r="G17" s="64">
        <f>VLOOKUP(F17,종합Sheet!$B$3:$I$114,7,0)</f>
        <v>3</v>
      </c>
      <c r="H17" s="38"/>
      <c r="I17" s="95" t="s">
        <v>337</v>
      </c>
      <c r="J17" s="67">
        <v>1</v>
      </c>
      <c r="K17" s="70" t="s">
        <v>53</v>
      </c>
      <c r="L17" s="70">
        <v>19</v>
      </c>
      <c r="M17"/>
      <c r="N17"/>
      <c r="O17"/>
    </row>
    <row r="18" spans="2:21" s="1" customFormat="1" x14ac:dyDescent="0.25">
      <c r="C18" s="38"/>
      <c r="H18" s="38"/>
      <c r="I18" s="96"/>
      <c r="J18" s="67">
        <v>2</v>
      </c>
      <c r="K18" s="66" t="s">
        <v>299</v>
      </c>
      <c r="L18" s="66">
        <v>18</v>
      </c>
      <c r="M18"/>
      <c r="O18" s="38"/>
      <c r="T18"/>
      <c r="U18"/>
    </row>
    <row r="19" spans="2:21" x14ac:dyDescent="0.25">
      <c r="B19" s="94" t="s">
        <v>249</v>
      </c>
      <c r="C19" s="94"/>
      <c r="D19" s="66" t="s">
        <v>277</v>
      </c>
      <c r="E19" s="66"/>
      <c r="I19" s="96"/>
      <c r="J19" s="67">
        <v>3</v>
      </c>
      <c r="K19" s="66" t="s">
        <v>64</v>
      </c>
      <c r="L19" s="66">
        <v>17</v>
      </c>
    </row>
    <row r="20" spans="2:21" ht="15.65" customHeight="1" x14ac:dyDescent="0.25">
      <c r="B20" s="95" t="s">
        <v>341</v>
      </c>
      <c r="C20" s="69">
        <v>1</v>
      </c>
      <c r="D20" s="70" t="s">
        <v>212</v>
      </c>
      <c r="E20" s="70" t="s">
        <v>342</v>
      </c>
      <c r="I20" s="96"/>
      <c r="J20" s="67">
        <v>4</v>
      </c>
      <c r="K20" s="66" t="s">
        <v>225</v>
      </c>
      <c r="L20" s="66">
        <v>17</v>
      </c>
    </row>
    <row r="21" spans="2:21" x14ac:dyDescent="0.25">
      <c r="B21" s="96"/>
      <c r="C21" s="67">
        <v>2</v>
      </c>
      <c r="D21" s="66" t="s">
        <v>93</v>
      </c>
      <c r="E21" s="66" t="s">
        <v>343</v>
      </c>
      <c r="I21" s="98"/>
      <c r="J21" s="67">
        <v>5</v>
      </c>
      <c r="K21" s="66" t="s">
        <v>320</v>
      </c>
      <c r="L21" s="66">
        <v>16</v>
      </c>
    </row>
    <row r="22" spans="2:21" x14ac:dyDescent="0.25">
      <c r="B22" s="97"/>
      <c r="C22" s="67">
        <v>3</v>
      </c>
      <c r="D22" s="66" t="s">
        <v>344</v>
      </c>
      <c r="E22" s="66" t="s">
        <v>345</v>
      </c>
    </row>
    <row r="23" spans="2:21" x14ac:dyDescent="0.25">
      <c r="I23" s="99" t="s">
        <v>249</v>
      </c>
      <c r="J23" s="100"/>
      <c r="K23" s="66" t="s">
        <v>277</v>
      </c>
      <c r="L23" s="66" t="s">
        <v>334</v>
      </c>
    </row>
    <row r="24" spans="2:21" x14ac:dyDescent="0.25">
      <c r="I24" s="95" t="s">
        <v>338</v>
      </c>
      <c r="J24" s="67">
        <v>1</v>
      </c>
      <c r="K24" s="70" t="s">
        <v>233</v>
      </c>
      <c r="L24" s="70">
        <v>38</v>
      </c>
    </row>
    <row r="25" spans="2:21" x14ac:dyDescent="0.25">
      <c r="I25" s="96"/>
      <c r="J25" s="67">
        <v>2</v>
      </c>
      <c r="K25" s="70" t="s">
        <v>230</v>
      </c>
      <c r="L25" s="70">
        <v>34</v>
      </c>
    </row>
    <row r="26" spans="2:21" x14ac:dyDescent="0.25">
      <c r="I26" s="96"/>
      <c r="J26" s="67">
        <v>3</v>
      </c>
      <c r="K26" s="66" t="s">
        <v>75</v>
      </c>
      <c r="L26" s="66">
        <v>30</v>
      </c>
    </row>
    <row r="27" spans="2:21" x14ac:dyDescent="0.25">
      <c r="I27" s="96"/>
      <c r="J27" s="67">
        <v>4</v>
      </c>
      <c r="K27" s="66" t="s">
        <v>326</v>
      </c>
      <c r="L27" s="66">
        <v>29</v>
      </c>
    </row>
    <row r="28" spans="2:21" x14ac:dyDescent="0.25">
      <c r="I28" s="96"/>
      <c r="J28" s="67">
        <v>5</v>
      </c>
      <c r="K28" s="66" t="s">
        <v>327</v>
      </c>
      <c r="L28" s="66">
        <v>28</v>
      </c>
    </row>
    <row r="29" spans="2:21" x14ac:dyDescent="0.25">
      <c r="I29" s="96"/>
      <c r="J29" s="67">
        <v>6</v>
      </c>
      <c r="K29" s="66" t="s">
        <v>304</v>
      </c>
      <c r="L29" s="66">
        <v>28</v>
      </c>
    </row>
    <row r="30" spans="2:21" x14ac:dyDescent="0.25">
      <c r="I30" s="98"/>
      <c r="J30" s="67">
        <v>7</v>
      </c>
      <c r="K30" s="66" t="s">
        <v>48</v>
      </c>
      <c r="L30" s="66">
        <v>25</v>
      </c>
    </row>
  </sheetData>
  <mergeCells count="14">
    <mergeCell ref="I23:J23"/>
    <mergeCell ref="I24:I30"/>
    <mergeCell ref="N2:O2"/>
    <mergeCell ref="N3:N12"/>
    <mergeCell ref="I2:J2"/>
    <mergeCell ref="I3:I7"/>
    <mergeCell ref="I9:J9"/>
    <mergeCell ref="I10:I14"/>
    <mergeCell ref="B3:B17"/>
    <mergeCell ref="B2:C2"/>
    <mergeCell ref="B19:C19"/>
    <mergeCell ref="B20:B22"/>
    <mergeCell ref="I16:J16"/>
    <mergeCell ref="I17:I21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8BFD-764F-41C8-B837-9777BCD4F9AD}">
  <sheetPr>
    <pageSetUpPr fitToPage="1"/>
  </sheetPr>
  <dimension ref="A1:CT37"/>
  <sheetViews>
    <sheetView showGridLines="0" zoomScaleNormal="125" workbookViewId="0">
      <pane xSplit="9" topLeftCell="J1" activePane="topRight" state="frozen"/>
      <selection pane="topRight" activeCell="O37" sqref="O37"/>
    </sheetView>
  </sheetViews>
  <sheetFormatPr defaultColWidth="8.9140625" defaultRowHeight="16" x14ac:dyDescent="0.25"/>
  <cols>
    <col min="1" max="1" width="4.1640625" style="1" bestFit="1" customWidth="1"/>
    <col min="2" max="2" width="6.33203125" style="1" customWidth="1"/>
    <col min="3" max="3" width="10" style="1" customWidth="1"/>
    <col min="4" max="6" width="5.9140625" style="1" customWidth="1"/>
    <col min="7" max="7" width="4.4140625" style="1" customWidth="1"/>
    <col min="8" max="8" width="8.9140625" style="1" customWidth="1"/>
    <col min="9" max="9" width="8.1640625" style="1" customWidth="1"/>
    <col min="10" max="30" width="5.1640625" style="1" customWidth="1"/>
    <col min="31" max="33" width="5.1640625" style="3" customWidth="1"/>
    <col min="34" max="56" width="5.1640625" style="1" customWidth="1"/>
    <col min="57" max="82" width="4.83203125" style="1" customWidth="1"/>
    <col min="83" max="90" width="8.9140625" style="1"/>
    <col min="91" max="98" width="8.9140625" style="3"/>
  </cols>
  <sheetData>
    <row r="1" spans="1:82" x14ac:dyDescent="0.25">
      <c r="I1" s="18" t="s">
        <v>208</v>
      </c>
      <c r="J1" s="19" t="s">
        <v>207</v>
      </c>
      <c r="K1" s="1" t="s">
        <v>13</v>
      </c>
      <c r="L1" s="1" t="s">
        <v>22</v>
      </c>
      <c r="M1" s="1" t="s">
        <v>15</v>
      </c>
      <c r="N1" s="1" t="s">
        <v>26</v>
      </c>
      <c r="O1" s="1" t="s">
        <v>60</v>
      </c>
      <c r="P1" s="1" t="s">
        <v>11</v>
      </c>
      <c r="Q1" s="1" t="s">
        <v>51</v>
      </c>
      <c r="R1" s="1" t="s">
        <v>12</v>
      </c>
      <c r="S1" s="1" t="s">
        <v>57</v>
      </c>
      <c r="T1" s="1" t="s">
        <v>18</v>
      </c>
      <c r="U1" s="1" t="s">
        <v>56</v>
      </c>
      <c r="V1" s="1" t="s">
        <v>21</v>
      </c>
      <c r="W1" s="1" t="s">
        <v>59</v>
      </c>
      <c r="X1" s="1" t="s">
        <v>23</v>
      </c>
      <c r="Y1" s="1" t="s">
        <v>17</v>
      </c>
      <c r="Z1" s="1" t="s">
        <v>29</v>
      </c>
      <c r="AA1" s="1" t="s">
        <v>63</v>
      </c>
      <c r="AB1" s="1" t="s">
        <v>31</v>
      </c>
      <c r="AC1" s="1" t="s">
        <v>54</v>
      </c>
      <c r="AD1" s="1" t="s">
        <v>10</v>
      </c>
      <c r="AE1" s="1" t="s">
        <v>30</v>
      </c>
      <c r="AF1" s="1" t="s">
        <v>19</v>
      </c>
      <c r="AG1" s="1" t="s">
        <v>66</v>
      </c>
      <c r="AH1" s="1" t="s">
        <v>58</v>
      </c>
      <c r="AI1" s="1" t="s">
        <v>61</v>
      </c>
      <c r="AJ1" s="1" t="s">
        <v>35</v>
      </c>
      <c r="AK1" s="1" t="s">
        <v>24</v>
      </c>
      <c r="AL1" s="1" t="s">
        <v>52</v>
      </c>
      <c r="AM1" s="1" t="s">
        <v>16</v>
      </c>
      <c r="AN1" s="1" t="s">
        <v>68</v>
      </c>
      <c r="AO1" s="1" t="s">
        <v>33</v>
      </c>
      <c r="AP1" s="1" t="s">
        <v>28</v>
      </c>
      <c r="AQ1" s="1" t="s">
        <v>72</v>
      </c>
      <c r="AR1" s="1" t="s">
        <v>25</v>
      </c>
      <c r="AS1" s="1" t="s">
        <v>165</v>
      </c>
      <c r="AT1" s="1" t="s">
        <v>166</v>
      </c>
      <c r="AU1" s="1" t="s">
        <v>167</v>
      </c>
      <c r="AV1" s="1" t="s">
        <v>168</v>
      </c>
      <c r="AW1" s="1" t="s">
        <v>169</v>
      </c>
      <c r="AX1" s="1" t="s">
        <v>170</v>
      </c>
      <c r="AY1" s="1" t="s">
        <v>171</v>
      </c>
      <c r="AZ1" s="1" t="s">
        <v>172</v>
      </c>
      <c r="BA1" s="1" t="s">
        <v>173</v>
      </c>
      <c r="BB1" s="1" t="s">
        <v>174</v>
      </c>
      <c r="BC1" s="1" t="s">
        <v>180</v>
      </c>
      <c r="BD1" s="1" t="s">
        <v>183</v>
      </c>
      <c r="BE1" s="1" t="s">
        <v>198</v>
      </c>
      <c r="BF1" s="1" t="s">
        <v>199</v>
      </c>
      <c r="BG1" s="1" t="s">
        <v>200</v>
      </c>
    </row>
    <row r="2" spans="1:82" x14ac:dyDescent="0.25">
      <c r="D2" s="1">
        <f>COUNTIF(D4:D55,"지급")</f>
        <v>19</v>
      </c>
      <c r="E2" s="1">
        <f>COUNTIF(E4:E55,"지급")</f>
        <v>0</v>
      </c>
      <c r="H2" s="18">
        <f>SUM(J2:AR2)/COUNTA(J2:BB2)</f>
        <v>2.1333333333333333</v>
      </c>
      <c r="I2" s="18" t="s">
        <v>83</v>
      </c>
      <c r="J2" s="1">
        <f t="shared" ref="J2:AO2" si="0">COUNTA(J4:J67)</f>
        <v>15</v>
      </c>
      <c r="K2" s="1">
        <f t="shared" si="0"/>
        <v>19</v>
      </c>
      <c r="L2" s="1">
        <f t="shared" si="0"/>
        <v>17</v>
      </c>
      <c r="M2" s="1">
        <f t="shared" si="0"/>
        <v>15</v>
      </c>
      <c r="N2" s="1">
        <f t="shared" si="0"/>
        <v>14</v>
      </c>
      <c r="O2" s="1">
        <f t="shared" si="0"/>
        <v>16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  <c r="V2" s="1">
        <f t="shared" si="0"/>
        <v>0</v>
      </c>
      <c r="W2" s="1">
        <f t="shared" si="0"/>
        <v>0</v>
      </c>
      <c r="X2" s="1">
        <f t="shared" si="0"/>
        <v>0</v>
      </c>
      <c r="Y2" s="1">
        <f t="shared" si="0"/>
        <v>0</v>
      </c>
      <c r="Z2" s="1">
        <f t="shared" si="0"/>
        <v>0</v>
      </c>
      <c r="AA2" s="1">
        <f t="shared" si="0"/>
        <v>0</v>
      </c>
      <c r="AB2" s="1">
        <f t="shared" si="0"/>
        <v>0</v>
      </c>
      <c r="AC2" s="1">
        <f t="shared" si="0"/>
        <v>0</v>
      </c>
      <c r="AD2" s="1">
        <f t="shared" si="0"/>
        <v>0</v>
      </c>
      <c r="AE2" s="1">
        <f t="shared" si="0"/>
        <v>0</v>
      </c>
      <c r="AF2" s="1">
        <f t="shared" si="0"/>
        <v>0</v>
      </c>
      <c r="AG2" s="1">
        <f t="shared" si="0"/>
        <v>0</v>
      </c>
      <c r="AH2" s="1">
        <f t="shared" si="0"/>
        <v>0</v>
      </c>
      <c r="AI2" s="1">
        <f t="shared" si="0"/>
        <v>0</v>
      </c>
      <c r="AJ2" s="1">
        <f t="shared" si="0"/>
        <v>0</v>
      </c>
      <c r="AK2" s="1">
        <f t="shared" si="0"/>
        <v>0</v>
      </c>
      <c r="AL2" s="1">
        <f t="shared" si="0"/>
        <v>0</v>
      </c>
      <c r="AM2" s="1">
        <f t="shared" si="0"/>
        <v>0</v>
      </c>
      <c r="AN2" s="1">
        <f t="shared" si="0"/>
        <v>0</v>
      </c>
      <c r="AO2" s="1">
        <f t="shared" si="0"/>
        <v>0</v>
      </c>
      <c r="AP2" s="1">
        <f t="shared" ref="AP2:BG2" si="1">COUNTA(AP4:AP67)</f>
        <v>0</v>
      </c>
      <c r="AQ2" s="1">
        <f t="shared" si="1"/>
        <v>0</v>
      </c>
      <c r="AR2" s="1">
        <f t="shared" si="1"/>
        <v>0</v>
      </c>
      <c r="AS2" s="1">
        <f t="shared" si="1"/>
        <v>0</v>
      </c>
      <c r="AT2" s="1">
        <f t="shared" si="1"/>
        <v>0</v>
      </c>
      <c r="AU2" s="1">
        <f t="shared" si="1"/>
        <v>0</v>
      </c>
      <c r="AV2" s="1">
        <f t="shared" si="1"/>
        <v>0</v>
      </c>
      <c r="AW2" s="1">
        <f t="shared" si="1"/>
        <v>0</v>
      </c>
      <c r="AX2" s="1">
        <f t="shared" si="1"/>
        <v>0</v>
      </c>
      <c r="AY2" s="1">
        <f t="shared" si="1"/>
        <v>0</v>
      </c>
      <c r="AZ2" s="1">
        <f t="shared" si="1"/>
        <v>0</v>
      </c>
      <c r="BA2" s="1">
        <f t="shared" si="1"/>
        <v>0</v>
      </c>
      <c r="BB2" s="1">
        <f t="shared" si="1"/>
        <v>0</v>
      </c>
      <c r="BC2" s="1">
        <f t="shared" si="1"/>
        <v>0</v>
      </c>
      <c r="BD2" s="1">
        <f t="shared" si="1"/>
        <v>0</v>
      </c>
      <c r="BE2" s="1">
        <f t="shared" si="1"/>
        <v>0</v>
      </c>
      <c r="BF2" s="1">
        <f t="shared" si="1"/>
        <v>0</v>
      </c>
      <c r="BG2" s="1">
        <f t="shared" si="1"/>
        <v>0</v>
      </c>
    </row>
    <row r="3" spans="1:82" x14ac:dyDescent="0.25">
      <c r="A3" s="2" t="s">
        <v>4</v>
      </c>
      <c r="B3" s="2" t="s">
        <v>6</v>
      </c>
      <c r="C3" s="2" t="s">
        <v>197</v>
      </c>
      <c r="D3" s="2" t="s">
        <v>116</v>
      </c>
      <c r="E3" s="2" t="s">
        <v>127</v>
      </c>
      <c r="F3" s="2" t="s">
        <v>44</v>
      </c>
      <c r="G3" s="2" t="s">
        <v>86</v>
      </c>
      <c r="H3" s="2" t="s">
        <v>79</v>
      </c>
      <c r="I3" s="2" t="s">
        <v>77</v>
      </c>
      <c r="J3" s="4">
        <v>45321</v>
      </c>
      <c r="K3" s="4">
        <v>45350</v>
      </c>
      <c r="L3" s="4">
        <v>45397</v>
      </c>
      <c r="M3" s="4">
        <v>45427</v>
      </c>
      <c r="N3" s="4">
        <v>45427</v>
      </c>
      <c r="O3" s="4">
        <v>45467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spans="1:82" x14ac:dyDescent="0.25">
      <c r="A4" s="2">
        <v>1</v>
      </c>
      <c r="B4" s="2" t="s">
        <v>50</v>
      </c>
      <c r="C4" s="31" t="str">
        <f>VLOOKUP(B4,종합Sheet!$B$4:$F$126,2,0)</f>
        <v>Origin</v>
      </c>
      <c r="D4" s="2" t="str">
        <f>VLOOKUP(B4,종합Sheet!$B$4:$F$126,3,0)</f>
        <v>발주</v>
      </c>
      <c r="E4" s="2">
        <f>VLOOKUP(B4,종합Sheet!$B$4:$F$126,4,0)</f>
        <v>0</v>
      </c>
      <c r="F4" s="2" t="s">
        <v>37</v>
      </c>
      <c r="G4" s="2">
        <f t="shared" ref="G4:G37" si="2">RANK(H4,$H$4:$H$37,0)</f>
        <v>9</v>
      </c>
      <c r="H4" s="6">
        <f>I4+개인기록Sheet!C4</f>
        <v>4.4000000000000004</v>
      </c>
      <c r="I4" s="6">
        <f t="shared" ref="I4:I28" si="3">(COUNTIF(J4:CD4,"출전")*1)</f>
        <v>3</v>
      </c>
      <c r="J4" s="2" t="s">
        <v>205</v>
      </c>
      <c r="K4" s="2" t="s">
        <v>205</v>
      </c>
      <c r="L4" s="2" t="s">
        <v>205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5">
      <c r="A5" s="2">
        <v>2</v>
      </c>
      <c r="B5" s="2" t="s">
        <v>39</v>
      </c>
      <c r="C5" s="31">
        <f>VLOOKUP(B5,종합Sheet!$B$4:$F$126,2,0)</f>
        <v>2021</v>
      </c>
      <c r="D5" s="2" t="str">
        <f>VLOOKUP(B5,종합Sheet!$B$4:$F$126,3,0)</f>
        <v>발주</v>
      </c>
      <c r="E5" s="2">
        <f>VLOOKUP(B5,종합Sheet!$B$4:$F$126,4,0)</f>
        <v>0</v>
      </c>
      <c r="F5" s="2" t="s">
        <v>37</v>
      </c>
      <c r="G5" s="2">
        <f t="shared" si="2"/>
        <v>1</v>
      </c>
      <c r="H5" s="6">
        <f>I5+개인기록Sheet!C5</f>
        <v>6</v>
      </c>
      <c r="I5" s="6">
        <f t="shared" si="3"/>
        <v>5</v>
      </c>
      <c r="J5" s="2" t="s">
        <v>205</v>
      </c>
      <c r="K5" s="2" t="s">
        <v>205</v>
      </c>
      <c r="L5" s="2" t="s">
        <v>205</v>
      </c>
      <c r="M5" s="2" t="s">
        <v>205</v>
      </c>
      <c r="N5" s="2"/>
      <c r="O5" s="2" t="s">
        <v>205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</row>
    <row r="6" spans="1:82" x14ac:dyDescent="0.25">
      <c r="A6" s="2">
        <v>3</v>
      </c>
      <c r="B6" s="2" t="s">
        <v>8</v>
      </c>
      <c r="C6" s="31" t="str">
        <f>VLOOKUP(B6,종합Sheet!$B$4:$F$126,2,0)</f>
        <v>Origin</v>
      </c>
      <c r="D6" s="2" t="str">
        <f>VLOOKUP(B6,종합Sheet!$B$4:$F$126,3,0)</f>
        <v>발주</v>
      </c>
      <c r="E6" s="2">
        <f>VLOOKUP(B6,종합Sheet!$B$4:$F$126,4,0)</f>
        <v>0</v>
      </c>
      <c r="F6" s="2" t="s">
        <v>37</v>
      </c>
      <c r="G6" s="2">
        <f t="shared" si="2"/>
        <v>16</v>
      </c>
      <c r="H6" s="6">
        <f>I6+개인기록Sheet!C6</f>
        <v>3</v>
      </c>
      <c r="I6" s="6">
        <f t="shared" si="3"/>
        <v>2</v>
      </c>
      <c r="J6" s="2"/>
      <c r="K6" s="2" t="s">
        <v>205</v>
      </c>
      <c r="L6" s="2"/>
      <c r="M6" s="2"/>
      <c r="N6" s="2" t="s">
        <v>205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spans="1:82" x14ac:dyDescent="0.25">
      <c r="A7" s="2">
        <v>4</v>
      </c>
      <c r="B7" s="2" t="s">
        <v>48</v>
      </c>
      <c r="C7" s="31" t="str">
        <f>VLOOKUP(B7,종합Sheet!$B$4:$F$126,2,0)</f>
        <v>Origin</v>
      </c>
      <c r="D7" s="2" t="str">
        <f>VLOOKUP(B7,종합Sheet!$B$4:$F$126,3,0)</f>
        <v>지급</v>
      </c>
      <c r="E7" s="2">
        <f>VLOOKUP(B7,종합Sheet!$B$4:$F$126,4,0)</f>
        <v>0</v>
      </c>
      <c r="F7" s="2" t="s">
        <v>37</v>
      </c>
      <c r="G7" s="2">
        <f t="shared" si="2"/>
        <v>32</v>
      </c>
      <c r="H7" s="6">
        <f>I7+개인기록Sheet!C9</f>
        <v>0.8</v>
      </c>
      <c r="I7" s="6">
        <f t="shared" si="3"/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</row>
    <row r="8" spans="1:82" x14ac:dyDescent="0.25">
      <c r="A8" s="2">
        <v>5</v>
      </c>
      <c r="B8" s="2" t="s">
        <v>109</v>
      </c>
      <c r="C8" s="31">
        <f>VLOOKUP(B8,종합Sheet!$B$4:$F$126,2,0)</f>
        <v>2022</v>
      </c>
      <c r="D8" s="2" t="str">
        <f>VLOOKUP(B8,종합Sheet!$B$4:$F$126,3,0)</f>
        <v>지급</v>
      </c>
      <c r="E8" s="2">
        <f>VLOOKUP(B8,종합Sheet!$B$4:$F$126,4,0)</f>
        <v>0</v>
      </c>
      <c r="F8" s="2" t="s">
        <v>37</v>
      </c>
      <c r="G8" s="2">
        <f t="shared" si="2"/>
        <v>2</v>
      </c>
      <c r="H8" s="6">
        <f>I8+개인기록Sheet!C10</f>
        <v>5.8</v>
      </c>
      <c r="I8" s="6">
        <f t="shared" si="3"/>
        <v>5</v>
      </c>
      <c r="J8" s="2" t="s">
        <v>205</v>
      </c>
      <c r="K8" s="2" t="s">
        <v>205</v>
      </c>
      <c r="L8" s="2" t="s">
        <v>205</v>
      </c>
      <c r="M8" s="2" t="s">
        <v>205</v>
      </c>
      <c r="N8" s="2" t="s">
        <v>205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spans="1:82" x14ac:dyDescent="0.25">
      <c r="A9" s="2">
        <v>6</v>
      </c>
      <c r="B9" s="2" t="s">
        <v>111</v>
      </c>
      <c r="C9" s="31">
        <f>VLOOKUP(B9,종합Sheet!$B$4:$F$126,2,0)</f>
        <v>2022</v>
      </c>
      <c r="D9" s="2" t="str">
        <f>VLOOKUP(B9,종합Sheet!$B$4:$F$126,3,0)</f>
        <v>지급</v>
      </c>
      <c r="E9" s="2">
        <f>VLOOKUP(B9,종합Sheet!$B$4:$F$126,4,0)</f>
        <v>0</v>
      </c>
      <c r="F9" s="2" t="s">
        <v>37</v>
      </c>
      <c r="G9" s="2">
        <f t="shared" si="2"/>
        <v>13</v>
      </c>
      <c r="H9" s="6">
        <f>I9+개인기록Sheet!C15</f>
        <v>3.6</v>
      </c>
      <c r="I9" s="6">
        <f t="shared" si="3"/>
        <v>3</v>
      </c>
      <c r="J9" s="2" t="s">
        <v>205</v>
      </c>
      <c r="K9" s="2" t="s">
        <v>205</v>
      </c>
      <c r="L9" s="2" t="s">
        <v>205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 x14ac:dyDescent="0.25">
      <c r="A10" s="2">
        <v>7</v>
      </c>
      <c r="B10" s="2" t="s">
        <v>90</v>
      </c>
      <c r="C10" s="31" t="e">
        <f>VLOOKUP(B10,종합Sheet!$B$4:$F$126,2,0)</f>
        <v>#N/A</v>
      </c>
      <c r="D10" s="2" t="e">
        <f>VLOOKUP(B10,종합Sheet!$B$4:$F$126,3,0)</f>
        <v>#N/A</v>
      </c>
      <c r="E10" s="2" t="e">
        <f>VLOOKUP(B10,종합Sheet!$B$4:$F$126,4,0)</f>
        <v>#N/A</v>
      </c>
      <c r="F10" s="2" t="s">
        <v>37</v>
      </c>
      <c r="G10" s="2">
        <f t="shared" si="2"/>
        <v>13</v>
      </c>
      <c r="H10" s="6">
        <f>I10+개인기록Sheet!C16</f>
        <v>3.6</v>
      </c>
      <c r="I10" s="6">
        <f t="shared" si="3"/>
        <v>3</v>
      </c>
      <c r="J10" s="2"/>
      <c r="K10" s="2" t="s">
        <v>205</v>
      </c>
      <c r="L10" s="2" t="s">
        <v>205</v>
      </c>
      <c r="M10" s="2" t="s">
        <v>205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spans="1:82" x14ac:dyDescent="0.25">
      <c r="A11" s="2">
        <v>8</v>
      </c>
      <c r="B11" s="2" t="s">
        <v>134</v>
      </c>
      <c r="C11" s="31">
        <f>VLOOKUP(B11,종합Sheet!$B$4:$F$126,2,0)</f>
        <v>2023</v>
      </c>
      <c r="D11" s="2" t="str">
        <f>VLOOKUP(B11,종합Sheet!$B$4:$F$126,3,0)</f>
        <v>발주</v>
      </c>
      <c r="E11" s="2">
        <f>VLOOKUP(B11,종합Sheet!$B$4:$F$126,4,0)</f>
        <v>0</v>
      </c>
      <c r="F11" s="2" t="s">
        <v>37</v>
      </c>
      <c r="G11" s="2">
        <f t="shared" si="2"/>
        <v>8</v>
      </c>
      <c r="H11" s="6">
        <f>I11+개인기록Sheet!C17</f>
        <v>4.5999999999999996</v>
      </c>
      <c r="I11" s="6">
        <f t="shared" si="3"/>
        <v>4</v>
      </c>
      <c r="J11" s="2"/>
      <c r="K11" s="2" t="s">
        <v>205</v>
      </c>
      <c r="L11" s="2" t="s">
        <v>205</v>
      </c>
      <c r="M11" s="2"/>
      <c r="N11" s="2" t="s">
        <v>205</v>
      </c>
      <c r="O11" s="2" t="s">
        <v>205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1:82" x14ac:dyDescent="0.25">
      <c r="A12" s="2">
        <v>9</v>
      </c>
      <c r="B12" s="2" t="s">
        <v>91</v>
      </c>
      <c r="C12" s="31">
        <f>VLOOKUP(B12,종합Sheet!$B$4:$F$126,2,0)</f>
        <v>2022</v>
      </c>
      <c r="D12" s="2" t="str">
        <f>VLOOKUP(B12,종합Sheet!$B$4:$F$126,3,0)</f>
        <v>발주</v>
      </c>
      <c r="E12" s="2">
        <f>VLOOKUP(B12,종합Sheet!$B$4:$F$126,4,0)</f>
        <v>0</v>
      </c>
      <c r="F12" s="2" t="s">
        <v>37</v>
      </c>
      <c r="G12" s="2">
        <f t="shared" si="2"/>
        <v>13</v>
      </c>
      <c r="H12" s="6">
        <f>I12+개인기록Sheet!C18</f>
        <v>3.6</v>
      </c>
      <c r="I12" s="6">
        <f t="shared" si="3"/>
        <v>3</v>
      </c>
      <c r="J12" s="2"/>
      <c r="K12" s="2" t="s">
        <v>205</v>
      </c>
      <c r="L12" s="2" t="s">
        <v>205</v>
      </c>
      <c r="M12" s="2"/>
      <c r="N12" s="2"/>
      <c r="O12" s="2" t="s">
        <v>205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spans="1:82" x14ac:dyDescent="0.25">
      <c r="A13" s="2">
        <v>10</v>
      </c>
      <c r="B13" s="2" t="s">
        <v>14</v>
      </c>
      <c r="C13" s="31" t="str">
        <f>VLOOKUP(B13,종합Sheet!$B$4:$F$126,2,0)</f>
        <v>Origin</v>
      </c>
      <c r="D13" s="2" t="str">
        <f>VLOOKUP(B13,종합Sheet!$B$4:$F$126,3,0)</f>
        <v>지급</v>
      </c>
      <c r="E13" s="2">
        <f>VLOOKUP(B13,종합Sheet!$B$4:$F$126,4,0)</f>
        <v>0</v>
      </c>
      <c r="F13" s="2" t="s">
        <v>37</v>
      </c>
      <c r="G13" s="2">
        <f t="shared" si="2"/>
        <v>22</v>
      </c>
      <c r="H13" s="6">
        <f>I13+개인기록Sheet!C22</f>
        <v>2.4</v>
      </c>
      <c r="I13" s="6">
        <f t="shared" si="3"/>
        <v>2</v>
      </c>
      <c r="J13" s="2"/>
      <c r="K13" s="2" t="s">
        <v>205</v>
      </c>
      <c r="L13" s="2"/>
      <c r="M13" s="2"/>
      <c r="N13" s="2" t="s">
        <v>205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</row>
    <row r="14" spans="1:82" x14ac:dyDescent="0.25">
      <c r="A14" s="2">
        <v>11</v>
      </c>
      <c r="B14" s="2" t="s">
        <v>135</v>
      </c>
      <c r="C14" s="31">
        <f>VLOOKUP(B14,종합Sheet!$B$4:$F$126,2,0)</f>
        <v>2023</v>
      </c>
      <c r="D14" s="2" t="str">
        <f>VLOOKUP(B14,종합Sheet!$B$4:$F$126,3,0)</f>
        <v>지급</v>
      </c>
      <c r="E14" s="2">
        <f>VLOOKUP(B14,종합Sheet!$B$4:$F$126,4,0)</f>
        <v>0</v>
      </c>
      <c r="F14" s="2" t="s">
        <v>37</v>
      </c>
      <c r="G14" s="2">
        <f t="shared" si="2"/>
        <v>26</v>
      </c>
      <c r="H14" s="6">
        <f>I14+개인기록Sheet!C23</f>
        <v>1.4</v>
      </c>
      <c r="I14" s="6">
        <f t="shared" si="3"/>
        <v>1</v>
      </c>
      <c r="J14" s="2" t="s">
        <v>205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spans="1:82" x14ac:dyDescent="0.25">
      <c r="A15" s="2">
        <v>12</v>
      </c>
      <c r="B15" s="2" t="s">
        <v>202</v>
      </c>
      <c r="C15" s="31">
        <f>VLOOKUP(B15,종합Sheet!$B$4:$F$126,2,0)</f>
        <v>2024</v>
      </c>
      <c r="D15" s="2" t="str">
        <f>VLOOKUP(B15,종합Sheet!$B$4:$F$126,3,0)</f>
        <v>지급</v>
      </c>
      <c r="E15" s="2">
        <f>VLOOKUP(B15,종합Sheet!$B$4:$F$126,4,0)</f>
        <v>0</v>
      </c>
      <c r="F15" s="2"/>
      <c r="G15" s="2"/>
      <c r="H15" s="6"/>
      <c r="I15" s="6"/>
      <c r="J15" s="2"/>
      <c r="K15" s="2"/>
      <c r="L15" s="2"/>
      <c r="M15" s="2"/>
      <c r="N15" s="2"/>
      <c r="O15" s="2" t="s">
        <v>205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</row>
    <row r="16" spans="1:82" x14ac:dyDescent="0.25">
      <c r="A16" s="2">
        <v>13</v>
      </c>
      <c r="B16" s="2" t="s">
        <v>64</v>
      </c>
      <c r="C16" s="31" t="str">
        <f>VLOOKUP(B16,종합Sheet!$B$4:$F$126,2,0)</f>
        <v>Origin</v>
      </c>
      <c r="D16" s="2" t="str">
        <f>VLOOKUP(B16,종합Sheet!$B$4:$F$126,3,0)</f>
        <v>지급</v>
      </c>
      <c r="E16" s="2">
        <f>VLOOKUP(B16,종합Sheet!$B$4:$F$126,4,0)</f>
        <v>0</v>
      </c>
      <c r="F16" s="2" t="s">
        <v>37</v>
      </c>
      <c r="G16" s="2">
        <f t="shared" si="2"/>
        <v>3</v>
      </c>
      <c r="H16" s="6">
        <f>I16+개인기록Sheet!C25</f>
        <v>5.2</v>
      </c>
      <c r="I16" s="6">
        <f t="shared" si="3"/>
        <v>5</v>
      </c>
      <c r="J16" s="2" t="s">
        <v>205</v>
      </c>
      <c r="K16" s="2" t="s">
        <v>205</v>
      </c>
      <c r="L16" s="2" t="s">
        <v>205</v>
      </c>
      <c r="M16" s="2"/>
      <c r="N16" s="2" t="s">
        <v>205</v>
      </c>
      <c r="O16" s="2" t="s">
        <v>205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spans="1:82" x14ac:dyDescent="0.25">
      <c r="A17" s="2">
        <v>14</v>
      </c>
      <c r="B17" s="2" t="s">
        <v>162</v>
      </c>
      <c r="C17" s="31">
        <f>VLOOKUP(B17,종합Sheet!$B$4:$F$126,2,0)</f>
        <v>2023</v>
      </c>
      <c r="D17" s="2">
        <f>VLOOKUP(B17,종합Sheet!$B$4:$F$126,3,0)</f>
        <v>0</v>
      </c>
      <c r="E17" s="2">
        <f>VLOOKUP(B17,종합Sheet!$B$4:$F$126,4,0)</f>
        <v>0</v>
      </c>
      <c r="F17" s="2" t="s">
        <v>37</v>
      </c>
      <c r="G17" s="2">
        <f t="shared" si="2"/>
        <v>27</v>
      </c>
      <c r="H17" s="6">
        <f>I17+개인기록Sheet!C26</f>
        <v>1.2</v>
      </c>
      <c r="I17" s="6">
        <f t="shared" si="3"/>
        <v>1</v>
      </c>
      <c r="J17" s="2"/>
      <c r="K17" s="2"/>
      <c r="L17" s="2"/>
      <c r="M17" s="2" t="s">
        <v>205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5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</row>
    <row r="18" spans="1:82" x14ac:dyDescent="0.25">
      <c r="A18" s="2">
        <v>15</v>
      </c>
      <c r="B18" s="2" t="s">
        <v>53</v>
      </c>
      <c r="C18" s="31" t="str">
        <f>VLOOKUP(B18,종합Sheet!$B$4:$F$126,2,0)</f>
        <v>Origin</v>
      </c>
      <c r="D18" s="2" t="str">
        <f>VLOOKUP(B18,종합Sheet!$B$4:$F$126,3,0)</f>
        <v>지급</v>
      </c>
      <c r="E18" s="2">
        <f>VLOOKUP(B18,종합Sheet!$B$4:$F$126,4,0)</f>
        <v>0</v>
      </c>
      <c r="F18" s="2" t="s">
        <v>37</v>
      </c>
      <c r="G18" s="2">
        <f t="shared" si="2"/>
        <v>4</v>
      </c>
      <c r="H18" s="6">
        <f>I18+개인기록Sheet!C29</f>
        <v>5</v>
      </c>
      <c r="I18" s="6">
        <f t="shared" si="3"/>
        <v>5</v>
      </c>
      <c r="J18" s="2" t="s">
        <v>205</v>
      </c>
      <c r="K18" s="2"/>
      <c r="L18" s="2" t="s">
        <v>205</v>
      </c>
      <c r="M18" s="2" t="s">
        <v>205</v>
      </c>
      <c r="N18" s="2" t="s">
        <v>205</v>
      </c>
      <c r="O18" s="2" t="s">
        <v>205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spans="1:82" x14ac:dyDescent="0.25">
      <c r="A19" s="2">
        <v>16</v>
      </c>
      <c r="B19" s="2" t="s">
        <v>55</v>
      </c>
      <c r="C19" s="31" t="str">
        <f>VLOOKUP(B19,종합Sheet!$B$4:$F$126,2,0)</f>
        <v>Origin</v>
      </c>
      <c r="D19" s="2" t="str">
        <f>VLOOKUP(B19,종합Sheet!$B$4:$F$126,3,0)</f>
        <v>발주</v>
      </c>
      <c r="E19" s="2">
        <f>VLOOKUP(B19,종합Sheet!$B$4:$F$126,4,0)</f>
        <v>0</v>
      </c>
      <c r="F19" s="2" t="s">
        <v>37</v>
      </c>
      <c r="G19" s="2">
        <f t="shared" si="2"/>
        <v>4</v>
      </c>
      <c r="H19" s="6">
        <f>I19+개인기록Sheet!C34</f>
        <v>5</v>
      </c>
      <c r="I19" s="6">
        <f t="shared" si="3"/>
        <v>5</v>
      </c>
      <c r="J19" s="2" t="s">
        <v>205</v>
      </c>
      <c r="K19" s="2" t="s">
        <v>205</v>
      </c>
      <c r="L19" s="2" t="s">
        <v>205</v>
      </c>
      <c r="M19" s="2" t="s">
        <v>205</v>
      </c>
      <c r="N19" s="2"/>
      <c r="O19" s="2" t="s">
        <v>205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5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spans="1:82" x14ac:dyDescent="0.25">
      <c r="A20" s="2">
        <v>17</v>
      </c>
      <c r="B20" s="2" t="s">
        <v>106</v>
      </c>
      <c r="C20" s="31">
        <f>VLOOKUP(B20,종합Sheet!$B$4:$F$126,2,0)</f>
        <v>2022</v>
      </c>
      <c r="D20" s="2" t="str">
        <f>VLOOKUP(B20,종합Sheet!$B$4:$F$126,3,0)</f>
        <v>지급</v>
      </c>
      <c r="E20" s="2">
        <f>VLOOKUP(B20,종합Sheet!$B$4:$F$126,4,0)</f>
        <v>0</v>
      </c>
      <c r="F20" s="2" t="s">
        <v>37</v>
      </c>
      <c r="G20" s="2">
        <f t="shared" si="2"/>
        <v>23</v>
      </c>
      <c r="H20" s="6">
        <f>I20+개인기록Sheet!C40</f>
        <v>2</v>
      </c>
      <c r="I20" s="6">
        <f t="shared" si="3"/>
        <v>2</v>
      </c>
      <c r="J20" s="2" t="s">
        <v>205</v>
      </c>
      <c r="K20" s="2"/>
      <c r="L20" s="2"/>
      <c r="M20" s="2"/>
      <c r="N20" s="2"/>
      <c r="O20" s="2" t="s">
        <v>205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5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spans="1:82" x14ac:dyDescent="0.25">
      <c r="A21" s="2">
        <v>18</v>
      </c>
      <c r="B21" s="2" t="s">
        <v>118</v>
      </c>
      <c r="C21" s="31">
        <f>VLOOKUP(B21,종합Sheet!$B$4:$F$126,2,0)</f>
        <v>2022</v>
      </c>
      <c r="D21" s="2" t="str">
        <f>VLOOKUP(B21,종합Sheet!$B$4:$F$126,3,0)</f>
        <v>지급</v>
      </c>
      <c r="E21" s="2">
        <f>VLOOKUP(B21,종합Sheet!$B$4:$F$126,4,0)</f>
        <v>0</v>
      </c>
      <c r="F21" s="2" t="s">
        <v>37</v>
      </c>
      <c r="G21" s="2">
        <f t="shared" si="2"/>
        <v>23</v>
      </c>
      <c r="H21" s="6">
        <f>I21+개인기록Sheet!C44</f>
        <v>2</v>
      </c>
      <c r="I21" s="6">
        <f t="shared" si="3"/>
        <v>2</v>
      </c>
      <c r="J21" s="2"/>
      <c r="K21" s="2"/>
      <c r="L21" s="2"/>
      <c r="M21" s="2" t="s">
        <v>205</v>
      </c>
      <c r="N21" s="2"/>
      <c r="O21" s="2" t="s">
        <v>205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spans="1:82" x14ac:dyDescent="0.25">
      <c r="A22" s="2">
        <v>19</v>
      </c>
      <c r="B22" s="2" t="s">
        <v>120</v>
      </c>
      <c r="C22" s="31">
        <f>VLOOKUP(B22,종합Sheet!$B$4:$F$126,2,0)</f>
        <v>2022</v>
      </c>
      <c r="D22" s="2">
        <f>VLOOKUP(B22,종합Sheet!$B$4:$F$126,3,0)</f>
        <v>0</v>
      </c>
      <c r="E22" s="2">
        <f>VLOOKUP(B22,종합Sheet!$B$4:$F$126,4,0)</f>
        <v>0</v>
      </c>
      <c r="F22" s="2"/>
      <c r="G22" s="2"/>
      <c r="H22" s="6"/>
      <c r="I22" s="6"/>
      <c r="J22" s="2"/>
      <c r="K22" s="2"/>
      <c r="L22" s="2"/>
      <c r="M22" s="2"/>
      <c r="N22" s="2"/>
      <c r="O22" s="2" t="s">
        <v>205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spans="1:82" x14ac:dyDescent="0.25">
      <c r="A23" s="2">
        <v>20</v>
      </c>
      <c r="B23" s="2" t="s">
        <v>136</v>
      </c>
      <c r="C23" s="31">
        <f>VLOOKUP(B23,종합Sheet!$B$4:$F$126,2,0)</f>
        <v>2023</v>
      </c>
      <c r="D23" s="2" t="str">
        <f>VLOOKUP(B23,종합Sheet!$B$4:$F$126,3,0)</f>
        <v>지급</v>
      </c>
      <c r="E23" s="2">
        <f>VLOOKUP(B23,종합Sheet!$B$4:$F$126,4,0)</f>
        <v>0</v>
      </c>
      <c r="F23" s="2" t="s">
        <v>37</v>
      </c>
      <c r="G23" s="2">
        <f t="shared" si="2"/>
        <v>10</v>
      </c>
      <c r="H23" s="6">
        <f>I23+개인기록Sheet!C49</f>
        <v>4</v>
      </c>
      <c r="I23" s="6">
        <f t="shared" si="3"/>
        <v>4</v>
      </c>
      <c r="J23" s="2"/>
      <c r="K23" s="2" t="s">
        <v>205</v>
      </c>
      <c r="L23" s="2" t="s">
        <v>205</v>
      </c>
      <c r="M23" s="2"/>
      <c r="N23" s="2" t="s">
        <v>205</v>
      </c>
      <c r="O23" s="2" t="s">
        <v>205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  <row r="24" spans="1:82" x14ac:dyDescent="0.25">
      <c r="A24" s="2">
        <v>21</v>
      </c>
      <c r="B24" s="2" t="s">
        <v>110</v>
      </c>
      <c r="C24" s="31">
        <f>VLOOKUP(B24,종합Sheet!$B$4:$F$126,2,0)</f>
        <v>2022</v>
      </c>
      <c r="D24" s="2" t="str">
        <f>VLOOKUP(B24,종합Sheet!$B$4:$F$126,3,0)</f>
        <v>지급</v>
      </c>
      <c r="E24" s="2">
        <f>VLOOKUP(B24,종합Sheet!$B$4:$F$126,4,0)</f>
        <v>0</v>
      </c>
      <c r="F24" s="2" t="s">
        <v>37</v>
      </c>
      <c r="G24" s="2">
        <f t="shared" si="2"/>
        <v>23</v>
      </c>
      <c r="H24" s="6">
        <f>I24+개인기록Sheet!C57</f>
        <v>2</v>
      </c>
      <c r="I24" s="6">
        <f t="shared" si="3"/>
        <v>2</v>
      </c>
      <c r="J24" s="2"/>
      <c r="K24" s="2"/>
      <c r="L24" s="2"/>
      <c r="M24" s="2" t="s">
        <v>205</v>
      </c>
      <c r="N24" s="2" t="s">
        <v>205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</row>
    <row r="25" spans="1:82" x14ac:dyDescent="0.25">
      <c r="A25" s="2">
        <v>22</v>
      </c>
      <c r="B25" s="2" t="s">
        <v>126</v>
      </c>
      <c r="C25" s="31">
        <f>VLOOKUP(B25,종합Sheet!$B$4:$F$126,2,0)</f>
        <v>2023</v>
      </c>
      <c r="D25" s="2" t="str">
        <f>VLOOKUP(B25,종합Sheet!$B$4:$F$126,3,0)</f>
        <v>지급</v>
      </c>
      <c r="E25" s="2">
        <f>VLOOKUP(B25,종합Sheet!$B$4:$F$126,4,0)</f>
        <v>0</v>
      </c>
      <c r="F25" s="2" t="s">
        <v>37</v>
      </c>
      <c r="G25" s="2">
        <f t="shared" si="2"/>
        <v>16</v>
      </c>
      <c r="H25" s="6">
        <f>I25+개인기록Sheet!C59</f>
        <v>3</v>
      </c>
      <c r="I25" s="6">
        <f t="shared" si="3"/>
        <v>3</v>
      </c>
      <c r="J25" s="2" t="s">
        <v>205</v>
      </c>
      <c r="K25" s="2"/>
      <c r="L25" s="2"/>
      <c r="M25" s="2"/>
      <c r="N25" s="2" t="s">
        <v>205</v>
      </c>
      <c r="O25" s="2" t="s">
        <v>205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</row>
    <row r="26" spans="1:82" x14ac:dyDescent="0.25">
      <c r="A26" s="2">
        <v>23</v>
      </c>
      <c r="B26" s="2" t="s">
        <v>97</v>
      </c>
      <c r="C26" s="31">
        <f>VLOOKUP(B26,종합Sheet!$B$4:$F$126,2,0)</f>
        <v>2021</v>
      </c>
      <c r="D26" s="2" t="str">
        <f>VLOOKUP(B26,종합Sheet!$B$4:$F$126,3,0)</f>
        <v>발주</v>
      </c>
      <c r="E26" s="2">
        <f>VLOOKUP(B26,종합Sheet!$B$4:$F$126,4,0)</f>
        <v>0</v>
      </c>
      <c r="F26" s="2" t="s">
        <v>37</v>
      </c>
      <c r="G26" s="2">
        <f t="shared" si="2"/>
        <v>10</v>
      </c>
      <c r="H26" s="6">
        <f>I26+개인기록Sheet!C60</f>
        <v>4</v>
      </c>
      <c r="I26" s="6">
        <f t="shared" si="3"/>
        <v>4</v>
      </c>
      <c r="J26" s="2" t="s">
        <v>205</v>
      </c>
      <c r="K26" s="2" t="s">
        <v>205</v>
      </c>
      <c r="L26" s="2"/>
      <c r="M26" s="2" t="s">
        <v>205</v>
      </c>
      <c r="N26" s="2" t="s">
        <v>205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spans="1:82" x14ac:dyDescent="0.25">
      <c r="A27" s="2">
        <v>24</v>
      </c>
      <c r="B27" s="2" t="s">
        <v>46</v>
      </c>
      <c r="C27" s="31" t="e">
        <f>VLOOKUP(B27,종합Sheet!$B$4:$F$126,2,0)</f>
        <v>#N/A</v>
      </c>
      <c r="D27" s="2" t="e">
        <f>VLOOKUP(B27,종합Sheet!$B$4:$F$126,3,0)</f>
        <v>#N/A</v>
      </c>
      <c r="E27" s="2" t="e">
        <f>VLOOKUP(B27,종합Sheet!$B$4:$F$126,4,0)</f>
        <v>#N/A</v>
      </c>
      <c r="F27" s="2" t="s">
        <v>37</v>
      </c>
      <c r="G27" s="2">
        <f t="shared" si="2"/>
        <v>16</v>
      </c>
      <c r="H27" s="6">
        <f>I27+개인기록Sheet!C62</f>
        <v>3</v>
      </c>
      <c r="I27" s="6">
        <f t="shared" si="3"/>
        <v>3</v>
      </c>
      <c r="J27" s="2"/>
      <c r="K27" s="2"/>
      <c r="L27" s="2" t="s">
        <v>205</v>
      </c>
      <c r="M27" s="2" t="s">
        <v>205</v>
      </c>
      <c r="N27" s="2"/>
      <c r="O27" s="2" t="s">
        <v>205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5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spans="1:82" x14ac:dyDescent="0.25">
      <c r="A28" s="2">
        <v>25</v>
      </c>
      <c r="B28" s="2" t="s">
        <v>75</v>
      </c>
      <c r="C28" s="31" t="str">
        <f>VLOOKUP(B28,종합Sheet!$B$4:$F$126,2,0)</f>
        <v>Origin</v>
      </c>
      <c r="D28" s="2" t="str">
        <f>VLOOKUP(B28,종합Sheet!$B$4:$F$126,3,0)</f>
        <v>지급</v>
      </c>
      <c r="E28" s="2">
        <f>VLOOKUP(B28,종합Sheet!$B$4:$F$126,4,0)</f>
        <v>0</v>
      </c>
      <c r="F28" s="2" t="s">
        <v>37</v>
      </c>
      <c r="G28" s="2">
        <f t="shared" si="2"/>
        <v>16</v>
      </c>
      <c r="H28" s="6">
        <f>I28+개인기록Sheet!C63</f>
        <v>3</v>
      </c>
      <c r="I28" s="6">
        <f t="shared" si="3"/>
        <v>3</v>
      </c>
      <c r="J28" s="2"/>
      <c r="K28" s="2" t="s">
        <v>205</v>
      </c>
      <c r="L28" s="2"/>
      <c r="M28" s="2" t="s">
        <v>205</v>
      </c>
      <c r="N28" s="2" t="s">
        <v>205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5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spans="1:82" x14ac:dyDescent="0.25">
      <c r="A29" s="2">
        <v>26</v>
      </c>
      <c r="B29" s="2" t="s">
        <v>179</v>
      </c>
      <c r="C29" s="31">
        <f>VLOOKUP(B29,종합Sheet!$B$4:$F$126,2,0)</f>
        <v>2023</v>
      </c>
      <c r="D29" s="2" t="str">
        <f>VLOOKUP(B29,종합Sheet!$B$4:$F$126,3,0)</f>
        <v>지급</v>
      </c>
      <c r="E29" s="2">
        <f>VLOOKUP(B29,종합Sheet!$B$4:$F$126,4,0)</f>
        <v>0</v>
      </c>
      <c r="F29" s="2" t="s">
        <v>37</v>
      </c>
      <c r="G29" s="2">
        <f t="shared" ref="G29" si="4">RANK(H29,$H$4:$H$37,0)</f>
        <v>28</v>
      </c>
      <c r="H29" s="6">
        <f>I29+개인기록Sheet!C64</f>
        <v>1</v>
      </c>
      <c r="I29" s="6">
        <f t="shared" ref="I29" si="5">(COUNTIF(J29:CD29,"출전")*1)</f>
        <v>1</v>
      </c>
      <c r="J29" s="2"/>
      <c r="K29" s="2"/>
      <c r="L29" s="2"/>
      <c r="M29" s="2"/>
      <c r="N29" s="2" t="s">
        <v>205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5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spans="1:82" x14ac:dyDescent="0.25">
      <c r="A30" s="2">
        <v>27</v>
      </c>
      <c r="B30" s="2" t="s">
        <v>7</v>
      </c>
      <c r="C30" s="31" t="str">
        <f>VLOOKUP(B30,종합Sheet!$B$4:$F$126,2,0)</f>
        <v>Origin</v>
      </c>
      <c r="D30" s="2" t="str">
        <f>VLOOKUP(B30,종합Sheet!$B$4:$F$126,3,0)</f>
        <v>지급</v>
      </c>
      <c r="E30" s="2">
        <f>VLOOKUP(B30,종합Sheet!$B$4:$F$126,4,0)</f>
        <v>0</v>
      </c>
      <c r="F30" s="2" t="s">
        <v>37</v>
      </c>
      <c r="G30" s="2">
        <f t="shared" si="2"/>
        <v>16</v>
      </c>
      <c r="H30" s="6">
        <f>I30+개인기록Sheet!C69</f>
        <v>3</v>
      </c>
      <c r="I30" s="6">
        <f t="shared" ref="I30:I37" si="6">(COUNTIF(J30:CD30,"출전")*1)</f>
        <v>3</v>
      </c>
      <c r="J30" s="2"/>
      <c r="K30" s="2"/>
      <c r="L30" s="2" t="s">
        <v>205</v>
      </c>
      <c r="M30" s="2" t="s">
        <v>205</v>
      </c>
      <c r="N30" s="2" t="s">
        <v>205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5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</row>
    <row r="31" spans="1:82" x14ac:dyDescent="0.25">
      <c r="A31" s="2">
        <v>28</v>
      </c>
      <c r="B31" s="2" t="s">
        <v>5</v>
      </c>
      <c r="C31" s="31" t="str">
        <f>VLOOKUP(B31,종합Sheet!$B$4:$F$126,2,0)</f>
        <v>Origin</v>
      </c>
      <c r="D31" s="2" t="str">
        <f>VLOOKUP(B31,종합Sheet!$B$4:$F$126,3,0)</f>
        <v>발주</v>
      </c>
      <c r="E31" s="2">
        <f>VLOOKUP(B31,종합Sheet!$B$4:$F$126,4,0)</f>
        <v>0</v>
      </c>
      <c r="F31" s="2" t="s">
        <v>37</v>
      </c>
      <c r="G31" s="2">
        <f t="shared" si="2"/>
        <v>28</v>
      </c>
      <c r="H31" s="6">
        <f>I31+개인기록Sheet!C72</f>
        <v>1</v>
      </c>
      <c r="I31" s="6">
        <f t="shared" si="6"/>
        <v>1</v>
      </c>
      <c r="J31" s="2"/>
      <c r="K31" s="2"/>
      <c r="L31" s="2"/>
      <c r="M31" s="2" t="s">
        <v>205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</row>
    <row r="32" spans="1:82" x14ac:dyDescent="0.25">
      <c r="A32" s="2">
        <v>29</v>
      </c>
      <c r="B32" s="2" t="s">
        <v>123</v>
      </c>
      <c r="C32" s="31" t="e">
        <f>VLOOKUP(B32,종합Sheet!$B$4:$F$126,2,0)</f>
        <v>#N/A</v>
      </c>
      <c r="D32" s="2" t="e">
        <f>VLOOKUP(B32,종합Sheet!$B$4:$F$126,3,0)</f>
        <v>#N/A</v>
      </c>
      <c r="E32" s="2" t="e">
        <f>VLOOKUP(B32,종합Sheet!$B$4:$F$126,4,0)</f>
        <v>#N/A</v>
      </c>
      <c r="F32" s="2" t="s">
        <v>37</v>
      </c>
      <c r="G32" s="2">
        <f t="shared" si="2"/>
        <v>10</v>
      </c>
      <c r="H32" s="6">
        <f>I32+개인기록Sheet!C79</f>
        <v>4</v>
      </c>
      <c r="I32" s="6">
        <f t="shared" si="6"/>
        <v>4</v>
      </c>
      <c r="J32" s="2" t="s">
        <v>205</v>
      </c>
      <c r="K32" s="2" t="s">
        <v>205</v>
      </c>
      <c r="L32" s="2" t="s">
        <v>205</v>
      </c>
      <c r="M32" s="2"/>
      <c r="N32" s="2"/>
      <c r="O32" s="2" t="s">
        <v>205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5"/>
      <c r="AG32" s="5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spans="1:82" x14ac:dyDescent="0.25">
      <c r="A33" s="2">
        <v>30</v>
      </c>
      <c r="B33" s="2" t="s">
        <v>121</v>
      </c>
      <c r="C33" s="31">
        <f>VLOOKUP(B33,종합Sheet!$B$4:$F$126,2,0)</f>
        <v>2022</v>
      </c>
      <c r="D33" s="2">
        <f>VLOOKUP(B33,종합Sheet!$B$4:$F$126,3,0)</f>
        <v>0</v>
      </c>
      <c r="E33" s="2">
        <f>VLOOKUP(B33,종합Sheet!$B$4:$F$126,4,0)</f>
        <v>0</v>
      </c>
      <c r="F33" s="2" t="s">
        <v>37</v>
      </c>
      <c r="G33" s="2">
        <f t="shared" si="2"/>
        <v>28</v>
      </c>
      <c r="H33" s="6">
        <f>I33+개인기록Sheet!C83</f>
        <v>1</v>
      </c>
      <c r="I33" s="6">
        <f t="shared" si="6"/>
        <v>1</v>
      </c>
      <c r="J33" s="2"/>
      <c r="K33" s="2"/>
      <c r="L33" s="2"/>
      <c r="M33" s="2" t="s">
        <v>205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5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</row>
    <row r="34" spans="1:82" x14ac:dyDescent="0.25">
      <c r="A34" s="2">
        <v>31</v>
      </c>
      <c r="B34" s="2" t="s">
        <v>137</v>
      </c>
      <c r="C34" s="31">
        <f>VLOOKUP(B34,종합Sheet!$B$4:$F$126,2,0)</f>
        <v>2023</v>
      </c>
      <c r="D34" s="2" t="str">
        <f>VLOOKUP(B34,종합Sheet!$B$4:$F$126,3,0)</f>
        <v>지급</v>
      </c>
      <c r="E34" s="2">
        <f>VLOOKUP(B34,종합Sheet!$B$4:$F$126,4,0)</f>
        <v>0</v>
      </c>
      <c r="F34" s="2" t="s">
        <v>37</v>
      </c>
      <c r="G34" s="2">
        <f t="shared" si="2"/>
        <v>28</v>
      </c>
      <c r="H34" s="6">
        <f>I34+개인기록Sheet!C90</f>
        <v>1</v>
      </c>
      <c r="I34" s="6">
        <f t="shared" si="6"/>
        <v>1</v>
      </c>
      <c r="J34" s="2"/>
      <c r="K34" s="2" t="s">
        <v>205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5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</row>
    <row r="35" spans="1:82" x14ac:dyDescent="0.25">
      <c r="A35" s="2">
        <v>32</v>
      </c>
      <c r="B35" s="2" t="s">
        <v>124</v>
      </c>
      <c r="C35" s="31">
        <f>VLOOKUP(B35,종합Sheet!$B$4:$F$126,2,0)</f>
        <v>2023</v>
      </c>
      <c r="D35" s="2" t="str">
        <f>VLOOKUP(B35,종합Sheet!$B$4:$F$126,3,0)</f>
        <v>지급</v>
      </c>
      <c r="E35" s="2">
        <f>VLOOKUP(B35,종합Sheet!$B$4:$F$126,4,0)</f>
        <v>0</v>
      </c>
      <c r="F35" s="2" t="s">
        <v>37</v>
      </c>
      <c r="G35" s="2">
        <f t="shared" si="2"/>
        <v>4</v>
      </c>
      <c r="H35" s="6">
        <f>I35+개인기록Sheet!C97</f>
        <v>5</v>
      </c>
      <c r="I35" s="6">
        <f t="shared" si="6"/>
        <v>5</v>
      </c>
      <c r="J35" s="2" t="s">
        <v>205</v>
      </c>
      <c r="K35" s="2" t="s">
        <v>205</v>
      </c>
      <c r="L35" s="2" t="s">
        <v>205</v>
      </c>
      <c r="M35" s="2" t="s">
        <v>205</v>
      </c>
      <c r="N35" s="2"/>
      <c r="O35" s="2" t="s">
        <v>205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</row>
    <row r="36" spans="1:82" x14ac:dyDescent="0.25">
      <c r="A36" s="2">
        <v>33</v>
      </c>
      <c r="B36" s="2" t="s">
        <v>32</v>
      </c>
      <c r="C36" s="31" t="str">
        <f>VLOOKUP(B36,종합Sheet!$B$4:$F$126,2,0)</f>
        <v>Origin</v>
      </c>
      <c r="D36" s="2" t="str">
        <f>VLOOKUP(B36,종합Sheet!$B$4:$F$126,3,0)</f>
        <v>대상</v>
      </c>
      <c r="E36" s="2">
        <f>VLOOKUP(B36,종합Sheet!$B$4:$F$126,4,0)</f>
        <v>0</v>
      </c>
      <c r="F36" s="2" t="s">
        <v>37</v>
      </c>
      <c r="G36" s="2">
        <f t="shared" si="2"/>
        <v>16</v>
      </c>
      <c r="H36" s="6">
        <f>I36+개인기록Sheet!C102</f>
        <v>3</v>
      </c>
      <c r="I36" s="6">
        <f t="shared" si="6"/>
        <v>3</v>
      </c>
      <c r="J36" s="2" t="s">
        <v>205</v>
      </c>
      <c r="K36" s="2" t="s">
        <v>205</v>
      </c>
      <c r="L36" s="2" t="s">
        <v>205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</row>
    <row r="37" spans="1:82" x14ac:dyDescent="0.25">
      <c r="A37" s="2">
        <v>34</v>
      </c>
      <c r="B37" s="2" t="s">
        <v>42</v>
      </c>
      <c r="C37" s="31" t="str">
        <f>VLOOKUP(B37,종합Sheet!$B$4:$F$126,2,0)</f>
        <v>Origin</v>
      </c>
      <c r="D37" s="2" t="str">
        <f>VLOOKUP(B37,종합Sheet!$B$4:$F$126,3,0)</f>
        <v>지급</v>
      </c>
      <c r="E37" s="2">
        <f>VLOOKUP(B37,종합Sheet!$B$4:$F$126,4,0)</f>
        <v>0</v>
      </c>
      <c r="F37" s="2" t="s">
        <v>37</v>
      </c>
      <c r="G37" s="2">
        <f t="shared" si="2"/>
        <v>4</v>
      </c>
      <c r="H37" s="6">
        <f>I37+개인기록Sheet!C104</f>
        <v>5</v>
      </c>
      <c r="I37" s="6">
        <f t="shared" si="6"/>
        <v>5</v>
      </c>
      <c r="J37" s="2" t="s">
        <v>205</v>
      </c>
      <c r="K37" s="2" t="s">
        <v>205</v>
      </c>
      <c r="L37" s="2" t="s">
        <v>205</v>
      </c>
      <c r="M37" s="2"/>
      <c r="N37" s="2" t="s">
        <v>205</v>
      </c>
      <c r="O37" s="2" t="s">
        <v>205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</row>
  </sheetData>
  <autoFilter ref="A3:CT37" xr:uid="{00000000-0001-0000-0000-000000000000}">
    <sortState xmlns:xlrd2="http://schemas.microsoft.com/office/spreadsheetml/2017/richdata2" ref="A4:CT37">
      <sortCondition ref="A3:A37"/>
    </sortState>
  </autoFilter>
  <phoneticPr fontId="2" type="noConversion"/>
  <conditionalFormatting sqref="D4:E37">
    <cfRule type="containsText" dxfId="3" priority="2" operator="containsText" text="지급">
      <formula>NOT(ISERROR(SEARCH("지급",D4)))</formula>
    </cfRule>
  </conditionalFormatting>
  <conditionalFormatting sqref="G4:G37">
    <cfRule type="top10" dxfId="2" priority="426" bottom="1" rank="10"/>
  </conditionalFormatting>
  <conditionalFormatting sqref="H4:H37">
    <cfRule type="top10" dxfId="1" priority="428" rank="10"/>
  </conditionalFormatting>
  <conditionalFormatting sqref="I4:I37">
    <cfRule type="top10" dxfId="0" priority="430" rank="10"/>
  </conditionalFormatting>
  <pageMargins left="0.39347222447395325" right="0.39347222447395325" top="0.19666667282581329" bottom="0.19666667282581329" header="0.19666667282581329" footer="0.19666667282581329"/>
  <pageSetup paperSize="9" scale="9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46DD-3190-4B01-99D0-3AC5A9404CDF}">
  <dimension ref="A2:V26"/>
  <sheetViews>
    <sheetView topLeftCell="A7" zoomScaleNormal="125" workbookViewId="0">
      <selection activeCell="L24" sqref="L24"/>
    </sheetView>
  </sheetViews>
  <sheetFormatPr defaultColWidth="8.9140625" defaultRowHeight="16" x14ac:dyDescent="0.25"/>
  <cols>
    <col min="1" max="1" width="4.9140625" style="1" bestFit="1" customWidth="1"/>
    <col min="2" max="2" width="5.6640625" style="1" bestFit="1" customWidth="1"/>
    <col min="3" max="4" width="8.9140625" style="1" customWidth="1"/>
    <col min="5" max="22" width="5.83203125" style="1" customWidth="1"/>
  </cols>
  <sheetData>
    <row r="2" spans="1:22" x14ac:dyDescent="0.25">
      <c r="B2" s="1" t="s">
        <v>206</v>
      </c>
    </row>
    <row r="4" spans="1:22" ht="13.4" customHeight="1" x14ac:dyDescent="0.25">
      <c r="A4" s="28"/>
      <c r="B4" s="11">
        <v>44985</v>
      </c>
      <c r="C4" s="10" t="s">
        <v>74</v>
      </c>
      <c r="D4" s="10" t="s">
        <v>209</v>
      </c>
      <c r="E4" s="78" t="s">
        <v>82</v>
      </c>
      <c r="F4" s="78"/>
      <c r="G4" s="78"/>
      <c r="H4" s="78"/>
      <c r="I4" s="79" t="s">
        <v>85</v>
      </c>
      <c r="J4" s="79"/>
      <c r="K4" s="79"/>
      <c r="L4" s="79"/>
      <c r="M4" s="80" t="s">
        <v>84</v>
      </c>
      <c r="N4" s="80"/>
      <c r="O4" s="80"/>
      <c r="P4" s="80"/>
      <c r="Q4" s="81" t="s">
        <v>78</v>
      </c>
      <c r="R4" s="81"/>
      <c r="S4" s="81"/>
      <c r="T4" s="81"/>
      <c r="U4" s="81"/>
      <c r="V4" s="81"/>
    </row>
    <row r="5" spans="1:22" x14ac:dyDescent="0.25">
      <c r="A5" s="27"/>
      <c r="B5" s="12" t="s">
        <v>65</v>
      </c>
      <c r="C5" s="10">
        <v>2</v>
      </c>
      <c r="D5" s="10">
        <v>0</v>
      </c>
      <c r="E5" s="7" t="s">
        <v>91</v>
      </c>
      <c r="F5" s="7" t="s">
        <v>109</v>
      </c>
      <c r="G5" s="7"/>
      <c r="H5" s="7"/>
      <c r="I5" s="8"/>
      <c r="J5" s="8" t="s">
        <v>97</v>
      </c>
      <c r="K5" s="8"/>
      <c r="L5" s="8"/>
      <c r="M5" s="20" t="s">
        <v>101</v>
      </c>
      <c r="N5" s="20" t="s">
        <v>107</v>
      </c>
      <c r="O5" s="20" t="s">
        <v>111</v>
      </c>
      <c r="P5" s="20"/>
      <c r="Q5" s="9" t="s">
        <v>134</v>
      </c>
      <c r="R5" s="9" t="s">
        <v>124</v>
      </c>
      <c r="S5" s="9" t="s">
        <v>212</v>
      </c>
      <c r="T5" s="9" t="s">
        <v>97</v>
      </c>
      <c r="U5" s="9"/>
      <c r="V5" s="13" t="s">
        <v>108</v>
      </c>
    </row>
    <row r="6" spans="1:22" x14ac:dyDescent="0.25">
      <c r="A6" s="27"/>
      <c r="B6" s="12" t="s">
        <v>71</v>
      </c>
      <c r="C6" s="10">
        <v>2</v>
      </c>
      <c r="D6" s="10">
        <v>1</v>
      </c>
      <c r="E6" s="7" t="s">
        <v>210</v>
      </c>
      <c r="F6" s="7" t="s">
        <v>211</v>
      </c>
      <c r="G6" s="7"/>
      <c r="H6" s="7"/>
      <c r="I6" s="8" t="s">
        <v>90</v>
      </c>
      <c r="J6" s="8"/>
      <c r="K6" s="8"/>
      <c r="L6" s="8"/>
      <c r="M6" s="20"/>
      <c r="N6" s="20"/>
      <c r="O6" s="20"/>
      <c r="P6" s="20"/>
      <c r="Q6" s="9"/>
      <c r="R6" s="9"/>
      <c r="S6" s="9"/>
      <c r="T6" s="9"/>
      <c r="U6" s="9"/>
      <c r="V6" s="13"/>
    </row>
    <row r="7" spans="1:22" x14ac:dyDescent="0.25">
      <c r="A7" s="27"/>
      <c r="B7" s="12" t="s">
        <v>73</v>
      </c>
      <c r="C7" s="10">
        <v>0</v>
      </c>
      <c r="D7" s="10">
        <v>2</v>
      </c>
      <c r="E7" s="7"/>
      <c r="F7" s="7"/>
      <c r="G7" s="7"/>
      <c r="H7" s="7"/>
      <c r="I7" s="8"/>
      <c r="J7" s="8"/>
      <c r="K7" s="8"/>
      <c r="L7" s="8"/>
      <c r="M7" s="20"/>
      <c r="N7" s="20"/>
      <c r="O7" s="20"/>
      <c r="P7" s="20"/>
      <c r="Q7" s="9"/>
      <c r="R7" s="9"/>
      <c r="S7" s="9"/>
      <c r="T7" s="9"/>
      <c r="U7" s="9"/>
      <c r="V7" s="13"/>
    </row>
    <row r="8" spans="1:22" x14ac:dyDescent="0.25">
      <c r="A8" s="28"/>
      <c r="B8" s="12" t="s">
        <v>41</v>
      </c>
      <c r="C8" s="10">
        <v>1</v>
      </c>
      <c r="D8" s="10">
        <v>0</v>
      </c>
      <c r="E8" s="7" t="s">
        <v>101</v>
      </c>
      <c r="F8" s="7"/>
      <c r="G8" s="7"/>
      <c r="H8" s="7"/>
      <c r="I8" s="8"/>
      <c r="J8" s="8"/>
      <c r="K8" s="8"/>
      <c r="L8" s="8"/>
      <c r="M8" s="20" t="s">
        <v>101</v>
      </c>
      <c r="N8" s="20" t="s">
        <v>107</v>
      </c>
      <c r="O8" s="20" t="s">
        <v>111</v>
      </c>
      <c r="P8" s="20" t="s">
        <v>91</v>
      </c>
      <c r="Q8" s="9" t="s">
        <v>134</v>
      </c>
      <c r="R8" s="9" t="s">
        <v>124</v>
      </c>
      <c r="S8" s="9" t="s">
        <v>137</v>
      </c>
      <c r="T8" s="9" t="s">
        <v>136</v>
      </c>
      <c r="U8" s="9"/>
      <c r="V8" s="13" t="s">
        <v>108</v>
      </c>
    </row>
    <row r="9" spans="1:22" x14ac:dyDescent="0.25">
      <c r="A9" s="27"/>
      <c r="B9" s="12" t="s">
        <v>40</v>
      </c>
      <c r="C9" s="10"/>
      <c r="D9" s="10"/>
      <c r="E9" s="7"/>
      <c r="F9" s="7"/>
      <c r="G9" s="7"/>
      <c r="H9" s="7"/>
      <c r="I9" s="8"/>
      <c r="J9" s="8"/>
      <c r="K9" s="8"/>
      <c r="L9" s="8"/>
      <c r="M9" s="20"/>
      <c r="N9" s="20"/>
      <c r="O9" s="20"/>
      <c r="P9" s="20"/>
      <c r="Q9" s="9"/>
      <c r="R9" s="9"/>
      <c r="S9" s="9"/>
      <c r="T9" s="9"/>
      <c r="U9" s="9"/>
      <c r="V9" s="13"/>
    </row>
    <row r="10" spans="1:22" x14ac:dyDescent="0.25">
      <c r="B10" s="2" t="s">
        <v>89</v>
      </c>
      <c r="C10" s="2">
        <f>SUM(C5:C9)</f>
        <v>5</v>
      </c>
      <c r="D10" s="2">
        <f>SUM(D5:D9)</f>
        <v>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2" spans="1:22" x14ac:dyDescent="0.25">
      <c r="B12" s="11">
        <v>45068</v>
      </c>
      <c r="C12" s="10" t="s">
        <v>74</v>
      </c>
      <c r="D12" s="10" t="s">
        <v>209</v>
      </c>
      <c r="E12" s="78" t="s">
        <v>82</v>
      </c>
      <c r="F12" s="78"/>
      <c r="G12" s="78"/>
      <c r="H12" s="78"/>
      <c r="I12" s="79" t="s">
        <v>85</v>
      </c>
      <c r="J12" s="79"/>
      <c r="K12" s="79"/>
      <c r="L12" s="79"/>
      <c r="M12" s="80" t="s">
        <v>84</v>
      </c>
      <c r="N12" s="80"/>
      <c r="O12" s="80"/>
      <c r="P12" s="80"/>
      <c r="Q12" s="81" t="s">
        <v>78</v>
      </c>
      <c r="R12" s="81"/>
      <c r="S12" s="81"/>
      <c r="T12" s="81"/>
      <c r="U12" s="81"/>
      <c r="V12" s="81"/>
    </row>
    <row r="13" spans="1:22" x14ac:dyDescent="0.25">
      <c r="B13" s="12" t="s">
        <v>65</v>
      </c>
      <c r="C13" s="10">
        <v>1</v>
      </c>
      <c r="D13" s="10">
        <v>0</v>
      </c>
      <c r="E13" s="7" t="s">
        <v>109</v>
      </c>
      <c r="F13" s="7"/>
      <c r="G13" s="7"/>
      <c r="H13" s="7"/>
      <c r="I13" s="8"/>
      <c r="J13" s="8"/>
      <c r="K13" s="8"/>
      <c r="L13" s="8"/>
      <c r="M13" s="20" t="s">
        <v>39</v>
      </c>
      <c r="N13" s="20" t="s">
        <v>225</v>
      </c>
      <c r="O13" s="20" t="s">
        <v>7</v>
      </c>
      <c r="P13" s="20"/>
      <c r="Q13" s="9" t="s">
        <v>118</v>
      </c>
      <c r="R13" s="9" t="s">
        <v>124</v>
      </c>
      <c r="S13" s="9" t="s">
        <v>216</v>
      </c>
      <c r="T13" s="9" t="s">
        <v>215</v>
      </c>
      <c r="U13" s="9"/>
      <c r="V13" s="13" t="s">
        <v>162</v>
      </c>
    </row>
    <row r="14" spans="1:22" x14ac:dyDescent="0.25">
      <c r="B14" s="12" t="s">
        <v>71</v>
      </c>
      <c r="C14" s="10">
        <v>3</v>
      </c>
      <c r="D14" s="10">
        <v>0</v>
      </c>
      <c r="E14" s="7" t="s">
        <v>97</v>
      </c>
      <c r="F14" s="7" t="s">
        <v>97</v>
      </c>
      <c r="G14" s="7" t="s">
        <v>109</v>
      </c>
      <c r="H14" s="7"/>
      <c r="I14" s="8" t="s">
        <v>101</v>
      </c>
      <c r="J14" s="8"/>
      <c r="K14" s="8"/>
      <c r="L14" s="8"/>
      <c r="M14" s="20" t="s">
        <v>103</v>
      </c>
      <c r="N14" s="20" t="s">
        <v>97</v>
      </c>
      <c r="O14" s="20" t="s">
        <v>101</v>
      </c>
      <c r="P14" s="20"/>
      <c r="Q14" s="9" t="s">
        <v>217</v>
      </c>
      <c r="R14" s="9" t="s">
        <v>216</v>
      </c>
      <c r="S14" s="9" t="s">
        <v>212</v>
      </c>
      <c r="T14" s="9" t="s">
        <v>215</v>
      </c>
      <c r="U14" s="9"/>
      <c r="V14" s="13" t="s">
        <v>162</v>
      </c>
    </row>
    <row r="15" spans="1:22" x14ac:dyDescent="0.25">
      <c r="B15" s="12" t="s">
        <v>73</v>
      </c>
      <c r="C15" s="10">
        <v>2</v>
      </c>
      <c r="D15" s="10">
        <v>0</v>
      </c>
      <c r="E15" s="7" t="s">
        <v>90</v>
      </c>
      <c r="F15" s="7" t="s">
        <v>90</v>
      </c>
      <c r="G15" s="7"/>
      <c r="H15" s="7"/>
      <c r="I15" s="8"/>
      <c r="J15" s="8"/>
      <c r="K15" s="8"/>
      <c r="L15" s="8"/>
      <c r="M15" s="20" t="s">
        <v>53</v>
      </c>
      <c r="N15" s="20" t="s">
        <v>7</v>
      </c>
      <c r="O15" s="20" t="s">
        <v>46</v>
      </c>
      <c r="P15" s="20"/>
      <c r="Q15" s="9" t="s">
        <v>118</v>
      </c>
      <c r="R15" s="9" t="s">
        <v>124</v>
      </c>
      <c r="S15" s="9" t="s">
        <v>212</v>
      </c>
      <c r="T15" s="9" t="s">
        <v>215</v>
      </c>
      <c r="U15" s="9"/>
      <c r="V15" s="13" t="s">
        <v>162</v>
      </c>
    </row>
    <row r="16" spans="1:22" x14ac:dyDescent="0.25">
      <c r="B16" s="12" t="s">
        <v>41</v>
      </c>
      <c r="C16" s="10">
        <v>1</v>
      </c>
      <c r="D16" s="10">
        <v>0</v>
      </c>
      <c r="E16" s="7" t="s">
        <v>121</v>
      </c>
      <c r="F16" s="7"/>
      <c r="G16" s="7"/>
      <c r="H16" s="7"/>
      <c r="I16" s="8" t="s">
        <v>97</v>
      </c>
      <c r="J16" s="8"/>
      <c r="K16" s="8"/>
      <c r="L16" s="8"/>
      <c r="M16" s="20"/>
      <c r="N16" s="20"/>
      <c r="O16" s="20"/>
      <c r="P16" s="20"/>
      <c r="Q16" s="9"/>
      <c r="R16" s="9"/>
      <c r="S16" s="9"/>
      <c r="T16" s="9"/>
      <c r="U16" s="9"/>
      <c r="V16" s="13"/>
    </row>
    <row r="17" spans="2:22" x14ac:dyDescent="0.25">
      <c r="B17" s="12" t="s">
        <v>40</v>
      </c>
      <c r="C17" s="10"/>
      <c r="D17" s="10"/>
      <c r="E17" s="7"/>
      <c r="F17" s="7"/>
      <c r="G17" s="7"/>
      <c r="H17" s="7"/>
      <c r="I17" s="8"/>
      <c r="J17" s="8"/>
      <c r="K17" s="8"/>
      <c r="L17" s="8"/>
      <c r="M17" s="20"/>
      <c r="N17" s="20"/>
      <c r="O17" s="20"/>
      <c r="P17" s="20"/>
      <c r="Q17" s="9"/>
      <c r="R17" s="9"/>
      <c r="S17" s="9"/>
      <c r="T17" s="9"/>
      <c r="U17" s="9"/>
      <c r="V17" s="13"/>
    </row>
    <row r="18" spans="2:22" x14ac:dyDescent="0.25">
      <c r="B18" s="2" t="s">
        <v>89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20" spans="2:22" x14ac:dyDescent="0.25">
      <c r="B20" s="11">
        <v>45074</v>
      </c>
      <c r="C20" s="10" t="s">
        <v>74</v>
      </c>
      <c r="D20" s="10" t="s">
        <v>218</v>
      </c>
      <c r="E20" s="78" t="s">
        <v>82</v>
      </c>
      <c r="F20" s="78"/>
      <c r="G20" s="78"/>
      <c r="H20" s="78"/>
      <c r="I20" s="79" t="s">
        <v>85</v>
      </c>
      <c r="J20" s="79"/>
      <c r="K20" s="79"/>
      <c r="L20" s="79"/>
      <c r="M20" s="80" t="s">
        <v>84</v>
      </c>
      <c r="N20" s="80"/>
      <c r="O20" s="80"/>
      <c r="P20" s="80"/>
      <c r="Q20" s="81" t="s">
        <v>78</v>
      </c>
      <c r="R20" s="81"/>
      <c r="S20" s="81"/>
      <c r="T20" s="81"/>
      <c r="U20" s="81"/>
      <c r="V20" s="81"/>
    </row>
    <row r="21" spans="2:22" x14ac:dyDescent="0.25">
      <c r="B21" s="12" t="s">
        <v>65</v>
      </c>
      <c r="C21" s="10">
        <v>1</v>
      </c>
      <c r="D21" s="10">
        <v>0</v>
      </c>
      <c r="E21" s="7" t="s">
        <v>109</v>
      </c>
      <c r="F21" s="7"/>
      <c r="G21" s="7"/>
      <c r="H21" s="7"/>
      <c r="I21" s="8" t="s">
        <v>100</v>
      </c>
      <c r="J21" s="8"/>
      <c r="K21" s="8"/>
      <c r="L21" s="8"/>
      <c r="M21" s="20" t="s">
        <v>126</v>
      </c>
      <c r="N21" s="20" t="s">
        <v>107</v>
      </c>
      <c r="O21" s="20" t="s">
        <v>97</v>
      </c>
      <c r="P21" s="20"/>
      <c r="Q21" s="9" t="s">
        <v>134</v>
      </c>
      <c r="R21" s="9" t="s">
        <v>102</v>
      </c>
      <c r="S21" s="9" t="s">
        <v>223</v>
      </c>
      <c r="T21" s="9" t="s">
        <v>215</v>
      </c>
      <c r="U21" s="9"/>
      <c r="V21" s="13" t="s">
        <v>108</v>
      </c>
    </row>
    <row r="22" spans="2:22" x14ac:dyDescent="0.25">
      <c r="B22" s="12" t="s">
        <v>71</v>
      </c>
      <c r="C22" s="10">
        <v>3</v>
      </c>
      <c r="D22" s="10">
        <v>0</v>
      </c>
      <c r="E22" s="7" t="s">
        <v>100</v>
      </c>
      <c r="F22" s="7" t="s">
        <v>109</v>
      </c>
      <c r="G22" s="7" t="s">
        <v>110</v>
      </c>
      <c r="H22" s="7"/>
      <c r="I22" s="8" t="s">
        <v>109</v>
      </c>
      <c r="J22" s="8" t="s">
        <v>214</v>
      </c>
      <c r="K22" s="8" t="s">
        <v>97</v>
      </c>
      <c r="L22" s="8"/>
      <c r="M22" s="20" t="s">
        <v>214</v>
      </c>
      <c r="N22" s="20" t="s">
        <v>103</v>
      </c>
      <c r="O22" s="20" t="s">
        <v>97</v>
      </c>
      <c r="P22" s="20"/>
      <c r="Q22" s="9" t="s">
        <v>179</v>
      </c>
      <c r="R22" s="9" t="s">
        <v>102</v>
      </c>
      <c r="S22" s="9" t="s">
        <v>223</v>
      </c>
      <c r="T22" s="9" t="s">
        <v>215</v>
      </c>
      <c r="U22" s="9"/>
      <c r="V22" s="13" t="s">
        <v>108</v>
      </c>
    </row>
    <row r="23" spans="2:22" x14ac:dyDescent="0.25">
      <c r="B23" s="12" t="s">
        <v>73</v>
      </c>
      <c r="C23" s="10">
        <v>4</v>
      </c>
      <c r="D23" s="10">
        <v>1</v>
      </c>
      <c r="E23" s="7" t="s">
        <v>214</v>
      </c>
      <c r="F23" s="7" t="s">
        <v>179</v>
      </c>
      <c r="G23" s="7" t="s">
        <v>214</v>
      </c>
      <c r="H23" s="7" t="s">
        <v>126</v>
      </c>
      <c r="I23" s="8" t="s">
        <v>179</v>
      </c>
      <c r="J23" s="8" t="s">
        <v>215</v>
      </c>
      <c r="K23" s="8" t="s">
        <v>179</v>
      </c>
      <c r="L23" s="8" t="s">
        <v>215</v>
      </c>
      <c r="M23" s="20"/>
      <c r="N23" s="20"/>
      <c r="O23" s="20"/>
      <c r="P23" s="20"/>
      <c r="Q23" s="9"/>
      <c r="R23" s="9"/>
      <c r="S23" s="9"/>
      <c r="T23" s="9"/>
      <c r="U23" s="9"/>
      <c r="V23" s="13"/>
    </row>
    <row r="24" spans="2:22" x14ac:dyDescent="0.25">
      <c r="B24" s="12" t="s">
        <v>41</v>
      </c>
      <c r="C24" s="10">
        <v>2</v>
      </c>
      <c r="D24" s="10">
        <v>1</v>
      </c>
      <c r="E24" s="7" t="s">
        <v>179</v>
      </c>
      <c r="F24" s="7" t="s">
        <v>179</v>
      </c>
      <c r="G24" s="7"/>
      <c r="H24" s="7"/>
      <c r="I24" s="8" t="s">
        <v>214</v>
      </c>
      <c r="J24" s="8" t="s">
        <v>103</v>
      </c>
      <c r="K24" s="8"/>
      <c r="L24" s="8"/>
      <c r="M24" s="20"/>
      <c r="N24" s="20"/>
      <c r="O24" s="20"/>
      <c r="P24" s="20"/>
      <c r="Q24" s="9"/>
      <c r="R24" s="9"/>
      <c r="S24" s="9"/>
      <c r="T24" s="9"/>
      <c r="U24" s="9"/>
      <c r="V24" s="13"/>
    </row>
    <row r="25" spans="2:22" x14ac:dyDescent="0.25">
      <c r="B25" s="12" t="s">
        <v>40</v>
      </c>
      <c r="C25" s="10"/>
      <c r="D25" s="10"/>
      <c r="E25" s="7"/>
      <c r="F25" s="7"/>
      <c r="G25" s="7"/>
      <c r="H25" s="7"/>
      <c r="I25" s="8"/>
      <c r="J25" s="8"/>
      <c r="K25" s="8"/>
      <c r="L25" s="8"/>
      <c r="M25" s="20"/>
      <c r="N25" s="20"/>
      <c r="O25" s="20"/>
      <c r="P25" s="20"/>
      <c r="Q25" s="9"/>
      <c r="R25" s="9"/>
      <c r="S25" s="9"/>
      <c r="T25" s="9"/>
      <c r="U25" s="9"/>
      <c r="V25" s="13"/>
    </row>
    <row r="26" spans="2:22" x14ac:dyDescent="0.25">
      <c r="B26" s="2" t="s">
        <v>89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</sheetData>
  <mergeCells count="12">
    <mergeCell ref="E20:H20"/>
    <mergeCell ref="I20:L20"/>
    <mergeCell ref="M20:P20"/>
    <mergeCell ref="Q20:V20"/>
    <mergeCell ref="E4:H4"/>
    <mergeCell ref="I4:L4"/>
    <mergeCell ref="M4:P4"/>
    <mergeCell ref="Q4:V4"/>
    <mergeCell ref="E12:H12"/>
    <mergeCell ref="I12:L12"/>
    <mergeCell ref="M12:P12"/>
    <mergeCell ref="Q12:V12"/>
  </mergeCells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5</vt:i4>
      </vt:variant>
    </vt:vector>
  </HeadingPairs>
  <TitlesOfParts>
    <vt:vector size="13" baseType="lpstr">
      <vt:lpstr>종합Sheet</vt:lpstr>
      <vt:lpstr>경기기록Sheet</vt:lpstr>
      <vt:lpstr>개인기록Sheet</vt:lpstr>
      <vt:lpstr>시상대상(23)</vt:lpstr>
      <vt:lpstr>시상대상(24)</vt:lpstr>
      <vt:lpstr>시상대상(25)</vt:lpstr>
      <vt:lpstr>종합Sheet (외부)</vt:lpstr>
      <vt:lpstr>경기기록Sheet (외부)</vt:lpstr>
      <vt:lpstr>개인기록Sheet!Print_Area</vt:lpstr>
      <vt:lpstr>종합Sheet!Print_Area</vt:lpstr>
      <vt:lpstr>'종합Sheet (외부)'!Print_Area</vt:lpstr>
      <vt:lpstr>종합Sheet!Print_Titles</vt:lpstr>
      <vt:lpstr>'종합Sheet (외부)'!Print_Titles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김인혁</dc:creator>
  <cp:lastModifiedBy>Euihyun Han</cp:lastModifiedBy>
  <cp:revision>152</cp:revision>
  <cp:lastPrinted>2022-05-11T15:40:21Z</cp:lastPrinted>
  <dcterms:created xsi:type="dcterms:W3CDTF">2018-03-08T15:43:48Z</dcterms:created>
  <dcterms:modified xsi:type="dcterms:W3CDTF">2026-03-18T14:34:04Z</dcterms:modified>
</cp:coreProperties>
</file>