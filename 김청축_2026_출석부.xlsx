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/김인혁_청년축구단/1. 출석부/"/>
    </mc:Choice>
  </mc:AlternateContent>
  <xr:revisionPtr revIDLastSave="96" documentId="13_ncr:1_{DC8612FD-A52F-4EAD-BD68-700165C8B081}" xr6:coauthVersionLast="47" xr6:coauthVersionMax="47" xr10:uidLastSave="{230EABB8-D342-42F1-B5FC-1416A7390ACB}"/>
  <bookViews>
    <workbookView xWindow="-108" yWindow="-108" windowWidth="23256" windowHeight="12456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종합Sheet!$A$3:$CT$123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종합Sheet!$A$1:$L$123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8" i="2" l="1"/>
  <c r="C168" i="2"/>
  <c r="D156" i="2"/>
  <c r="C156" i="2"/>
  <c r="A5" i="3"/>
  <c r="B5" i="3"/>
  <c r="D5" i="3" s="1"/>
  <c r="A6" i="3"/>
  <c r="B6" i="3"/>
  <c r="D6" i="3" s="1"/>
  <c r="A7" i="3"/>
  <c r="B7" i="3"/>
  <c r="H7" i="3" s="1"/>
  <c r="A8" i="3"/>
  <c r="B8" i="3"/>
  <c r="D8" i="3" s="1"/>
  <c r="A9" i="3"/>
  <c r="B9" i="3"/>
  <c r="D9" i="3" s="1"/>
  <c r="A10" i="3"/>
  <c r="B10" i="3"/>
  <c r="A11" i="3"/>
  <c r="B11" i="3"/>
  <c r="H11" i="3" s="1"/>
  <c r="A12" i="3"/>
  <c r="B12" i="3"/>
  <c r="G12" i="3" s="1"/>
  <c r="A13" i="3"/>
  <c r="B13" i="3"/>
  <c r="D13" i="3" s="1"/>
  <c r="A14" i="3"/>
  <c r="B14" i="3"/>
  <c r="D14" i="3" s="1"/>
  <c r="A15" i="3"/>
  <c r="B15" i="3"/>
  <c r="H15" i="3" s="1"/>
  <c r="A16" i="3"/>
  <c r="B16" i="3"/>
  <c r="D16" i="3" s="1"/>
  <c r="A17" i="3"/>
  <c r="B17" i="3"/>
  <c r="D17" i="3" s="1"/>
  <c r="A18" i="3"/>
  <c r="B18" i="3"/>
  <c r="E18" i="3" s="1"/>
  <c r="A19" i="3"/>
  <c r="B19" i="3"/>
  <c r="A20" i="3"/>
  <c r="B20" i="3"/>
  <c r="D20" i="3" s="1"/>
  <c r="A21" i="3"/>
  <c r="B21" i="3"/>
  <c r="G21" i="3" s="1"/>
  <c r="A22" i="3"/>
  <c r="B22" i="3"/>
  <c r="D22" i="3" s="1"/>
  <c r="A23" i="3"/>
  <c r="B23" i="3"/>
  <c r="F23" i="3" s="1"/>
  <c r="A24" i="3"/>
  <c r="B24" i="3"/>
  <c r="G24" i="3" s="1"/>
  <c r="A25" i="3"/>
  <c r="B25" i="3"/>
  <c r="H25" i="3" s="1"/>
  <c r="A26" i="3"/>
  <c r="B26" i="3"/>
  <c r="E26" i="3" s="1"/>
  <c r="A27" i="3"/>
  <c r="B27" i="3"/>
  <c r="F27" i="3" s="1"/>
  <c r="A28" i="3"/>
  <c r="B28" i="3"/>
  <c r="G28" i="3" s="1"/>
  <c r="A29" i="3"/>
  <c r="B29" i="3"/>
  <c r="G29" i="3" s="1"/>
  <c r="A30" i="3"/>
  <c r="B30" i="3"/>
  <c r="E30" i="3" s="1"/>
  <c r="A31" i="3"/>
  <c r="B31" i="3"/>
  <c r="D31" i="3" s="1"/>
  <c r="A32" i="3"/>
  <c r="B32" i="3"/>
  <c r="D32" i="3" s="1"/>
  <c r="A33" i="3"/>
  <c r="B33" i="3"/>
  <c r="G33" i="3" s="1"/>
  <c r="A34" i="3"/>
  <c r="B34" i="3"/>
  <c r="D34" i="3" s="1"/>
  <c r="A35" i="3"/>
  <c r="B35" i="3"/>
  <c r="H35" i="3" s="1"/>
  <c r="A36" i="3"/>
  <c r="B36" i="3"/>
  <c r="E36" i="3" s="1"/>
  <c r="A37" i="3"/>
  <c r="B37" i="3"/>
  <c r="A38" i="3"/>
  <c r="B38" i="3"/>
  <c r="D38" i="3" s="1"/>
  <c r="A39" i="3"/>
  <c r="B39" i="3"/>
  <c r="A40" i="3"/>
  <c r="B40" i="3"/>
  <c r="D40" i="3" s="1"/>
  <c r="A41" i="3"/>
  <c r="B41" i="3"/>
  <c r="H41" i="3" s="1"/>
  <c r="A42" i="3"/>
  <c r="B42" i="3"/>
  <c r="A43" i="3"/>
  <c r="B43" i="3"/>
  <c r="E43" i="3" s="1"/>
  <c r="A44" i="3"/>
  <c r="B44" i="3"/>
  <c r="G44" i="3" s="1"/>
  <c r="A45" i="3"/>
  <c r="B45" i="3"/>
  <c r="G45" i="3" s="1"/>
  <c r="A46" i="3"/>
  <c r="B46" i="3"/>
  <c r="F46" i="3" s="1"/>
  <c r="A47" i="3"/>
  <c r="B47" i="3"/>
  <c r="E47" i="3" s="1"/>
  <c r="A48" i="3"/>
  <c r="B48" i="3"/>
  <c r="D48" i="3" s="1"/>
  <c r="A49" i="3"/>
  <c r="B49" i="3"/>
  <c r="H49" i="3" s="1"/>
  <c r="A50" i="3"/>
  <c r="B50" i="3"/>
  <c r="E50" i="3" s="1"/>
  <c r="A51" i="3"/>
  <c r="B51" i="3"/>
  <c r="H51" i="3" s="1"/>
  <c r="A52" i="3"/>
  <c r="B52" i="3"/>
  <c r="E52" i="3" s="1"/>
  <c r="A53" i="3"/>
  <c r="B53" i="3"/>
  <c r="H53" i="3" s="1"/>
  <c r="A54" i="3"/>
  <c r="B54" i="3"/>
  <c r="G54" i="3" s="1"/>
  <c r="A55" i="3"/>
  <c r="B55" i="3"/>
  <c r="E55" i="3" s="1"/>
  <c r="A56" i="3"/>
  <c r="B56" i="3"/>
  <c r="D56" i="3" s="1"/>
  <c r="A57" i="3"/>
  <c r="B57" i="3"/>
  <c r="E57" i="3" s="1"/>
  <c r="A58" i="3"/>
  <c r="B58" i="3"/>
  <c r="G58" i="3" s="1"/>
  <c r="A59" i="3"/>
  <c r="B59" i="3"/>
  <c r="E59" i="3" s="1"/>
  <c r="A60" i="3"/>
  <c r="B60" i="3"/>
  <c r="D60" i="3" s="1"/>
  <c r="A61" i="3"/>
  <c r="B61" i="3"/>
  <c r="E61" i="3" s="1"/>
  <c r="A62" i="3"/>
  <c r="B62" i="3"/>
  <c r="G62" i="3" s="1"/>
  <c r="A63" i="3"/>
  <c r="B63" i="3"/>
  <c r="A64" i="3"/>
  <c r="B64" i="3"/>
  <c r="G64" i="3" s="1"/>
  <c r="A65" i="3"/>
  <c r="B65" i="3"/>
  <c r="E65" i="3" s="1"/>
  <c r="A66" i="3"/>
  <c r="B66" i="3"/>
  <c r="A67" i="3"/>
  <c r="B67" i="3"/>
  <c r="H67" i="3" s="1"/>
  <c r="A68" i="3"/>
  <c r="B68" i="3"/>
  <c r="H68" i="3" s="1"/>
  <c r="A69" i="3"/>
  <c r="B69" i="3"/>
  <c r="A70" i="3"/>
  <c r="B70" i="3"/>
  <c r="G70" i="3" s="1"/>
  <c r="A71" i="3"/>
  <c r="B71" i="3"/>
  <c r="D71" i="3" s="1"/>
  <c r="A72" i="3"/>
  <c r="B72" i="3"/>
  <c r="D72" i="3" s="1"/>
  <c r="A73" i="3"/>
  <c r="B73" i="3"/>
  <c r="E73" i="3" s="1"/>
  <c r="A74" i="3"/>
  <c r="B74" i="3"/>
  <c r="G74" i="3" s="1"/>
  <c r="A75" i="3"/>
  <c r="B75" i="3"/>
  <c r="F75" i="3" s="1"/>
  <c r="A76" i="3"/>
  <c r="B76" i="3"/>
  <c r="E76" i="3" s="1"/>
  <c r="A77" i="3"/>
  <c r="B77" i="3"/>
  <c r="E77" i="3" s="1"/>
  <c r="A78" i="3"/>
  <c r="B78" i="3"/>
  <c r="G78" i="3" s="1"/>
  <c r="A79" i="3"/>
  <c r="B79" i="3"/>
  <c r="H79" i="3" s="1"/>
  <c r="A80" i="3"/>
  <c r="B80" i="3"/>
  <c r="F80" i="3" s="1"/>
  <c r="A81" i="3"/>
  <c r="B81" i="3"/>
  <c r="E81" i="3" s="1"/>
  <c r="A82" i="3"/>
  <c r="B82" i="3"/>
  <c r="G82" i="3" s="1"/>
  <c r="A83" i="3"/>
  <c r="B83" i="3"/>
  <c r="A84" i="3"/>
  <c r="B84" i="3"/>
  <c r="H84" i="3" s="1"/>
  <c r="A85" i="3"/>
  <c r="B85" i="3"/>
  <c r="H85" i="3" s="1"/>
  <c r="A86" i="3"/>
  <c r="B86" i="3"/>
  <c r="A87" i="3"/>
  <c r="B87" i="3"/>
  <c r="D87" i="3" s="1"/>
  <c r="A88" i="3"/>
  <c r="B88" i="3"/>
  <c r="D88" i="3" s="1"/>
  <c r="A89" i="3"/>
  <c r="B89" i="3"/>
  <c r="A90" i="3"/>
  <c r="B90" i="3"/>
  <c r="G90" i="3" s="1"/>
  <c r="A91" i="3"/>
  <c r="B91" i="3"/>
  <c r="E91" i="3" s="1"/>
  <c r="A92" i="3"/>
  <c r="B92" i="3"/>
  <c r="F92" i="3" s="1"/>
  <c r="A93" i="3"/>
  <c r="B93" i="3"/>
  <c r="G93" i="3" s="1"/>
  <c r="A94" i="3"/>
  <c r="B94" i="3"/>
  <c r="G94" i="3" s="1"/>
  <c r="A95" i="3"/>
  <c r="B95" i="3"/>
  <c r="G95" i="3" s="1"/>
  <c r="A96" i="3"/>
  <c r="B96" i="3"/>
  <c r="E96" i="3" s="1"/>
  <c r="A97" i="3"/>
  <c r="B97" i="3"/>
  <c r="G97" i="3" s="1"/>
  <c r="A98" i="3"/>
  <c r="B98" i="3"/>
  <c r="G98" i="3" s="1"/>
  <c r="A99" i="3"/>
  <c r="B99" i="3"/>
  <c r="D99" i="3" s="1"/>
  <c r="A100" i="3"/>
  <c r="B100" i="3"/>
  <c r="A101" i="3"/>
  <c r="B101" i="3"/>
  <c r="E101" i="3" s="1"/>
  <c r="A102" i="3"/>
  <c r="B102" i="3"/>
  <c r="G102" i="3" s="1"/>
  <c r="A103" i="3"/>
  <c r="B103" i="3"/>
  <c r="E103" i="3" s="1"/>
  <c r="A104" i="3"/>
  <c r="B104" i="3"/>
  <c r="G104" i="3" s="1"/>
  <c r="A105" i="3"/>
  <c r="B105" i="3"/>
  <c r="G105" i="3" s="1"/>
  <c r="A106" i="3"/>
  <c r="B106" i="3"/>
  <c r="G106" i="3" s="1"/>
  <c r="A107" i="3"/>
  <c r="B107" i="3"/>
  <c r="F107" i="3" s="1"/>
  <c r="A108" i="3"/>
  <c r="B108" i="3"/>
  <c r="E108" i="3" s="1"/>
  <c r="A109" i="3"/>
  <c r="B109" i="3"/>
  <c r="E109" i="3" s="1"/>
  <c r="A110" i="3"/>
  <c r="B110" i="3"/>
  <c r="G110" i="3" s="1"/>
  <c r="A111" i="3"/>
  <c r="B111" i="3"/>
  <c r="A112" i="3"/>
  <c r="B112" i="3"/>
  <c r="G112" i="3" s="1"/>
  <c r="A113" i="3"/>
  <c r="B113" i="3"/>
  <c r="E113" i="3" s="1"/>
  <c r="A114" i="3"/>
  <c r="B114" i="3"/>
  <c r="A115" i="3"/>
  <c r="B115" i="3"/>
  <c r="H115" i="3" s="1"/>
  <c r="A116" i="3"/>
  <c r="B116" i="3"/>
  <c r="G116" i="3" s="1"/>
  <c r="A117" i="3"/>
  <c r="B117" i="3"/>
  <c r="A118" i="3"/>
  <c r="B118" i="3"/>
  <c r="G118" i="3" s="1"/>
  <c r="D118" i="3"/>
  <c r="A119" i="3"/>
  <c r="B119" i="3"/>
  <c r="H119" i="3" s="1"/>
  <c r="A120" i="3"/>
  <c r="B120" i="3"/>
  <c r="A121" i="3"/>
  <c r="B121" i="3"/>
  <c r="D121" i="3" s="1"/>
  <c r="A122" i="3"/>
  <c r="B122" i="3"/>
  <c r="G122" i="3" s="1"/>
  <c r="A123" i="3"/>
  <c r="B123" i="3"/>
  <c r="E123" i="3" s="1"/>
  <c r="D144" i="2"/>
  <c r="C144" i="2"/>
  <c r="D132" i="2"/>
  <c r="C132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D90" i="1"/>
  <c r="D93" i="1"/>
  <c r="D7" i="1"/>
  <c r="G113" i="3" l="1"/>
  <c r="F8" i="3"/>
  <c r="H57" i="3"/>
  <c r="D52" i="3"/>
  <c r="D98" i="3"/>
  <c r="D103" i="3"/>
  <c r="D30" i="3"/>
  <c r="H13" i="3"/>
  <c r="G13" i="3"/>
  <c r="D108" i="3"/>
  <c r="G16" i="3"/>
  <c r="G123" i="3"/>
  <c r="F60" i="3"/>
  <c r="D55" i="3"/>
  <c r="E70" i="3"/>
  <c r="D106" i="3"/>
  <c r="H101" i="3"/>
  <c r="F16" i="3"/>
  <c r="D79" i="3"/>
  <c r="D27" i="3"/>
  <c r="H16" i="3"/>
  <c r="D123" i="3"/>
  <c r="E85" i="3"/>
  <c r="D64" i="3"/>
  <c r="G79" i="3"/>
  <c r="F79" i="3"/>
  <c r="E79" i="3"/>
  <c r="D18" i="3"/>
  <c r="F14" i="3"/>
  <c r="E16" i="3"/>
  <c r="H48" i="3"/>
  <c r="E115" i="3"/>
  <c r="E46" i="3"/>
  <c r="F108" i="3"/>
  <c r="F87" i="3"/>
  <c r="D46" i="3"/>
  <c r="E97" i="3"/>
  <c r="G51" i="3"/>
  <c r="H43" i="3"/>
  <c r="F38" i="3"/>
  <c r="H33" i="3"/>
  <c r="D80" i="3"/>
  <c r="F51" i="3"/>
  <c r="G43" i="3"/>
  <c r="E38" i="3"/>
  <c r="F28" i="3"/>
  <c r="H23" i="3"/>
  <c r="G23" i="3"/>
  <c r="H70" i="3"/>
  <c r="E51" i="3"/>
  <c r="F70" i="3"/>
  <c r="D51" i="3"/>
  <c r="D23" i="3"/>
  <c r="D107" i="3"/>
  <c r="E87" i="3"/>
  <c r="E82" i="3"/>
  <c r="G49" i="3"/>
  <c r="F30" i="3"/>
  <c r="E121" i="3"/>
  <c r="D91" i="3"/>
  <c r="D26" i="3"/>
  <c r="D82" i="3"/>
  <c r="D36" i="3"/>
  <c r="F90" i="3"/>
  <c r="H90" i="3"/>
  <c r="H118" i="3"/>
  <c r="F118" i="3"/>
  <c r="H108" i="3"/>
  <c r="E90" i="3"/>
  <c r="G35" i="3"/>
  <c r="F7" i="3"/>
  <c r="F121" i="3"/>
  <c r="E93" i="3"/>
  <c r="G85" i="3"/>
  <c r="D78" i="3"/>
  <c r="F64" i="3"/>
  <c r="G41" i="3"/>
  <c r="G25" i="3"/>
  <c r="F18" i="3"/>
  <c r="E7" i="3"/>
  <c r="H54" i="3"/>
  <c r="G48" i="3"/>
  <c r="E28" i="3"/>
  <c r="G101" i="3"/>
  <c r="F116" i="3"/>
  <c r="F104" i="3"/>
  <c r="E92" i="3"/>
  <c r="G67" i="3"/>
  <c r="D58" i="3"/>
  <c r="F54" i="3"/>
  <c r="F48" i="3"/>
  <c r="E44" i="3"/>
  <c r="E31" i="3"/>
  <c r="D28" i="3"/>
  <c r="F24" i="3"/>
  <c r="E116" i="3"/>
  <c r="E112" i="3"/>
  <c r="E104" i="3"/>
  <c r="F96" i="3"/>
  <c r="F67" i="3"/>
  <c r="E24" i="3"/>
  <c r="H21" i="3"/>
  <c r="H9" i="3"/>
  <c r="H123" i="3"/>
  <c r="D116" i="3"/>
  <c r="D112" i="3"/>
  <c r="D104" i="3"/>
  <c r="D96" i="3"/>
  <c r="D76" i="3"/>
  <c r="D67" i="3"/>
  <c r="D24" i="3"/>
  <c r="G9" i="3"/>
  <c r="H73" i="3"/>
  <c r="D70" i="3"/>
  <c r="D44" i="3"/>
  <c r="H40" i="3"/>
  <c r="G5" i="3"/>
  <c r="E102" i="3"/>
  <c r="F95" i="3"/>
  <c r="G73" i="3"/>
  <c r="H87" i="3"/>
  <c r="G84" i="3"/>
  <c r="G52" i="3"/>
  <c r="G40" i="3"/>
  <c r="H28" i="3"/>
  <c r="F12" i="3"/>
  <c r="H8" i="3"/>
  <c r="E105" i="3"/>
  <c r="D102" i="3"/>
  <c r="F98" i="3"/>
  <c r="E95" i="3"/>
  <c r="G87" i="3"/>
  <c r="F84" i="3"/>
  <c r="G77" i="3"/>
  <c r="G60" i="3"/>
  <c r="F52" i="3"/>
  <c r="D50" i="3"/>
  <c r="F40" i="3"/>
  <c r="E12" i="3"/>
  <c r="G8" i="3"/>
  <c r="F6" i="3"/>
  <c r="F123" i="3"/>
  <c r="D115" i="3"/>
  <c r="G108" i="3"/>
  <c r="H105" i="3"/>
  <c r="H97" i="3"/>
  <c r="D95" i="3"/>
  <c r="D92" i="3"/>
  <c r="D90" i="3"/>
  <c r="G80" i="3"/>
  <c r="E75" i="3"/>
  <c r="G57" i="3"/>
  <c r="F35" i="3"/>
  <c r="H32" i="3"/>
  <c r="D12" i="3"/>
  <c r="E80" i="3"/>
  <c r="E78" i="3"/>
  <c r="D75" i="3"/>
  <c r="G53" i="3"/>
  <c r="E35" i="3"/>
  <c r="G32" i="3"/>
  <c r="H99" i="3"/>
  <c r="G68" i="3"/>
  <c r="H62" i="3"/>
  <c r="H59" i="3"/>
  <c r="E53" i="3"/>
  <c r="D35" i="3"/>
  <c r="F32" i="3"/>
  <c r="H29" i="3"/>
  <c r="G17" i="3"/>
  <c r="G119" i="3"/>
  <c r="G99" i="3"/>
  <c r="F119" i="3"/>
  <c r="H110" i="3"/>
  <c r="F99" i="3"/>
  <c r="H94" i="3"/>
  <c r="H91" i="3"/>
  <c r="F68" i="3"/>
  <c r="H65" i="3"/>
  <c r="F62" i="3"/>
  <c r="G59" i="3"/>
  <c r="E99" i="3"/>
  <c r="F94" i="3"/>
  <c r="G91" i="3"/>
  <c r="H82" i="3"/>
  <c r="H74" i="3"/>
  <c r="F26" i="3"/>
  <c r="G11" i="3"/>
  <c r="E122" i="3"/>
  <c r="E119" i="3"/>
  <c r="H116" i="3"/>
  <c r="F110" i="3"/>
  <c r="H104" i="3"/>
  <c r="H96" i="3"/>
  <c r="E68" i="3"/>
  <c r="G65" i="3"/>
  <c r="E62" i="3"/>
  <c r="F59" i="3"/>
  <c r="E11" i="3"/>
  <c r="D122" i="3"/>
  <c r="D119" i="3"/>
  <c r="H113" i="3"/>
  <c r="D110" i="3"/>
  <c r="E107" i="3"/>
  <c r="G96" i="3"/>
  <c r="D94" i="3"/>
  <c r="F91" i="3"/>
  <c r="E88" i="3"/>
  <c r="F82" i="3"/>
  <c r="H77" i="3"/>
  <c r="E74" i="3"/>
  <c r="D68" i="3"/>
  <c r="D62" i="3"/>
  <c r="D59" i="3"/>
  <c r="H52" i="3"/>
  <c r="F44" i="3"/>
  <c r="F34" i="3"/>
  <c r="F31" i="3"/>
  <c r="D11" i="3"/>
  <c r="E84" i="3"/>
  <c r="G81" i="3"/>
  <c r="E54" i="3"/>
  <c r="E48" i="3"/>
  <c r="F43" i="3"/>
  <c r="E40" i="3"/>
  <c r="E32" i="3"/>
  <c r="H20" i="3"/>
  <c r="E8" i="3"/>
  <c r="E118" i="3"/>
  <c r="E110" i="3"/>
  <c r="E98" i="3"/>
  <c r="D84" i="3"/>
  <c r="F74" i="3"/>
  <c r="H71" i="3"/>
  <c r="E67" i="3"/>
  <c r="E64" i="3"/>
  <c r="H56" i="3"/>
  <c r="D54" i="3"/>
  <c r="D43" i="3"/>
  <c r="H36" i="3"/>
  <c r="E27" i="3"/>
  <c r="E23" i="3"/>
  <c r="G20" i="3"/>
  <c r="H17" i="3"/>
  <c r="G15" i="3"/>
  <c r="H5" i="3"/>
  <c r="H107" i="3"/>
  <c r="H76" i="3"/>
  <c r="G36" i="3"/>
  <c r="F20" i="3"/>
  <c r="F15" i="3"/>
  <c r="G107" i="3"/>
  <c r="H102" i="3"/>
  <c r="G88" i="3"/>
  <c r="F56" i="3"/>
  <c r="H44" i="3"/>
  <c r="F36" i="3"/>
  <c r="H24" i="3"/>
  <c r="H88" i="3"/>
  <c r="G71" i="3"/>
  <c r="G56" i="3"/>
  <c r="H122" i="3"/>
  <c r="G115" i="3"/>
  <c r="H93" i="3"/>
  <c r="G76" i="3"/>
  <c r="F71" i="3"/>
  <c r="E20" i="3"/>
  <c r="E15" i="3"/>
  <c r="H12" i="3"/>
  <c r="F122" i="3"/>
  <c r="F115" i="3"/>
  <c r="F112" i="3"/>
  <c r="F102" i="3"/>
  <c r="F88" i="3"/>
  <c r="H80" i="3"/>
  <c r="F76" i="3"/>
  <c r="E71" i="3"/>
  <c r="H60" i="3"/>
  <c r="E56" i="3"/>
  <c r="D47" i="3"/>
  <c r="G31" i="3"/>
  <c r="D15" i="3"/>
  <c r="G7" i="3"/>
  <c r="D117" i="3"/>
  <c r="F117" i="3"/>
  <c r="G117" i="3"/>
  <c r="E117" i="3"/>
  <c r="H117" i="3"/>
  <c r="D100" i="3"/>
  <c r="F100" i="3"/>
  <c r="E100" i="3"/>
  <c r="H100" i="3"/>
  <c r="G100" i="3"/>
  <c r="D89" i="3"/>
  <c r="F89" i="3"/>
  <c r="E89" i="3"/>
  <c r="G89" i="3"/>
  <c r="H89" i="3"/>
  <c r="G114" i="3"/>
  <c r="E114" i="3"/>
  <c r="D114" i="3"/>
  <c r="H114" i="3"/>
  <c r="F114" i="3"/>
  <c r="E111" i="3"/>
  <c r="D111" i="3"/>
  <c r="H111" i="3"/>
  <c r="G111" i="3"/>
  <c r="F111" i="3"/>
  <c r="E72" i="3"/>
  <c r="F72" i="3"/>
  <c r="G72" i="3"/>
  <c r="H72" i="3"/>
  <c r="G42" i="3"/>
  <c r="H42" i="3"/>
  <c r="D42" i="3"/>
  <c r="E42" i="3"/>
  <c r="F42" i="3"/>
  <c r="D39" i="3"/>
  <c r="E39" i="3"/>
  <c r="H39" i="3"/>
  <c r="F39" i="3"/>
  <c r="G39" i="3"/>
  <c r="G86" i="3"/>
  <c r="D86" i="3"/>
  <c r="E86" i="3"/>
  <c r="F86" i="3"/>
  <c r="H86" i="3"/>
  <c r="D69" i="3"/>
  <c r="F69" i="3"/>
  <c r="E69" i="3"/>
  <c r="G69" i="3"/>
  <c r="H69" i="3"/>
  <c r="D83" i="3"/>
  <c r="E83" i="3"/>
  <c r="F83" i="3"/>
  <c r="H83" i="3"/>
  <c r="G83" i="3"/>
  <c r="E120" i="3"/>
  <c r="D120" i="3"/>
  <c r="H120" i="3"/>
  <c r="F120" i="3"/>
  <c r="G120" i="3"/>
  <c r="E10" i="3"/>
  <c r="G10" i="3"/>
  <c r="H10" i="3"/>
  <c r="D10" i="3"/>
  <c r="F10" i="3"/>
  <c r="G66" i="3"/>
  <c r="D66" i="3"/>
  <c r="E66" i="3"/>
  <c r="H66" i="3"/>
  <c r="F66" i="3"/>
  <c r="D63" i="3"/>
  <c r="E63" i="3"/>
  <c r="G63" i="3"/>
  <c r="F63" i="3"/>
  <c r="H63" i="3"/>
  <c r="D37" i="3"/>
  <c r="E37" i="3"/>
  <c r="F37" i="3"/>
  <c r="G37" i="3"/>
  <c r="H37" i="3"/>
  <c r="D19" i="3"/>
  <c r="E19" i="3"/>
  <c r="F19" i="3"/>
  <c r="G19" i="3"/>
  <c r="H19" i="3"/>
  <c r="D81" i="3"/>
  <c r="F81" i="3"/>
  <c r="D53" i="3"/>
  <c r="F53" i="3"/>
  <c r="H31" i="3"/>
  <c r="G30" i="3"/>
  <c r="H30" i="3"/>
  <c r="F11" i="3"/>
  <c r="E6" i="3"/>
  <c r="G6" i="3"/>
  <c r="H6" i="3"/>
  <c r="D61" i="3"/>
  <c r="F61" i="3"/>
  <c r="D101" i="3"/>
  <c r="F101" i="3"/>
  <c r="D33" i="3"/>
  <c r="E33" i="3"/>
  <c r="F33" i="3"/>
  <c r="D41" i="3"/>
  <c r="E41" i="3"/>
  <c r="F41" i="3"/>
  <c r="G22" i="3"/>
  <c r="H22" i="3"/>
  <c r="G50" i="3"/>
  <c r="H50" i="3"/>
  <c r="D73" i="3"/>
  <c r="F73" i="3"/>
  <c r="G18" i="3"/>
  <c r="H18" i="3"/>
  <c r="H103" i="3"/>
  <c r="E94" i="3"/>
  <c r="D85" i="3"/>
  <c r="F85" i="3"/>
  <c r="D74" i="3"/>
  <c r="E60" i="3"/>
  <c r="H55" i="3"/>
  <c r="H47" i="3"/>
  <c r="G46" i="3"/>
  <c r="H46" i="3"/>
  <c r="E34" i="3"/>
  <c r="D21" i="3"/>
  <c r="E21" i="3"/>
  <c r="F21" i="3"/>
  <c r="D25" i="3"/>
  <c r="E25" i="3"/>
  <c r="F25" i="3"/>
  <c r="D93" i="3"/>
  <c r="F93" i="3"/>
  <c r="D113" i="3"/>
  <c r="F113" i="3"/>
  <c r="D65" i="3"/>
  <c r="F65" i="3"/>
  <c r="H106" i="3"/>
  <c r="D105" i="3"/>
  <c r="F105" i="3"/>
  <c r="G103" i="3"/>
  <c r="H92" i="3"/>
  <c r="H75" i="3"/>
  <c r="H58" i="3"/>
  <c r="D57" i="3"/>
  <c r="F57" i="3"/>
  <c r="G55" i="3"/>
  <c r="D49" i="3"/>
  <c r="E49" i="3"/>
  <c r="F49" i="3"/>
  <c r="G47" i="3"/>
  <c r="H27" i="3"/>
  <c r="G26" i="3"/>
  <c r="H26" i="3"/>
  <c r="D7" i="3"/>
  <c r="D109" i="3"/>
  <c r="F109" i="3"/>
  <c r="G38" i="3"/>
  <c r="H38" i="3"/>
  <c r="H121" i="3"/>
  <c r="H112" i="3"/>
  <c r="H109" i="3"/>
  <c r="F106" i="3"/>
  <c r="F103" i="3"/>
  <c r="H95" i="3"/>
  <c r="G92" i="3"/>
  <c r="H64" i="3"/>
  <c r="H61" i="3"/>
  <c r="F58" i="3"/>
  <c r="F55" i="3"/>
  <c r="F47" i="3"/>
  <c r="D29" i="3"/>
  <c r="E29" i="3"/>
  <c r="F29" i="3"/>
  <c r="G27" i="3"/>
  <c r="F22" i="3"/>
  <c r="E14" i="3"/>
  <c r="G14" i="3"/>
  <c r="H14" i="3"/>
  <c r="D45" i="3"/>
  <c r="E45" i="3"/>
  <c r="F45" i="3"/>
  <c r="H78" i="3"/>
  <c r="D77" i="3"/>
  <c r="F77" i="3"/>
  <c r="G75" i="3"/>
  <c r="G121" i="3"/>
  <c r="G109" i="3"/>
  <c r="E106" i="3"/>
  <c r="H98" i="3"/>
  <c r="D97" i="3"/>
  <c r="F97" i="3"/>
  <c r="H81" i="3"/>
  <c r="F78" i="3"/>
  <c r="G61" i="3"/>
  <c r="E58" i="3"/>
  <c r="F50" i="3"/>
  <c r="H45" i="3"/>
  <c r="G34" i="3"/>
  <c r="H34" i="3"/>
  <c r="E22" i="3"/>
  <c r="F17" i="3"/>
  <c r="F13" i="3"/>
  <c r="F9" i="3"/>
  <c r="F5" i="3"/>
  <c r="E17" i="3"/>
  <c r="E13" i="3"/>
  <c r="E9" i="3"/>
  <c r="E5" i="3"/>
  <c r="D122" i="1"/>
  <c r="D105" i="1"/>
  <c r="D91" i="1"/>
  <c r="D87" i="1"/>
  <c r="D71" i="1"/>
  <c r="D65" i="1"/>
  <c r="D64" i="1"/>
  <c r="D54" i="1"/>
  <c r="D45" i="1"/>
  <c r="D120" i="1"/>
  <c r="D110" i="1"/>
  <c r="D100" i="1"/>
  <c r="D98" i="1"/>
  <c r="D79" i="1"/>
  <c r="D78" i="1"/>
  <c r="D77" i="1"/>
  <c r="D74" i="1"/>
  <c r="D69" i="1"/>
  <c r="D68" i="1"/>
  <c r="D67" i="1"/>
  <c r="D61" i="1"/>
  <c r="D57" i="1"/>
  <c r="D56" i="1"/>
  <c r="D53" i="1"/>
  <c r="D51" i="1"/>
  <c r="D50" i="1"/>
  <c r="D49" i="1"/>
  <c r="D47" i="1"/>
  <c r="D46" i="1"/>
  <c r="D42" i="1"/>
  <c r="D41" i="1"/>
  <c r="D39" i="1"/>
  <c r="D36" i="1"/>
  <c r="D35" i="1"/>
  <c r="D29" i="1"/>
  <c r="D23" i="1"/>
  <c r="D22" i="1"/>
  <c r="D21" i="1"/>
  <c r="D15" i="1"/>
  <c r="D14" i="1"/>
  <c r="D13" i="1"/>
  <c r="D12" i="1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I79" i="3" l="1"/>
  <c r="I16" i="3"/>
  <c r="C16" i="3"/>
  <c r="C79" i="3"/>
  <c r="C51" i="3"/>
  <c r="C70" i="3"/>
  <c r="I104" i="3"/>
  <c r="I51" i="3"/>
  <c r="I106" i="3"/>
  <c r="I23" i="3"/>
  <c r="C87" i="3"/>
  <c r="C82" i="3"/>
  <c r="C59" i="3"/>
  <c r="I67" i="3"/>
  <c r="I82" i="3"/>
  <c r="I84" i="3"/>
  <c r="C104" i="3"/>
  <c r="C118" i="3"/>
  <c r="C90" i="3"/>
  <c r="I28" i="3"/>
  <c r="I99" i="3"/>
  <c r="I118" i="3"/>
  <c r="I48" i="3"/>
  <c r="I36" i="3"/>
  <c r="C108" i="3"/>
  <c r="C6" i="3"/>
  <c r="C24" i="3"/>
  <c r="C31" i="3"/>
  <c r="C107" i="3"/>
  <c r="I70" i="3"/>
  <c r="C23" i="3"/>
  <c r="I44" i="3"/>
  <c r="I62" i="3"/>
  <c r="I6" i="3"/>
  <c r="I112" i="3"/>
  <c r="I52" i="3"/>
  <c r="I116" i="3"/>
  <c r="C35" i="3"/>
  <c r="C71" i="3"/>
  <c r="C123" i="3"/>
  <c r="C28" i="3"/>
  <c r="I40" i="3"/>
  <c r="I47" i="3"/>
  <c r="I107" i="3"/>
  <c r="I43" i="3"/>
  <c r="I68" i="3"/>
  <c r="I8" i="3"/>
  <c r="I22" i="3"/>
  <c r="C116" i="3"/>
  <c r="C44" i="3"/>
  <c r="I115" i="3"/>
  <c r="I102" i="3"/>
  <c r="C52" i="3"/>
  <c r="I119" i="3"/>
  <c r="I15" i="3"/>
  <c r="I71" i="3"/>
  <c r="C88" i="3"/>
  <c r="C91" i="3"/>
  <c r="C8" i="3"/>
  <c r="I91" i="3"/>
  <c r="C68" i="3"/>
  <c r="C119" i="3"/>
  <c r="I35" i="3"/>
  <c r="I78" i="3"/>
  <c r="I12" i="3"/>
  <c r="I108" i="3"/>
  <c r="C99" i="3"/>
  <c r="I95" i="3"/>
  <c r="C5" i="3"/>
  <c r="I122" i="3"/>
  <c r="I87" i="3"/>
  <c r="I59" i="3"/>
  <c r="C60" i="3"/>
  <c r="C48" i="3"/>
  <c r="C80" i="3"/>
  <c r="I123" i="3"/>
  <c r="C78" i="3"/>
  <c r="C32" i="3"/>
  <c r="C96" i="3"/>
  <c r="C115" i="3"/>
  <c r="C94" i="3"/>
  <c r="I56" i="3"/>
  <c r="C15" i="3"/>
  <c r="I27" i="3"/>
  <c r="I26" i="3"/>
  <c r="I75" i="3"/>
  <c r="C67" i="3"/>
  <c r="C102" i="3"/>
  <c r="C84" i="3"/>
  <c r="I90" i="3"/>
  <c r="I32" i="3"/>
  <c r="I20" i="3"/>
  <c r="I96" i="3"/>
  <c r="I110" i="3"/>
  <c r="C40" i="3"/>
  <c r="C56" i="3"/>
  <c r="I80" i="3"/>
  <c r="C76" i="3"/>
  <c r="C62" i="3"/>
  <c r="C20" i="3"/>
  <c r="C47" i="3"/>
  <c r="I11" i="3"/>
  <c r="I14" i="3"/>
  <c r="C112" i="3"/>
  <c r="I88" i="3"/>
  <c r="C36" i="3"/>
  <c r="C12" i="3"/>
  <c r="C43" i="3"/>
  <c r="C72" i="3"/>
  <c r="I98" i="3"/>
  <c r="I76" i="3"/>
  <c r="I38" i="3"/>
  <c r="I60" i="3"/>
  <c r="I50" i="3"/>
  <c r="C121" i="3"/>
  <c r="C110" i="3"/>
  <c r="C26" i="3"/>
  <c r="I121" i="3"/>
  <c r="C54" i="3"/>
  <c r="C122" i="3"/>
  <c r="C75" i="3"/>
  <c r="I64" i="3"/>
  <c r="I54" i="3"/>
  <c r="I34" i="3"/>
  <c r="I18" i="3"/>
  <c r="C14" i="3"/>
  <c r="I30" i="3"/>
  <c r="C106" i="3"/>
  <c r="I55" i="3"/>
  <c r="C50" i="3"/>
  <c r="I17" i="3"/>
  <c r="C58" i="3"/>
  <c r="C92" i="3"/>
  <c r="C55" i="3"/>
  <c r="I24" i="3"/>
  <c r="C46" i="3"/>
  <c r="I103" i="3"/>
  <c r="C111" i="3"/>
  <c r="I111" i="3"/>
  <c r="C95" i="3"/>
  <c r="I101" i="3"/>
  <c r="C101" i="3"/>
  <c r="I58" i="3"/>
  <c r="C27" i="3"/>
  <c r="C120" i="3"/>
  <c r="I120" i="3"/>
  <c r="C29" i="3"/>
  <c r="I29" i="3"/>
  <c r="C18" i="3"/>
  <c r="C98" i="3"/>
  <c r="I19" i="3"/>
  <c r="C19" i="3"/>
  <c r="C63" i="3"/>
  <c r="I63" i="3"/>
  <c r="C30" i="3"/>
  <c r="I42" i="3"/>
  <c r="C42" i="3"/>
  <c r="C34" i="3"/>
  <c r="C39" i="3"/>
  <c r="I39" i="3"/>
  <c r="I25" i="3"/>
  <c r="C25" i="3"/>
  <c r="I31" i="3"/>
  <c r="I89" i="3"/>
  <c r="C89" i="3"/>
  <c r="I61" i="3"/>
  <c r="C61" i="3"/>
  <c r="I10" i="3"/>
  <c r="C10" i="3"/>
  <c r="C9" i="3"/>
  <c r="I9" i="3"/>
  <c r="C38" i="3"/>
  <c r="C22" i="3"/>
  <c r="I72" i="3"/>
  <c r="I109" i="3"/>
  <c r="C109" i="3"/>
  <c r="C33" i="3"/>
  <c r="I33" i="3"/>
  <c r="C97" i="3"/>
  <c r="I97" i="3"/>
  <c r="C7" i="3"/>
  <c r="I7" i="3"/>
  <c r="C11" i="3"/>
  <c r="C117" i="3"/>
  <c r="I117" i="3"/>
  <c r="I5" i="3"/>
  <c r="I45" i="3"/>
  <c r="C45" i="3"/>
  <c r="I94" i="3"/>
  <c r="C113" i="3"/>
  <c r="I113" i="3"/>
  <c r="I53" i="3"/>
  <c r="C53" i="3"/>
  <c r="I86" i="3"/>
  <c r="C86" i="3"/>
  <c r="I114" i="3"/>
  <c r="C114" i="3"/>
  <c r="C64" i="3"/>
  <c r="C103" i="3"/>
  <c r="I74" i="3"/>
  <c r="C74" i="3"/>
  <c r="C13" i="3"/>
  <c r="I13" i="3"/>
  <c r="I46" i="3"/>
  <c r="C73" i="3"/>
  <c r="I73" i="3"/>
  <c r="I66" i="3"/>
  <c r="C66" i="3"/>
  <c r="C57" i="3"/>
  <c r="I57" i="3"/>
  <c r="I83" i="3"/>
  <c r="C83" i="3"/>
  <c r="I105" i="3"/>
  <c r="C105" i="3"/>
  <c r="C93" i="3"/>
  <c r="I93" i="3"/>
  <c r="C85" i="3"/>
  <c r="I85" i="3"/>
  <c r="C37" i="3"/>
  <c r="I37" i="3"/>
  <c r="I81" i="3"/>
  <c r="C81" i="3"/>
  <c r="I92" i="3"/>
  <c r="C69" i="3"/>
  <c r="I69" i="3"/>
  <c r="C100" i="3"/>
  <c r="I100" i="3"/>
  <c r="C65" i="3"/>
  <c r="I65" i="3"/>
  <c r="C17" i="3"/>
  <c r="C77" i="3"/>
  <c r="I77" i="3"/>
  <c r="I41" i="3"/>
  <c r="C41" i="3"/>
  <c r="C49" i="3"/>
  <c r="I49" i="3"/>
  <c r="C21" i="3"/>
  <c r="I21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I4" i="1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H31" i="1" l="1"/>
  <c r="H70" i="1"/>
  <c r="H103" i="1"/>
  <c r="H46" i="1"/>
  <c r="H14" i="1"/>
  <c r="H121" i="1"/>
  <c r="H63" i="1"/>
  <c r="H87" i="1"/>
  <c r="H42" i="1"/>
  <c r="H34" i="1"/>
  <c r="H18" i="1"/>
  <c r="H79" i="1"/>
  <c r="H107" i="1"/>
  <c r="H35" i="1"/>
  <c r="H71" i="1"/>
  <c r="H95" i="1"/>
  <c r="H9" i="1"/>
  <c r="H110" i="1"/>
  <c r="H67" i="1"/>
  <c r="H75" i="1"/>
  <c r="H37" i="1"/>
  <c r="H22" i="1"/>
  <c r="H21" i="1"/>
  <c r="H26" i="1"/>
  <c r="H102" i="1"/>
  <c r="H82" i="1"/>
  <c r="H106" i="1"/>
  <c r="H86" i="1"/>
  <c r="H94" i="1"/>
  <c r="H15" i="1"/>
  <c r="H120" i="1"/>
  <c r="H115" i="1"/>
  <c r="H77" i="1"/>
  <c r="H59" i="1"/>
  <c r="H122" i="1"/>
  <c r="H17" i="1"/>
  <c r="H74" i="1"/>
  <c r="H83" i="1"/>
  <c r="H91" i="1"/>
  <c r="H51" i="1"/>
  <c r="H66" i="1"/>
  <c r="H62" i="1"/>
  <c r="H23" i="1"/>
  <c r="H43" i="1"/>
  <c r="H19" i="1"/>
  <c r="H55" i="1"/>
  <c r="H85" i="1"/>
  <c r="H99" i="1"/>
  <c r="H49" i="1"/>
  <c r="H47" i="1"/>
  <c r="H57" i="1"/>
  <c r="H90" i="1"/>
  <c r="H58" i="1"/>
  <c r="H13" i="1"/>
  <c r="H118" i="1"/>
  <c r="H38" i="1"/>
  <c r="H111" i="1"/>
  <c r="H54" i="1"/>
  <c r="H119" i="1"/>
  <c r="H113" i="1"/>
  <c r="H114" i="1"/>
  <c r="H98" i="1"/>
  <c r="H123" i="1"/>
  <c r="H25" i="1"/>
  <c r="H61" i="1"/>
  <c r="H116" i="1"/>
  <c r="H50" i="1"/>
  <c r="H105" i="1"/>
  <c r="H96" i="1"/>
  <c r="H100" i="1"/>
  <c r="H52" i="1"/>
  <c r="H44" i="1"/>
  <c r="H81" i="1"/>
  <c r="H36" i="1"/>
  <c r="H32" i="1"/>
  <c r="H89" i="1"/>
  <c r="H101" i="1"/>
  <c r="H33" i="1"/>
  <c r="H45" i="1"/>
  <c r="H97" i="1"/>
  <c r="H65" i="1"/>
  <c r="H93" i="1"/>
  <c r="H53" i="1"/>
  <c r="H48" i="1"/>
  <c r="H109" i="1"/>
  <c r="H16" i="1"/>
  <c r="H78" i="1"/>
  <c r="H117" i="1"/>
  <c r="H56" i="1"/>
  <c r="H84" i="1"/>
  <c r="H76" i="1"/>
  <c r="H40" i="1"/>
  <c r="H72" i="1"/>
  <c r="H60" i="1"/>
  <c r="H88" i="1"/>
  <c r="H80" i="1"/>
  <c r="H69" i="1"/>
  <c r="H92" i="1"/>
  <c r="H68" i="1"/>
  <c r="H73" i="1"/>
  <c r="H20" i="1"/>
  <c r="H24" i="1"/>
  <c r="H108" i="1"/>
  <c r="H28" i="1"/>
  <c r="H64" i="1"/>
  <c r="H104" i="1"/>
  <c r="H5" i="1"/>
  <c r="H6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G14" i="12" l="1"/>
  <c r="H2" i="8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A4" i="3"/>
  <c r="H2" i="1"/>
  <c r="S17" i="3" l="1"/>
  <c r="S18" i="3"/>
  <c r="O17" i="3"/>
  <c r="O18" i="3"/>
  <c r="M5" i="3"/>
  <c r="M6" i="3"/>
  <c r="M7" i="3"/>
  <c r="M9" i="3"/>
  <c r="M8" i="3"/>
  <c r="M13" i="3"/>
  <c r="M14" i="3"/>
  <c r="M15" i="3"/>
  <c r="Q14" i="3"/>
  <c r="O14" i="3"/>
  <c r="O15" i="3"/>
  <c r="O16" i="3"/>
  <c r="S16" i="3"/>
  <c r="O11" i="3"/>
  <c r="O13" i="3"/>
  <c r="S15" i="3"/>
  <c r="S14" i="3"/>
  <c r="O12" i="3"/>
  <c r="Q13" i="3"/>
  <c r="Q12" i="3"/>
  <c r="S13" i="3"/>
  <c r="S12" i="3"/>
  <c r="H4" i="3"/>
  <c r="D4" i="3"/>
  <c r="M10" i="3" s="1"/>
  <c r="F4" i="3"/>
  <c r="E4" i="3"/>
  <c r="O6" i="3" s="1"/>
  <c r="G4" i="3"/>
  <c r="U7" i="3"/>
  <c r="U5" i="3"/>
  <c r="Q5" i="3"/>
  <c r="Q6" i="3"/>
  <c r="O8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M12" i="3" l="1"/>
  <c r="M11" i="3"/>
  <c r="O7" i="3"/>
  <c r="O5" i="3"/>
  <c r="O10" i="3"/>
  <c r="O9" i="3"/>
  <c r="C4" i="3"/>
  <c r="H41" i="1" s="1"/>
  <c r="I4" i="3"/>
  <c r="H2" i="3"/>
  <c r="E2" i="3"/>
  <c r="G2" i="3"/>
  <c r="D2" i="3"/>
  <c r="F2" i="3"/>
  <c r="H12" i="1" l="1"/>
  <c r="H30" i="1"/>
  <c r="H11" i="1"/>
  <c r="G12" i="12" s="1"/>
  <c r="H29" i="1"/>
  <c r="H39" i="1"/>
  <c r="H8" i="1"/>
  <c r="H7" i="1"/>
  <c r="H27" i="1"/>
  <c r="H112" i="1"/>
  <c r="G17" i="12" s="1"/>
  <c r="H10" i="1"/>
  <c r="S3" i="12" s="1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S4" i="12" l="1"/>
  <c r="G5" i="12"/>
  <c r="G72" i="1"/>
  <c r="G112" i="1"/>
  <c r="G120" i="1"/>
  <c r="G81" i="1"/>
  <c r="G18" i="1"/>
  <c r="G13" i="1"/>
  <c r="G102" i="1"/>
  <c r="G10" i="1"/>
  <c r="G107" i="1"/>
  <c r="G64" i="1"/>
  <c r="G106" i="1"/>
  <c r="G108" i="1"/>
  <c r="G63" i="1"/>
  <c r="G113" i="1"/>
  <c r="G119" i="1"/>
  <c r="G86" i="1"/>
  <c r="G66" i="1"/>
  <c r="G99" i="1"/>
  <c r="G55" i="1"/>
  <c r="G87" i="1"/>
  <c r="G8" i="1"/>
  <c r="G48" i="1"/>
  <c r="G70" i="1"/>
  <c r="G50" i="1"/>
  <c r="G69" i="1"/>
  <c r="G27" i="1"/>
  <c r="G122" i="1"/>
  <c r="G17" i="1"/>
  <c r="G117" i="1"/>
  <c r="G40" i="1"/>
  <c r="G22" i="1"/>
  <c r="G121" i="1"/>
  <c r="G123" i="1"/>
  <c r="G28" i="1"/>
  <c r="G73" i="1"/>
  <c r="G100" i="1"/>
  <c r="G68" i="1"/>
  <c r="G16" i="1"/>
  <c r="G75" i="1"/>
  <c r="G62" i="1"/>
  <c r="G42" i="1"/>
  <c r="G53" i="1"/>
  <c r="G103" i="1"/>
  <c r="G71" i="1"/>
  <c r="G58" i="1"/>
  <c r="G60" i="1"/>
  <c r="G88" i="1"/>
  <c r="G96" i="1"/>
  <c r="G80" i="1"/>
  <c r="G105" i="1"/>
  <c r="G111" i="1"/>
  <c r="G31" i="1"/>
  <c r="G57" i="1"/>
  <c r="G91" i="1"/>
  <c r="G45" i="1"/>
  <c r="G116" i="1"/>
  <c r="G20" i="1"/>
  <c r="G84" i="1"/>
  <c r="G33" i="1"/>
  <c r="G54" i="1"/>
  <c r="G95" i="1"/>
  <c r="G109" i="1"/>
  <c r="G38" i="1"/>
  <c r="G83" i="1"/>
  <c r="G36" i="1"/>
  <c r="G104" i="1"/>
  <c r="G76" i="1"/>
  <c r="G89" i="1"/>
  <c r="G94" i="1"/>
  <c r="G35" i="1"/>
  <c r="G101" i="1"/>
  <c r="G19" i="1"/>
  <c r="G74" i="1"/>
  <c r="G26" i="1"/>
  <c r="G92" i="1"/>
  <c r="G14" i="1"/>
  <c r="G77" i="1"/>
  <c r="G25" i="1"/>
  <c r="G78" i="1"/>
  <c r="G59" i="1"/>
  <c r="G9" i="1"/>
  <c r="G46" i="1"/>
  <c r="G7" i="1"/>
  <c r="G49" i="1"/>
  <c r="G12" i="1"/>
  <c r="G21" i="1"/>
  <c r="G6" i="1"/>
  <c r="G51" i="1"/>
  <c r="G11" i="1"/>
  <c r="G65" i="1"/>
  <c r="G114" i="1"/>
  <c r="G52" i="1"/>
  <c r="G61" i="1"/>
  <c r="G41" i="1"/>
  <c r="G67" i="1"/>
  <c r="G47" i="1"/>
  <c r="G98" i="1"/>
  <c r="G34" i="1"/>
  <c r="G56" i="1"/>
  <c r="G93" i="1"/>
  <c r="G43" i="1"/>
  <c r="G37" i="1"/>
  <c r="G90" i="1"/>
  <c r="G15" i="1"/>
  <c r="G44" i="1"/>
  <c r="G79" i="1"/>
  <c r="G85" i="1"/>
  <c r="G24" i="1"/>
  <c r="G118" i="1"/>
  <c r="G39" i="1"/>
  <c r="G82" i="1"/>
  <c r="G5" i="1"/>
  <c r="G32" i="1"/>
  <c r="G97" i="1"/>
  <c r="G30" i="1"/>
  <c r="G23" i="1"/>
  <c r="G110" i="1"/>
  <c r="G29" i="1"/>
  <c r="G115" i="1"/>
  <c r="G4" i="1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<sst xmlns="http://schemas.openxmlformats.org/spreadsheetml/2006/main" count="2218" uniqueCount="408">
  <si>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</si>
  <si>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</si>
  <si>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</si>
  <si>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</si>
  <si>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</si>
  <si>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</si>
  <si>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</si>
  <si>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</si>
  <si>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</si>
  <si>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</si>
  <si>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</si>
  <si>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</si>
  <si>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</si>
  <si>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</si>
  <si>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</si>
  <si>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</si>
  <si>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</si>
  <si>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</si>
  <si>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</si>
  <si>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</si>
  <si>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</si>
  <si>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</si>
  <si>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</si>
  <si>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</si>
  <si>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</si>
  <si>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</si>
  <si>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</si>
  <si>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</si>
  <si>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</si>
  <si>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</si>
  <si>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</si>
  <si>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</si>
  <si>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</si>
  <si>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</si>
  <si>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</si>
  <si>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</si>
  <si>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</si>
  <si>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</si>
  <si>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</si>
  <si>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</si>
  <si>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</si>
  <si>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</si>
  <si>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</si>
  <si>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</si>
  <si>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</si>
  <si>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</si>
  <si>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</si>
  <si>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</si>
  <si>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</si>
  <si>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</si>
  <si>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</si>
  <si>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</si>
  <si>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</si>
  <si>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</si>
  <si>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</si>
  <si>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</si>
  <si>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</si>
  <si>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</si>
  <si>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</si>
  <si>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</si>
  <si>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</si>
  <si>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</si>
  <si>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</si>
  <si>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</si>
  <si>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</si>
  <si>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</si>
  <si>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</si>
  <si>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</si>
  <si>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</si>
  <si>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</si>
  <si>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</si>
  <si>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</si>
  <si>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</si>
  <si>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</si>
  <si>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</si>
  <si>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</si>
  <si>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</si>
  <si>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</si>
  <si>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</si>
  <si>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</si>
  <si>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</si>
  <si>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</si>
  <si>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</si>
  <si>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</si>
  <si>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</si>
  <si>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</si>
  <si>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</si>
  <si>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</si>
  <si>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</si>
  <si>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</si>
  <si>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</si>
  <si>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</si>
  <si>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</si>
  <si>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</si>
  <si>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</si>
  <si>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</si>
  <si>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</si>
  <si>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</si>
  <si>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</si>
  <si>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</si>
  <si>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</si>
  <si>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</si>
  <si>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</si>
  <si>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</si>
  <si>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</si>
  <si>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</si>
  <si>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</si>
  <si>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</si>
  <si>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</si>
  <si>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</si>
  <si>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</si>
  <si>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</si>
  <si>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</si>
  <si>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</si>
  <si>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</si>
  <si>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</si>
  <si>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</si>
  <si>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</si>
  <si>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</si>
  <si>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</si>
  <si>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</si>
  <si>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</si>
  <si>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</si>
  <si>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</si>
  <si>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</si>
  <si>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김민준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</si>
  <si>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</si>
  <si>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</si>
  <si>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</si>
  <si>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</si>
  <si>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</si>
  <si>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</si>
  <si>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</si>
  <si>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</si>
  <si>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</si>
  <si>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</si>
  <si>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</si>
  <si>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</si>
  <si>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</si>
  <si>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</si>
  <si>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</si>
  <si>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</si>
  <si>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</si>
  <si>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</si>
  <si>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</si>
  <si>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</si>
  <si>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</si>
  <si>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</si>
  <si>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</si>
  <si>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</si>
  <si>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</si>
  <si>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</si>
  <si>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</si>
  <si>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</si>
  <si>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</si>
  <si>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</si>
  <si>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</si>
  <si>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</si>
  <si>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</si>
  <si>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</si>
  <si>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</si>
  <si>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</si>
  <si>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</si>
  <si>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</si>
  <si>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</si>
  <si>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</si>
  <si>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</si>
  <si>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</si>
  <si>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</si>
  <si>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</si>
  <si>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</si>
  <si>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</si>
  <si>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</si>
  <si>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</si>
  <si>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</si>
  <si>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</si>
  <si>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</si>
  <si>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</si>
  <si>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</si>
  <si>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</si>
  <si>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</si>
  <si>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</si>
  <si>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</si>
  <si>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</si>
  <si>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</si>
  <si>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</si>
  <si>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</si>
  <si>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</si>
  <si>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</si>
  <si>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</si>
  <si>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</si>
  <si>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</si>
  <si>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</si>
  <si>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</si>
  <si>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</si>
  <si>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</si>
  <si>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</si>
  <si>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</si>
  <si>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</si>
  <si>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</si>
  <si>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</si>
  <si>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</si>
  <si>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</si>
  <si>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</si>
  <si>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</si>
  <si>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</si>
  <si>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</si>
  <si>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</si>
  <si>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</si>
  <si>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</si>
  <si>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</si>
  <si>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</si>
  <si>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</si>
  <si>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</si>
  <si>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</si>
  <si>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</si>
  <si>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</si>
  <si>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</si>
  <si>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</si>
  <si>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</si>
  <si>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</si>
  <si>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</si>
  <si>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</si>
  <si>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</si>
  <si>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</si>
  <si>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</si>
  <si>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</si>
  <si>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</si>
  <si>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</si>
  <si>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</si>
  <si>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</si>
  <si>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</si>
  <si>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</si>
  <si>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</si>
  <si>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</si>
  <si>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</si>
  <si>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</si>
  <si>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</si>
  <si>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</si>
  <si>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</si>
  <si>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</si>
  <si>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</si>
  <si>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</si>
  <si>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</si>
  <si>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</si>
  <si>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</si>
  <si>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</si>
  <si>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</si>
  <si>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</si>
  <si>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</si>
  <si>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</si>
  <si>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</si>
  <si>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</si>
  <si>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</si>
  <si>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</si>
  <si>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</si>
  <si>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</si>
  <si>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</si>
  <si>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</si>
  <si>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</si>
  <si>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</si>
  <si>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</si>
  <si>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</si>
  <si>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</si>
  <si>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</si>
  <si>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</si>
  <si>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</si>
  <si>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</si>
  <si>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</si>
  <si>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</si>
  <si>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</si>
  <si>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</si>
  <si>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</si>
  <si>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</si>
  <si>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</si>
  <si>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</si>
  <si>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</si>
  <si>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</si>
  <si>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</si>
  <si>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</si>
  <si>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</si>
  <si>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</si>
  <si>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</si>
  <si>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</si>
  <si>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</si>
  <si>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</si>
  <si>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</si>
  <si>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</si>
  <si>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</si>
  <si>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</si>
  <si>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</si>
  <si>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</si>
  <si>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</si>
  <si>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</si>
  <si>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</si>
  <si>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</si>
  <si>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</si>
  <si>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</si>
  <si>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</si>
  <si>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</si>
  <si>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</si>
  <si>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</si>
  <si>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</si>
  <si>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</si>
  <si>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</si>
  <si>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</si>
  <si>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</si>
  <si>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</si>
  <si>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</si>
  <si>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</si>
  <si>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</si>
  <si>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</si>
  <si>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</si>
  <si>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</si>
  <si>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</si>
  <si>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</si>
  <si>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권주용</t>
    <phoneticPr fontId="2" type="noConversion"/>
  </si>
  <si>
    <t>오진환</t>
    <phoneticPr fontId="2" type="noConversion"/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</si>
  <si>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</si>
  <si>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</si>
  <si>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</si>
  <si>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</si>
  <si>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</si>
  <si>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</si>
  <si>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</si>
  <si>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</si>
  <si>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</si>
  <si>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</si>
  <si>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</si>
  <si>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</si>
  <si>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</si>
  <si>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</si>
  <si>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</si>
  <si>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</si>
  <si>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</si>
  <si>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</si>
  <si>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</si>
  <si>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</si>
  <si>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</si>
  <si>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</si>
  <si>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</si>
  <si>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</si>
  <si>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</si>
  <si>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</si>
  <si>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</si>
  <si>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</si>
  <si>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</si>
  <si>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</si>
  <si>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</si>
  <si>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</si>
  <si>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</si>
  <si>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</si>
  <si>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</si>
  <si>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</si>
  <si>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</si>
  <si>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</si>
  <si>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</si>
  <si>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</si>
  <si>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</si>
  <si>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</si>
  <si>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</si>
  <si>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</si>
  <si>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</si>
  <si>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</si>
  <si>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</si>
  <si>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</si>
  <si>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</si>
  <si>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</si>
  <si>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</si>
  <si>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</si>
  <si>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</si>
  <si>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</si>
  <si>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</si>
  <si>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</si>
  <si>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</si>
  <si>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</si>
  <si>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</si>
  <si>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</si>
  <si>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</si>
  <si>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</si>
  <si>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</si>
  <si>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</si>
  <si>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</si>
  <si>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</si>
  <si>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</si>
  <si>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</si>
  <si>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전나현</t>
  </si>
  <si>
    <t>신기웅</t>
  </si>
  <si>
    <t>황건호</t>
  </si>
  <si>
    <t>정현서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</si>
  <si>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</si>
  <si>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</si>
  <si>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</si>
  <si>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</si>
  <si>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이찬솔</t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</si>
  <si>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</si>
  <si>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</si>
  <si>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</si>
  <si>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</si>
  <si>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이지섭</t>
    <phoneticPr fontId="2" type="noConversion"/>
  </si>
  <si>
    <t>정진억</t>
    <phoneticPr fontId="2" type="noConversion"/>
  </si>
  <si>
    <t>한상규</t>
  </si>
  <si>
    <t>박태현</t>
  </si>
  <si>
    <t>게스트</t>
    <phoneticPr fontId="2" type="noConversion"/>
  </si>
  <si>
    <t>김청축B</t>
    <phoneticPr fontId="2" type="noConversion"/>
  </si>
  <si>
    <t>김청축R</t>
    <phoneticPr fontId="2" type="noConversion"/>
  </si>
  <si>
    <t>최경영</t>
    <phoneticPr fontId="2" type="noConversion"/>
  </si>
  <si>
    <t>손경호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</si>
</sst>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3"/>
  <sheetViews>
    <sheetView showGridLines="0" tabSelected="1" zoomScale="98" zoomScaleNormal="98" workbookViewId="0">
      <pane xSplit="9" topLeftCell="J1" activePane="topRight" state="frozen"/>
      <selection pane="topRight" activeCell="H27" sqref="H2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COUNTIF(D4:D159,"발주")</f>
        <v>7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53">
        <f>COUNTIF(D4:D159,"지급")</f>
        <v>62</v>
      </c>
      <c r="E2" s="53">
        <f>COUNTIF(E4:E142,"지급")</f>
        <v>0</v>
      </c>
      <c r="H2" s="18">
        <f>SUM(J2:AR2)/COUNTA(J2:BB2)</f>
        <v>9.6</v>
      </c>
      <c r="I2" s="18" t="s">
        <v>83</v>
      </c>
      <c r="J2" s="1">
        <f t="shared" ref="J2:AO2" si="0">COUNTA(J4:J154)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31</v>
      </c>
      <c r="V2" s="1">
        <f t="shared" si="0"/>
        <v>14</v>
      </c>
      <c r="W2" s="1">
        <f t="shared" si="0"/>
        <v>22</v>
      </c>
      <c r="X2" s="1">
        <f t="shared" si="0"/>
        <v>19</v>
      </c>
      <c r="Y2" s="1">
        <f t="shared" si="0"/>
        <v>28</v>
      </c>
      <c r="Z2" s="1">
        <f t="shared" si="0"/>
        <v>25</v>
      </c>
      <c r="AA2" s="1">
        <f t="shared" si="0"/>
        <v>23</v>
      </c>
      <c r="AB2" s="1">
        <f t="shared" si="0"/>
        <v>17</v>
      </c>
      <c r="AC2" s="1">
        <f t="shared" si="0"/>
        <v>25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COUNTA(AP4:AP154)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321</v>
      </c>
      <c r="D3" s="54" t="s">
        <v>116</v>
      </c>
      <c r="E3" s="54" t="s">
        <v>127</v>
      </c>
      <c r="F3" s="2" t="s">
        <v>44</v>
      </c>
      <c r="G3" s="2" t="s">
        <v>86</v>
      </c>
      <c r="H3" s="2" t="s">
        <v>79</v>
      </c>
      <c r="I3" s="2" t="s">
        <v>330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>
        <v>46184</v>
      </c>
      <c r="AC3" s="4">
        <v>46191</v>
      </c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322</v>
      </c>
      <c r="D4" s="54" t="s">
        <v>326</v>
      </c>
      <c r="E4" s="54"/>
      <c r="F4" s="2" t="s">
        <v>37</v>
      </c>
      <c r="G4" s="2">
        <f>RANK(H4,$H$4:$H$123,0)</f>
        <v>3</v>
      </c>
      <c r="H4" s="6">
        <f>I4+개인기록Sheet!C4</f>
        <v>17.600000000000001</v>
      </c>
      <c r="I4" s="6">
        <f t="shared" ref="I4" si="2">(COUNTIF(J4:CD4,"출전")*1)</f>
        <v>16</v>
      </c>
      <c r="J4" s="2" t="s">
        <v>352</v>
      </c>
      <c r="K4" s="2"/>
      <c r="L4" s="2"/>
      <c r="M4" s="2" t="s">
        <v>352</v>
      </c>
      <c r="N4" s="2" t="s">
        <v>352</v>
      </c>
      <c r="O4" s="2" t="s">
        <v>352</v>
      </c>
      <c r="P4" s="2" t="s">
        <v>352</v>
      </c>
      <c r="Q4" s="2" t="s">
        <v>352</v>
      </c>
      <c r="R4" s="2" t="s">
        <v>352</v>
      </c>
      <c r="S4" s="2" t="s">
        <v>352</v>
      </c>
      <c r="T4" s="2" t="s">
        <v>352</v>
      </c>
      <c r="U4" s="2" t="s">
        <v>352</v>
      </c>
      <c r="V4" s="2" t="s">
        <v>352</v>
      </c>
      <c r="W4" s="2" t="s">
        <v>352</v>
      </c>
      <c r="X4" s="2"/>
      <c r="Y4" s="2" t="s">
        <v>352</v>
      </c>
      <c r="Z4" s="2"/>
      <c r="AA4" s="2" t="s">
        <v>352</v>
      </c>
      <c r="AB4" s="2" t="s">
        <v>352</v>
      </c>
      <c r="AC4" s="2" t="s">
        <v>352</v>
      </c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353</v>
      </c>
      <c r="E5" s="54"/>
      <c r="F5" s="2" t="s">
        <v>37</v>
      </c>
      <c r="G5" s="2">
        <f t="shared" ref="G5:G68" si="3">RANK(H5,$H$4:$H$123,0)</f>
        <v>57</v>
      </c>
      <c r="H5" s="6">
        <f>I5+개인기록Sheet!C5</f>
        <v>3.7</v>
      </c>
      <c r="I5" s="6">
        <f t="shared" ref="I5:I68" si="4">(COUNTIF(J5:CD5,"출전")*1)</f>
        <v>3</v>
      </c>
      <c r="J5" s="2"/>
      <c r="K5" s="2"/>
      <c r="L5" s="2" t="s">
        <v>352</v>
      </c>
      <c r="M5" s="2"/>
      <c r="N5" s="2"/>
      <c r="O5" s="2"/>
      <c r="P5" s="2"/>
      <c r="Q5" s="2"/>
      <c r="R5" s="2"/>
      <c r="S5" s="2"/>
      <c r="T5" s="2"/>
      <c r="U5" s="2" t="s">
        <v>352</v>
      </c>
      <c r="V5" s="2"/>
      <c r="W5" s="2"/>
      <c r="X5" s="2"/>
      <c r="Y5" s="2"/>
      <c r="Z5" s="2"/>
      <c r="AA5" s="2"/>
      <c r="AB5" s="2"/>
      <c r="AC5" s="2" t="s">
        <v>352</v>
      </c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322</v>
      </c>
      <c r="D6" s="54" t="s">
        <v>353</v>
      </c>
      <c r="E6" s="54"/>
      <c r="F6" s="2" t="s">
        <v>37</v>
      </c>
      <c r="G6" s="2">
        <f t="shared" si="3"/>
        <v>83</v>
      </c>
      <c r="H6" s="6">
        <f>I6+개인기록Sheet!C6</f>
        <v>0</v>
      </c>
      <c r="I6" s="6">
        <f t="shared" si="4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322</v>
      </c>
      <c r="D7" s="54">
        <f>COUNTA(L7:AB7)</f>
        <v>0</v>
      </c>
      <c r="E7" s="54"/>
      <c r="F7" s="2" t="s">
        <v>37</v>
      </c>
      <c r="G7" s="2">
        <f t="shared" si="3"/>
        <v>83</v>
      </c>
      <c r="H7" s="6">
        <f>I7+개인기록Sheet!C7</f>
        <v>0</v>
      </c>
      <c r="I7" s="6">
        <f t="shared" si="4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322</v>
      </c>
      <c r="D8" s="54" t="s">
        <v>353</v>
      </c>
      <c r="E8" s="54"/>
      <c r="F8" s="2" t="s">
        <v>37</v>
      </c>
      <c r="G8" s="2">
        <f t="shared" si="3"/>
        <v>83</v>
      </c>
      <c r="H8" s="6">
        <f>I8+개인기록Sheet!C8</f>
        <v>0</v>
      </c>
      <c r="I8" s="6">
        <f t="shared" si="4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322</v>
      </c>
      <c r="D9" s="54" t="s">
        <v>326</v>
      </c>
      <c r="E9" s="54"/>
      <c r="F9" s="2" t="s">
        <v>37</v>
      </c>
      <c r="G9" s="2">
        <f t="shared" si="3"/>
        <v>41</v>
      </c>
      <c r="H9" s="6">
        <f>I9+개인기록Sheet!C9</f>
        <v>5.4</v>
      </c>
      <c r="I9" s="6">
        <f t="shared" si="4"/>
        <v>5</v>
      </c>
      <c r="J9" s="2"/>
      <c r="K9" s="2" t="s">
        <v>352</v>
      </c>
      <c r="L9" s="2"/>
      <c r="M9" s="2"/>
      <c r="N9" s="2"/>
      <c r="O9" s="2" t="s">
        <v>352</v>
      </c>
      <c r="P9" s="2"/>
      <c r="Q9" s="2" t="s">
        <v>352</v>
      </c>
      <c r="R9" s="2"/>
      <c r="S9" s="2"/>
      <c r="T9" s="2"/>
      <c r="U9" s="2" t="s">
        <v>352</v>
      </c>
      <c r="V9" s="2"/>
      <c r="W9" s="2"/>
      <c r="X9" s="2"/>
      <c r="Y9" s="2"/>
      <c r="Z9" s="2"/>
      <c r="AA9" s="2" t="s">
        <v>352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237</v>
      </c>
      <c r="C10" s="58">
        <v>2024</v>
      </c>
      <c r="D10" s="54" t="s">
        <v>326</v>
      </c>
      <c r="E10" s="54"/>
      <c r="F10" s="2" t="s">
        <v>37</v>
      </c>
      <c r="G10" s="2">
        <f t="shared" si="3"/>
        <v>11</v>
      </c>
      <c r="H10" s="6">
        <f>I10+개인기록Sheet!C10</f>
        <v>13.1</v>
      </c>
      <c r="I10" s="6">
        <f t="shared" si="4"/>
        <v>10</v>
      </c>
      <c r="J10" s="2" t="s">
        <v>352</v>
      </c>
      <c r="K10" s="2"/>
      <c r="L10" s="2"/>
      <c r="M10" s="2"/>
      <c r="N10" s="2" t="s">
        <v>352</v>
      </c>
      <c r="O10" s="2"/>
      <c r="P10" s="2"/>
      <c r="Q10" s="2" t="s">
        <v>352</v>
      </c>
      <c r="R10" s="2"/>
      <c r="S10" s="2" t="s">
        <v>352</v>
      </c>
      <c r="T10" s="2" t="s">
        <v>352</v>
      </c>
      <c r="U10" s="2"/>
      <c r="V10" s="2"/>
      <c r="W10" s="2" t="s">
        <v>352</v>
      </c>
      <c r="X10" s="2"/>
      <c r="Y10" s="2" t="s">
        <v>352</v>
      </c>
      <c r="Z10" s="2" t="s">
        <v>352</v>
      </c>
      <c r="AA10" s="2" t="s">
        <v>352</v>
      </c>
      <c r="AB10" s="2"/>
      <c r="AC10" s="2" t="s">
        <v>352</v>
      </c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326</v>
      </c>
      <c r="E11" s="54"/>
      <c r="F11" s="2" t="s">
        <v>37</v>
      </c>
      <c r="G11" s="2">
        <f t="shared" si="3"/>
        <v>8</v>
      </c>
      <c r="H11" s="6">
        <f>I11+개인기록Sheet!C11</f>
        <v>14.5</v>
      </c>
      <c r="I11" s="6">
        <f t="shared" si="4"/>
        <v>10</v>
      </c>
      <c r="J11" s="2" t="s">
        <v>352</v>
      </c>
      <c r="K11" s="2"/>
      <c r="L11" s="2" t="s">
        <v>352</v>
      </c>
      <c r="M11" s="2" t="s">
        <v>352</v>
      </c>
      <c r="N11" s="2"/>
      <c r="O11" s="2"/>
      <c r="P11" s="2"/>
      <c r="Q11" s="2" t="s">
        <v>352</v>
      </c>
      <c r="R11" s="2"/>
      <c r="S11" s="2"/>
      <c r="T11" s="2"/>
      <c r="U11" s="2" t="s">
        <v>352</v>
      </c>
      <c r="V11" s="2" t="s">
        <v>352</v>
      </c>
      <c r="W11" s="2"/>
      <c r="X11" s="2"/>
      <c r="Y11" s="2" t="s">
        <v>352</v>
      </c>
      <c r="Z11" s="2"/>
      <c r="AA11" s="2" t="s">
        <v>352</v>
      </c>
      <c r="AB11" s="2" t="s">
        <v>352</v>
      </c>
      <c r="AC11" s="2" t="s">
        <v>352</v>
      </c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327</v>
      </c>
      <c r="C12" s="58">
        <v>2025</v>
      </c>
      <c r="D12" s="54">
        <f t="shared" ref="D12:D15" si="5">COUNTA(L12:AB12)</f>
        <v>1</v>
      </c>
      <c r="E12" s="54"/>
      <c r="F12" s="2" t="s">
        <v>37</v>
      </c>
      <c r="G12" s="2">
        <f t="shared" si="3"/>
        <v>74</v>
      </c>
      <c r="H12" s="6">
        <f>I12+개인기록Sheet!C12</f>
        <v>1</v>
      </c>
      <c r="I12" s="6">
        <f t="shared" si="4"/>
        <v>1</v>
      </c>
      <c r="J12" s="2"/>
      <c r="K12" s="2"/>
      <c r="L12" s="2"/>
      <c r="M12" s="2"/>
      <c r="N12" s="2"/>
      <c r="O12" s="2"/>
      <c r="P12" s="2"/>
      <c r="Q12" s="2" t="s">
        <v>352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5"/>
        <v>0</v>
      </c>
      <c r="E13" s="54"/>
      <c r="F13" s="2" t="s">
        <v>37</v>
      </c>
      <c r="G13" s="2">
        <f t="shared" si="3"/>
        <v>83</v>
      </c>
      <c r="H13" s="6">
        <f>I13+개인기록Sheet!C13</f>
        <v>0</v>
      </c>
      <c r="I13" s="6">
        <f t="shared" si="4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322</v>
      </c>
      <c r="D14" s="54">
        <f t="shared" si="5"/>
        <v>0</v>
      </c>
      <c r="E14" s="54"/>
      <c r="F14" s="2" t="s">
        <v>37</v>
      </c>
      <c r="G14" s="2">
        <f t="shared" si="3"/>
        <v>83</v>
      </c>
      <c r="H14" s="6">
        <f>I14+개인기록Sheet!C14</f>
        <v>0</v>
      </c>
      <c r="I14" s="6">
        <f t="shared" si="4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316</v>
      </c>
      <c r="C15" s="58">
        <v>2025</v>
      </c>
      <c r="D15" s="54">
        <f t="shared" si="5"/>
        <v>0</v>
      </c>
      <c r="E15" s="54"/>
      <c r="F15" s="2" t="s">
        <v>37</v>
      </c>
      <c r="G15" s="2">
        <f t="shared" si="3"/>
        <v>83</v>
      </c>
      <c r="H15" s="6">
        <f>I15+개인기록Sheet!C15</f>
        <v>0</v>
      </c>
      <c r="I15" s="6">
        <f t="shared" si="4"/>
        <v>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326</v>
      </c>
      <c r="E16" s="54"/>
      <c r="F16" s="2" t="s">
        <v>37</v>
      </c>
      <c r="G16" s="2">
        <f t="shared" si="3"/>
        <v>34</v>
      </c>
      <c r="H16" s="6">
        <f>I16+개인기록Sheet!C16</f>
        <v>6.4</v>
      </c>
      <c r="I16" s="6">
        <f t="shared" si="4"/>
        <v>5</v>
      </c>
      <c r="J16" s="2"/>
      <c r="K16" s="2" t="s">
        <v>352</v>
      </c>
      <c r="L16" s="2" t="s">
        <v>352</v>
      </c>
      <c r="M16" s="2"/>
      <c r="N16" s="2"/>
      <c r="O16" s="2" t="s">
        <v>352</v>
      </c>
      <c r="P16" s="2"/>
      <c r="Q16" s="2"/>
      <c r="R16" s="2"/>
      <c r="S16" s="2"/>
      <c r="T16" s="2"/>
      <c r="U16" s="2"/>
      <c r="V16" s="2"/>
      <c r="W16" s="2" t="s">
        <v>352</v>
      </c>
      <c r="X16" s="2" t="s">
        <v>352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344</v>
      </c>
      <c r="C17" s="58">
        <v>2026</v>
      </c>
      <c r="D17" s="54" t="s">
        <v>326</v>
      </c>
      <c r="E17" s="54"/>
      <c r="F17" s="2" t="s">
        <v>37</v>
      </c>
      <c r="G17" s="2">
        <f t="shared" si="3"/>
        <v>6</v>
      </c>
      <c r="H17" s="6">
        <f>I17+개인기록Sheet!C17</f>
        <v>15</v>
      </c>
      <c r="I17" s="6">
        <f t="shared" si="4"/>
        <v>12</v>
      </c>
      <c r="J17" s="2"/>
      <c r="K17" s="2" t="s">
        <v>352</v>
      </c>
      <c r="L17" s="2"/>
      <c r="M17" s="2"/>
      <c r="N17" s="2" t="s">
        <v>352</v>
      </c>
      <c r="O17" s="2"/>
      <c r="P17" s="2" t="s">
        <v>352</v>
      </c>
      <c r="Q17" s="2" t="s">
        <v>352</v>
      </c>
      <c r="R17" s="2" t="s">
        <v>352</v>
      </c>
      <c r="S17" s="2" t="s">
        <v>352</v>
      </c>
      <c r="T17" s="2"/>
      <c r="U17" s="2" t="s">
        <v>352</v>
      </c>
      <c r="V17" s="2"/>
      <c r="W17" s="2" t="s">
        <v>352</v>
      </c>
      <c r="X17" s="2" t="s">
        <v>352</v>
      </c>
      <c r="Y17" s="2"/>
      <c r="Z17" s="2" t="s">
        <v>352</v>
      </c>
      <c r="AA17" s="2" t="s">
        <v>352</v>
      </c>
      <c r="AB17" s="2" t="s">
        <v>352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134</v>
      </c>
      <c r="C18" s="57">
        <v>2023</v>
      </c>
      <c r="D18" s="54" t="s">
        <v>353</v>
      </c>
      <c r="E18" s="54"/>
      <c r="F18" s="2" t="s">
        <v>37</v>
      </c>
      <c r="G18" s="2">
        <f t="shared" si="3"/>
        <v>83</v>
      </c>
      <c r="H18" s="6">
        <f>I18+개인기록Sheet!C18</f>
        <v>0</v>
      </c>
      <c r="I18" s="6">
        <f t="shared" si="4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91</v>
      </c>
      <c r="C19" s="57">
        <v>2022</v>
      </c>
      <c r="D19" s="54" t="s">
        <v>326</v>
      </c>
      <c r="E19" s="54"/>
      <c r="F19" s="2" t="s">
        <v>37</v>
      </c>
      <c r="G19" s="2">
        <f t="shared" si="3"/>
        <v>54</v>
      </c>
      <c r="H19" s="6">
        <f>I19+개인기록Sheet!C19</f>
        <v>4</v>
      </c>
      <c r="I19" s="6">
        <f t="shared" si="4"/>
        <v>4</v>
      </c>
      <c r="J19" s="2" t="s">
        <v>352</v>
      </c>
      <c r="K19" s="2" t="s">
        <v>352</v>
      </c>
      <c r="L19" s="2"/>
      <c r="M19" s="2"/>
      <c r="N19" s="2" t="s">
        <v>352</v>
      </c>
      <c r="O19" s="2" t="s">
        <v>352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139</v>
      </c>
      <c r="C20" s="57">
        <v>2023</v>
      </c>
      <c r="D20" s="54" t="s">
        <v>326</v>
      </c>
      <c r="E20" s="54"/>
      <c r="F20" s="2" t="s">
        <v>37</v>
      </c>
      <c r="G20" s="2">
        <f t="shared" si="3"/>
        <v>63</v>
      </c>
      <c r="H20" s="6">
        <f>I20+개인기록Sheet!C20</f>
        <v>3.2</v>
      </c>
      <c r="I20" s="6">
        <f t="shared" si="4"/>
        <v>3</v>
      </c>
      <c r="J20" s="2"/>
      <c r="K20" s="2" t="s">
        <v>352</v>
      </c>
      <c r="L20" s="2"/>
      <c r="M20" s="2"/>
      <c r="N20" s="2"/>
      <c r="O20" s="2" t="s">
        <v>352</v>
      </c>
      <c r="P20" s="2"/>
      <c r="Q20" s="2" t="s">
        <v>352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125</v>
      </c>
      <c r="C21" s="57">
        <v>2023</v>
      </c>
      <c r="D21" s="54">
        <f t="shared" ref="D21:D23" si="6">COUNTA(L21:AB21)</f>
        <v>0</v>
      </c>
      <c r="E21" s="54"/>
      <c r="F21" s="60"/>
      <c r="G21" s="2">
        <f t="shared" si="3"/>
        <v>83</v>
      </c>
      <c r="H21" s="6">
        <f>I21+개인기록Sheet!C21</f>
        <v>0</v>
      </c>
      <c r="I21" s="6">
        <f t="shared" si="4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240</v>
      </c>
      <c r="C22" s="58">
        <v>2024</v>
      </c>
      <c r="D22" s="54">
        <f t="shared" si="6"/>
        <v>0</v>
      </c>
      <c r="E22" s="54"/>
      <c r="F22" s="2" t="s">
        <v>37</v>
      </c>
      <c r="G22" s="2">
        <f t="shared" si="3"/>
        <v>83</v>
      </c>
      <c r="H22" s="6">
        <f>I22+개인기록Sheet!C22</f>
        <v>0</v>
      </c>
      <c r="I22" s="6">
        <f t="shared" si="4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112</v>
      </c>
      <c r="C23" s="57">
        <v>2022</v>
      </c>
      <c r="D23" s="54">
        <f t="shared" si="6"/>
        <v>0</v>
      </c>
      <c r="E23" s="54"/>
      <c r="F23" s="2" t="s">
        <v>37</v>
      </c>
      <c r="G23" s="2">
        <f t="shared" si="3"/>
        <v>83</v>
      </c>
      <c r="H23" s="6">
        <f>I23+개인기록Sheet!C23</f>
        <v>0</v>
      </c>
      <c r="I23" s="6">
        <f t="shared" si="4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235</v>
      </c>
      <c r="C24" s="58">
        <v>2024</v>
      </c>
      <c r="D24" s="54" t="s">
        <v>326</v>
      </c>
      <c r="E24" s="54"/>
      <c r="F24" s="2" t="s">
        <v>37</v>
      </c>
      <c r="G24" s="2">
        <f t="shared" si="3"/>
        <v>74</v>
      </c>
      <c r="H24" s="6">
        <f>I24+개인기록Sheet!C24</f>
        <v>1</v>
      </c>
      <c r="I24" s="6">
        <f t="shared" si="4"/>
        <v>1</v>
      </c>
      <c r="J24" s="2"/>
      <c r="K24" s="2"/>
      <c r="L24" s="2"/>
      <c r="M24" s="2"/>
      <c r="N24" s="2"/>
      <c r="O24" s="2"/>
      <c r="P24" s="2"/>
      <c r="Q24" s="2"/>
      <c r="R24" s="2"/>
      <c r="S24" s="2" t="s">
        <v>352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14</v>
      </c>
      <c r="C25" s="57" t="s">
        <v>322</v>
      </c>
      <c r="D25" s="54" t="s">
        <v>326</v>
      </c>
      <c r="E25" s="54"/>
      <c r="F25" s="2" t="s">
        <v>37</v>
      </c>
      <c r="G25" s="2">
        <f t="shared" si="3"/>
        <v>45</v>
      </c>
      <c r="H25" s="6">
        <f>I25+개인기록Sheet!C25</f>
        <v>4.8</v>
      </c>
      <c r="I25" s="6">
        <f t="shared" si="4"/>
        <v>4</v>
      </c>
      <c r="J25" s="2"/>
      <c r="K25" s="2"/>
      <c r="L25" s="2" t="s">
        <v>352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 t="s">
        <v>352</v>
      </c>
      <c r="Z25" s="2" t="s">
        <v>352</v>
      </c>
      <c r="AA25" s="2"/>
      <c r="AB25" s="2" t="s">
        <v>352</v>
      </c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135</v>
      </c>
      <c r="C26" s="57">
        <v>2023</v>
      </c>
      <c r="D26" s="54" t="s">
        <v>326</v>
      </c>
      <c r="E26" s="54"/>
      <c r="F26" s="2" t="s">
        <v>37</v>
      </c>
      <c r="G26" s="2">
        <f t="shared" si="3"/>
        <v>22</v>
      </c>
      <c r="H26" s="6">
        <f>I26+개인기록Sheet!C26</f>
        <v>7.8</v>
      </c>
      <c r="I26" s="6">
        <f t="shared" si="4"/>
        <v>6</v>
      </c>
      <c r="J26" s="2"/>
      <c r="K26" s="2" t="s">
        <v>352</v>
      </c>
      <c r="L26" s="2" t="s">
        <v>352</v>
      </c>
      <c r="M26" s="2"/>
      <c r="N26" s="2"/>
      <c r="O26" s="2"/>
      <c r="P26" s="2"/>
      <c r="Q26" s="2"/>
      <c r="R26" s="2"/>
      <c r="S26" s="2" t="s">
        <v>352</v>
      </c>
      <c r="T26" s="2"/>
      <c r="U26" s="2" t="s">
        <v>352</v>
      </c>
      <c r="V26" s="2"/>
      <c r="W26" s="2"/>
      <c r="X26" s="2" t="s">
        <v>352</v>
      </c>
      <c r="Y26" s="2"/>
      <c r="Z26" s="2"/>
      <c r="AA26" s="2"/>
      <c r="AB26" s="2"/>
      <c r="AC26" s="2" t="s">
        <v>352</v>
      </c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202</v>
      </c>
      <c r="C27" s="58">
        <v>2024</v>
      </c>
      <c r="D27" s="54" t="s">
        <v>326</v>
      </c>
      <c r="E27" s="54"/>
      <c r="F27" s="2" t="s">
        <v>37</v>
      </c>
      <c r="G27" s="2">
        <f t="shared" si="3"/>
        <v>1</v>
      </c>
      <c r="H27" s="6">
        <f>I27+개인기록Sheet!C27</f>
        <v>22.6</v>
      </c>
      <c r="I27" s="6">
        <f t="shared" si="4"/>
        <v>15</v>
      </c>
      <c r="J27" s="2"/>
      <c r="K27" s="2" t="s">
        <v>352</v>
      </c>
      <c r="L27" s="2" t="s">
        <v>352</v>
      </c>
      <c r="M27" s="2" t="s">
        <v>352</v>
      </c>
      <c r="N27" s="2" t="s">
        <v>352</v>
      </c>
      <c r="O27" s="2"/>
      <c r="P27" s="2" t="s">
        <v>352</v>
      </c>
      <c r="Q27" s="2" t="s">
        <v>352</v>
      </c>
      <c r="R27" s="2" t="s">
        <v>352</v>
      </c>
      <c r="S27" s="2" t="s">
        <v>352</v>
      </c>
      <c r="T27" s="2"/>
      <c r="U27" s="2" t="s">
        <v>352</v>
      </c>
      <c r="V27" s="2" t="s">
        <v>352</v>
      </c>
      <c r="W27" s="2" t="s">
        <v>352</v>
      </c>
      <c r="X27" s="2" t="s">
        <v>352</v>
      </c>
      <c r="Y27" s="2"/>
      <c r="Z27" s="2" t="s">
        <v>352</v>
      </c>
      <c r="AA27" s="2" t="s">
        <v>352</v>
      </c>
      <c r="AB27" s="2"/>
      <c r="AC27" s="2" t="s">
        <v>352</v>
      </c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64</v>
      </c>
      <c r="C28" s="57" t="s">
        <v>322</v>
      </c>
      <c r="D28" s="54" t="s">
        <v>326</v>
      </c>
      <c r="E28" s="54"/>
      <c r="F28" s="2" t="s">
        <v>37</v>
      </c>
      <c r="G28" s="2">
        <f t="shared" si="3"/>
        <v>23</v>
      </c>
      <c r="H28" s="6">
        <f>I28+개인기록Sheet!C28</f>
        <v>7.6</v>
      </c>
      <c r="I28" s="6">
        <f t="shared" si="4"/>
        <v>5</v>
      </c>
      <c r="J28" s="2"/>
      <c r="K28" s="2"/>
      <c r="L28" s="2" t="s">
        <v>352</v>
      </c>
      <c r="M28" s="2"/>
      <c r="N28" s="2" t="s">
        <v>352</v>
      </c>
      <c r="O28" s="2"/>
      <c r="P28" s="2"/>
      <c r="Q28" s="2"/>
      <c r="R28" s="2"/>
      <c r="S28" s="2"/>
      <c r="T28" s="2"/>
      <c r="U28" s="2" t="s">
        <v>352</v>
      </c>
      <c r="V28" s="2"/>
      <c r="W28" s="2" t="s">
        <v>352</v>
      </c>
      <c r="X28" s="2"/>
      <c r="Y28" s="2"/>
      <c r="Z28" s="2"/>
      <c r="AA28" s="2" t="s">
        <v>352</v>
      </c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162</v>
      </c>
      <c r="C29" s="57">
        <v>2023</v>
      </c>
      <c r="D29" s="54">
        <f>COUNTA(L29:AB29)</f>
        <v>0</v>
      </c>
      <c r="E29" s="54"/>
      <c r="F29" s="2" t="s">
        <v>37</v>
      </c>
      <c r="G29" s="2">
        <f t="shared" si="3"/>
        <v>83</v>
      </c>
      <c r="H29" s="6">
        <f>I29+개인기록Sheet!C29</f>
        <v>0</v>
      </c>
      <c r="I29" s="6">
        <f t="shared" si="4"/>
        <v>0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138</v>
      </c>
      <c r="C30" s="57">
        <v>2023</v>
      </c>
      <c r="D30" s="54" t="s">
        <v>326</v>
      </c>
      <c r="E30" s="54"/>
      <c r="F30" s="2" t="s">
        <v>37</v>
      </c>
      <c r="G30" s="2">
        <f t="shared" si="3"/>
        <v>65</v>
      </c>
      <c r="H30" s="6">
        <f>I30+개인기록Sheet!C30</f>
        <v>3</v>
      </c>
      <c r="I30" s="6">
        <f t="shared" si="4"/>
        <v>3</v>
      </c>
      <c r="J30" s="2"/>
      <c r="K30" s="2" t="s">
        <v>352</v>
      </c>
      <c r="L30" s="2"/>
      <c r="M30" s="2" t="s">
        <v>352</v>
      </c>
      <c r="N30" s="2"/>
      <c r="O30" s="2"/>
      <c r="P30" s="2"/>
      <c r="Q30" s="2" t="s">
        <v>352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53</v>
      </c>
      <c r="C31" s="57" t="s">
        <v>322</v>
      </c>
      <c r="D31" s="54" t="s">
        <v>326</v>
      </c>
      <c r="E31" s="54"/>
      <c r="F31" s="2" t="s">
        <v>37</v>
      </c>
      <c r="G31" s="2">
        <f t="shared" si="3"/>
        <v>14</v>
      </c>
      <c r="H31" s="6">
        <f>I31+개인기록Sheet!C31</f>
        <v>10.9</v>
      </c>
      <c r="I31" s="6">
        <f t="shared" si="4"/>
        <v>8</v>
      </c>
      <c r="J31" s="2"/>
      <c r="K31" s="2" t="s">
        <v>352</v>
      </c>
      <c r="L31" s="2" t="s">
        <v>352</v>
      </c>
      <c r="M31" s="2"/>
      <c r="N31" s="2" t="s">
        <v>352</v>
      </c>
      <c r="O31" s="2"/>
      <c r="P31" s="2"/>
      <c r="Q31" s="2" t="s">
        <v>352</v>
      </c>
      <c r="R31" s="2"/>
      <c r="S31" s="2" t="s">
        <v>352</v>
      </c>
      <c r="T31" s="2" t="s">
        <v>352</v>
      </c>
      <c r="U31" s="2"/>
      <c r="V31" s="2"/>
      <c r="W31" s="2"/>
      <c r="X31" s="2"/>
      <c r="Y31" s="2" t="s">
        <v>352</v>
      </c>
      <c r="Z31" s="2"/>
      <c r="AA31" s="2"/>
      <c r="AB31" s="2"/>
      <c r="AC31" s="2" t="s">
        <v>352</v>
      </c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175</v>
      </c>
      <c r="C32" s="57">
        <v>2023</v>
      </c>
      <c r="D32" s="54" t="s">
        <v>326</v>
      </c>
      <c r="E32" s="54"/>
      <c r="F32" s="2" t="s">
        <v>37</v>
      </c>
      <c r="G32" s="2">
        <f t="shared" si="3"/>
        <v>5</v>
      </c>
      <c r="H32" s="6">
        <f>I32+개인기록Sheet!C32</f>
        <v>15.6</v>
      </c>
      <c r="I32" s="6">
        <f t="shared" si="4"/>
        <v>13</v>
      </c>
      <c r="J32" s="2" t="s">
        <v>352</v>
      </c>
      <c r="K32" s="2" t="s">
        <v>352</v>
      </c>
      <c r="L32" s="2"/>
      <c r="M32" s="2" t="s">
        <v>352</v>
      </c>
      <c r="N32" s="2" t="s">
        <v>352</v>
      </c>
      <c r="O32" s="2" t="s">
        <v>352</v>
      </c>
      <c r="P32" s="2"/>
      <c r="Q32" s="2"/>
      <c r="R32" s="2" t="s">
        <v>352</v>
      </c>
      <c r="S32" s="2" t="s">
        <v>352</v>
      </c>
      <c r="T32" s="2"/>
      <c r="U32" s="2" t="s">
        <v>352</v>
      </c>
      <c r="V32" s="2"/>
      <c r="W32" s="2" t="s">
        <v>352</v>
      </c>
      <c r="X32" s="2"/>
      <c r="Y32" s="2" t="s">
        <v>352</v>
      </c>
      <c r="Z32" s="2" t="s">
        <v>352</v>
      </c>
      <c r="AA32" s="2"/>
      <c r="AB32" s="2" t="s">
        <v>352</v>
      </c>
      <c r="AC32" s="2" t="s">
        <v>352</v>
      </c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55</v>
      </c>
      <c r="C33" s="57" t="s">
        <v>322</v>
      </c>
      <c r="D33" s="54" t="s">
        <v>326</v>
      </c>
      <c r="E33" s="54"/>
      <c r="F33" s="2" t="s">
        <v>37</v>
      </c>
      <c r="G33" s="2">
        <f t="shared" si="3"/>
        <v>26</v>
      </c>
      <c r="H33" s="6">
        <f>I33+개인기록Sheet!C33</f>
        <v>7.2</v>
      </c>
      <c r="I33" s="6">
        <f t="shared" si="4"/>
        <v>7</v>
      </c>
      <c r="J33" s="2"/>
      <c r="K33" s="2" t="s">
        <v>352</v>
      </c>
      <c r="L33" s="2" t="s">
        <v>352</v>
      </c>
      <c r="M33" s="2" t="s">
        <v>352</v>
      </c>
      <c r="N33" s="2" t="s">
        <v>352</v>
      </c>
      <c r="O33" s="2" t="s">
        <v>352</v>
      </c>
      <c r="P33" s="2"/>
      <c r="Q33" s="2"/>
      <c r="R33" s="2"/>
      <c r="S33" s="2"/>
      <c r="T33" s="2"/>
      <c r="U33" s="2"/>
      <c r="V33" s="2"/>
      <c r="W33" s="2"/>
      <c r="X33" s="2"/>
      <c r="Y33" s="2" t="s">
        <v>352</v>
      </c>
      <c r="Z33" s="2"/>
      <c r="AA33" s="2"/>
      <c r="AB33" s="2"/>
      <c r="AC33" s="2" t="s">
        <v>352</v>
      </c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312</v>
      </c>
      <c r="C34" s="58">
        <v>2025</v>
      </c>
      <c r="D34" s="54" t="s">
        <v>326</v>
      </c>
      <c r="E34" s="54"/>
      <c r="F34" s="2" t="s">
        <v>37</v>
      </c>
      <c r="G34" s="2">
        <f t="shared" si="3"/>
        <v>19</v>
      </c>
      <c r="H34" s="6">
        <f>I34+개인기록Sheet!C34</f>
        <v>9.1999999999999993</v>
      </c>
      <c r="I34" s="6">
        <f t="shared" si="4"/>
        <v>8</v>
      </c>
      <c r="J34" s="2"/>
      <c r="K34" s="2" t="s">
        <v>352</v>
      </c>
      <c r="L34" s="2"/>
      <c r="M34" s="2" t="s">
        <v>352</v>
      </c>
      <c r="N34" s="2" t="s">
        <v>352</v>
      </c>
      <c r="O34" s="2" t="s">
        <v>352</v>
      </c>
      <c r="P34" s="2" t="s">
        <v>352</v>
      </c>
      <c r="Q34" s="2" t="s">
        <v>352</v>
      </c>
      <c r="R34" s="2"/>
      <c r="S34" s="2"/>
      <c r="T34" s="2"/>
      <c r="U34" s="2"/>
      <c r="V34" s="2"/>
      <c r="W34" s="2"/>
      <c r="X34" s="2"/>
      <c r="Y34" s="2"/>
      <c r="Z34" s="2" t="s">
        <v>352</v>
      </c>
      <c r="AA34" s="2"/>
      <c r="AB34" s="2" t="s">
        <v>352</v>
      </c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320</v>
      </c>
      <c r="C35" s="58">
        <v>2025</v>
      </c>
      <c r="D35" s="54">
        <f t="shared" ref="D35:D36" si="7">COUNTA(L35:AB35)</f>
        <v>0</v>
      </c>
      <c r="E35" s="54"/>
      <c r="F35" s="2" t="s">
        <v>37</v>
      </c>
      <c r="G35" s="2">
        <f t="shared" si="3"/>
        <v>83</v>
      </c>
      <c r="H35" s="6">
        <f>I35+개인기록Sheet!C35</f>
        <v>0</v>
      </c>
      <c r="I35" s="6">
        <f t="shared" si="4"/>
        <v>0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345</v>
      </c>
      <c r="C36" s="58">
        <v>2025</v>
      </c>
      <c r="D36" s="54">
        <f t="shared" si="7"/>
        <v>0</v>
      </c>
      <c r="E36" s="54"/>
      <c r="F36" s="2" t="s">
        <v>37</v>
      </c>
      <c r="G36" s="2">
        <f t="shared" si="3"/>
        <v>83</v>
      </c>
      <c r="H36" s="6">
        <f>I36+개인기록Sheet!C36</f>
        <v>0</v>
      </c>
      <c r="I36" s="6">
        <f t="shared" si="4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311</v>
      </c>
      <c r="C37" s="58">
        <v>2025</v>
      </c>
      <c r="D37" s="54" t="s">
        <v>326</v>
      </c>
      <c r="E37" s="54"/>
      <c r="F37" s="2" t="s">
        <v>37</v>
      </c>
      <c r="G37" s="2">
        <f t="shared" si="3"/>
        <v>3</v>
      </c>
      <c r="H37" s="6">
        <f>I37+개인기록Sheet!C37</f>
        <v>17.600000000000001</v>
      </c>
      <c r="I37" s="6">
        <f t="shared" si="4"/>
        <v>12</v>
      </c>
      <c r="J37" s="2"/>
      <c r="K37" s="2" t="s">
        <v>352</v>
      </c>
      <c r="L37" s="2" t="s">
        <v>352</v>
      </c>
      <c r="M37" s="2"/>
      <c r="N37" s="2" t="s">
        <v>352</v>
      </c>
      <c r="O37" s="2"/>
      <c r="P37" s="2"/>
      <c r="Q37" s="2" t="s">
        <v>352</v>
      </c>
      <c r="R37" s="2"/>
      <c r="S37" s="2" t="s">
        <v>352</v>
      </c>
      <c r="T37" s="2"/>
      <c r="U37" s="2" t="s">
        <v>352</v>
      </c>
      <c r="V37" s="2"/>
      <c r="W37" s="2" t="s">
        <v>352</v>
      </c>
      <c r="X37" s="2" t="s">
        <v>352</v>
      </c>
      <c r="Y37" s="2"/>
      <c r="Z37" s="2" t="s">
        <v>352</v>
      </c>
      <c r="AA37" s="2" t="s">
        <v>352</v>
      </c>
      <c r="AB37" s="2" t="s">
        <v>352</v>
      </c>
      <c r="AC37" s="2" t="s">
        <v>352</v>
      </c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164</v>
      </c>
      <c r="C38" s="57">
        <v>2023</v>
      </c>
      <c r="D38" s="54" t="s">
        <v>326</v>
      </c>
      <c r="E38" s="54"/>
      <c r="F38" s="2" t="s">
        <v>37</v>
      </c>
      <c r="G38" s="2">
        <f t="shared" si="3"/>
        <v>49</v>
      </c>
      <c r="H38" s="6">
        <f>I38+개인기록Sheet!C38</f>
        <v>4.4000000000000004</v>
      </c>
      <c r="I38" s="6">
        <f t="shared" si="4"/>
        <v>4</v>
      </c>
      <c r="J38" s="2"/>
      <c r="K38" s="2" t="s">
        <v>352</v>
      </c>
      <c r="L38" s="2"/>
      <c r="M38" s="2"/>
      <c r="N38" s="2" t="s">
        <v>352</v>
      </c>
      <c r="O38" s="2"/>
      <c r="P38" s="2"/>
      <c r="Q38" s="2"/>
      <c r="R38" s="2"/>
      <c r="S38" s="2"/>
      <c r="T38" s="2"/>
      <c r="U38" s="2" t="s">
        <v>352</v>
      </c>
      <c r="V38" s="2"/>
      <c r="W38" s="2"/>
      <c r="X38" s="2"/>
      <c r="Y38" s="2"/>
      <c r="Z38" s="2" t="s">
        <v>352</v>
      </c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323</v>
      </c>
      <c r="C39" s="58">
        <v>2025</v>
      </c>
      <c r="D39" s="54">
        <f>COUNTA(L39:AB39)</f>
        <v>0</v>
      </c>
      <c r="E39" s="54"/>
      <c r="F39" s="2" t="s">
        <v>37</v>
      </c>
      <c r="G39" s="2">
        <f t="shared" si="3"/>
        <v>83</v>
      </c>
      <c r="H39" s="6">
        <f>I39+개인기록Sheet!C39</f>
        <v>0</v>
      </c>
      <c r="I39" s="6">
        <f t="shared" si="4"/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302</v>
      </c>
      <c r="C40" s="58">
        <v>2025</v>
      </c>
      <c r="D40" s="54" t="s">
        <v>326</v>
      </c>
      <c r="E40" s="54"/>
      <c r="F40" s="2" t="s">
        <v>37</v>
      </c>
      <c r="G40" s="2">
        <f t="shared" si="3"/>
        <v>74</v>
      </c>
      <c r="H40" s="6">
        <f>I40+개인기록Sheet!C40</f>
        <v>1</v>
      </c>
      <c r="I40" s="6">
        <f t="shared" si="4"/>
        <v>1</v>
      </c>
      <c r="J40" s="2"/>
      <c r="K40" s="2"/>
      <c r="L40" s="2"/>
      <c r="M40" s="2"/>
      <c r="N40" s="2"/>
      <c r="O40" s="2"/>
      <c r="P40" s="2"/>
      <c r="Q40" s="2" t="s">
        <v>352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36</v>
      </c>
      <c r="C41" s="57" t="s">
        <v>322</v>
      </c>
      <c r="D41" s="54">
        <f t="shared" ref="D41:D42" si="8">COUNTA(L41:AB41)</f>
        <v>0</v>
      </c>
      <c r="E41" s="54"/>
      <c r="F41" s="2" t="s">
        <v>37</v>
      </c>
      <c r="G41" s="2">
        <f t="shared" si="3"/>
        <v>83</v>
      </c>
      <c r="H41" s="6">
        <f>I41+개인기록Sheet!C41</f>
        <v>0</v>
      </c>
      <c r="I41" s="6">
        <f t="shared" si="4"/>
        <v>0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219</v>
      </c>
      <c r="C42" s="58">
        <v>2024</v>
      </c>
      <c r="D42" s="54">
        <f t="shared" si="8"/>
        <v>0</v>
      </c>
      <c r="E42" s="54"/>
      <c r="F42" s="2" t="s">
        <v>37</v>
      </c>
      <c r="G42" s="2">
        <f t="shared" si="3"/>
        <v>83</v>
      </c>
      <c r="H42" s="6">
        <f>I42+개인기록Sheet!C42</f>
        <v>0</v>
      </c>
      <c r="I42" s="6">
        <f t="shared" si="4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106</v>
      </c>
      <c r="C43" s="57">
        <v>2022</v>
      </c>
      <c r="D43" s="54" t="s">
        <v>326</v>
      </c>
      <c r="E43" s="54"/>
      <c r="F43" s="2" t="s">
        <v>37</v>
      </c>
      <c r="G43" s="2">
        <f t="shared" si="3"/>
        <v>74</v>
      </c>
      <c r="H43" s="6">
        <f>I43+개인기록Sheet!C43</f>
        <v>1</v>
      </c>
      <c r="I43" s="6">
        <f t="shared" si="4"/>
        <v>1</v>
      </c>
      <c r="J43" s="2"/>
      <c r="K43" s="2" t="s">
        <v>352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182</v>
      </c>
      <c r="C44" s="57">
        <v>2023</v>
      </c>
      <c r="D44" s="54" t="s">
        <v>326</v>
      </c>
      <c r="E44" s="54"/>
      <c r="F44" s="2" t="s">
        <v>37</v>
      </c>
      <c r="G44" s="2">
        <f t="shared" si="3"/>
        <v>9</v>
      </c>
      <c r="H44" s="6">
        <f>I44+개인기록Sheet!C44</f>
        <v>14.2</v>
      </c>
      <c r="I44" s="6">
        <f t="shared" si="4"/>
        <v>11</v>
      </c>
      <c r="J44" s="2"/>
      <c r="K44" s="2" t="s">
        <v>352</v>
      </c>
      <c r="L44" s="2"/>
      <c r="M44" s="2"/>
      <c r="N44" s="2" t="s">
        <v>352</v>
      </c>
      <c r="O44" s="2" t="s">
        <v>352</v>
      </c>
      <c r="P44" s="2" t="s">
        <v>352</v>
      </c>
      <c r="Q44" s="2" t="s">
        <v>352</v>
      </c>
      <c r="R44" s="2"/>
      <c r="S44" s="2" t="s">
        <v>352</v>
      </c>
      <c r="T44" s="2"/>
      <c r="U44" s="2" t="s">
        <v>352</v>
      </c>
      <c r="V44" s="2" t="s">
        <v>352</v>
      </c>
      <c r="W44" s="2"/>
      <c r="X44" s="2" t="s">
        <v>352</v>
      </c>
      <c r="Y44" s="2"/>
      <c r="Z44" s="2"/>
      <c r="AA44" s="2"/>
      <c r="AB44" s="2" t="s">
        <v>352</v>
      </c>
      <c r="AC44" s="2" t="s">
        <v>352</v>
      </c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371</v>
      </c>
      <c r="C45" s="58">
        <v>2026</v>
      </c>
      <c r="D45" s="54">
        <f>COUNTA(L45:AB45)</f>
        <v>3</v>
      </c>
      <c r="E45" s="54"/>
      <c r="F45" s="2" t="s">
        <v>37</v>
      </c>
      <c r="G45" s="2">
        <f t="shared" si="3"/>
        <v>63</v>
      </c>
      <c r="H45" s="6">
        <f>I45+개인기록Sheet!C45</f>
        <v>3.2</v>
      </c>
      <c r="I45" s="6">
        <f t="shared" si="4"/>
        <v>3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 t="s">
        <v>352</v>
      </c>
      <c r="U45" s="2"/>
      <c r="V45" s="2"/>
      <c r="W45" s="2" t="s">
        <v>352</v>
      </c>
      <c r="X45" s="2"/>
      <c r="Y45" s="2"/>
      <c r="Z45" s="2" t="s">
        <v>352</v>
      </c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220</v>
      </c>
      <c r="C46" s="58">
        <v>2024</v>
      </c>
      <c r="D46" s="54">
        <f t="shared" ref="D46:D47" si="9">COUNTA(L46:AB46)</f>
        <v>0</v>
      </c>
      <c r="E46" s="54"/>
      <c r="F46" s="2" t="s">
        <v>37</v>
      </c>
      <c r="G46" s="2">
        <f t="shared" si="3"/>
        <v>83</v>
      </c>
      <c r="H46" s="6">
        <f>I46+개인기록Sheet!C46</f>
        <v>0</v>
      </c>
      <c r="I46" s="6">
        <f t="shared" si="4"/>
        <v>0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346</v>
      </c>
      <c r="C47" s="58">
        <v>2026</v>
      </c>
      <c r="D47" s="54">
        <f t="shared" si="9"/>
        <v>0</v>
      </c>
      <c r="E47" s="54"/>
      <c r="F47" s="60"/>
      <c r="G47" s="2">
        <f t="shared" si="3"/>
        <v>83</v>
      </c>
      <c r="H47" s="6">
        <f>I47+개인기록Sheet!C47</f>
        <v>0</v>
      </c>
      <c r="I47" s="6">
        <f t="shared" si="4"/>
        <v>0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118</v>
      </c>
      <c r="C48" s="57">
        <v>2022</v>
      </c>
      <c r="D48" s="54" t="s">
        <v>326</v>
      </c>
      <c r="E48" s="54"/>
      <c r="F48" s="2" t="s">
        <v>37</v>
      </c>
      <c r="G48" s="2">
        <f t="shared" si="3"/>
        <v>15</v>
      </c>
      <c r="H48" s="6">
        <f>I48+개인기록Sheet!C48</f>
        <v>10.8</v>
      </c>
      <c r="I48" s="6">
        <f t="shared" si="4"/>
        <v>9</v>
      </c>
      <c r="J48" s="2"/>
      <c r="K48" s="2" t="s">
        <v>352</v>
      </c>
      <c r="L48" s="2"/>
      <c r="M48" s="2" t="s">
        <v>352</v>
      </c>
      <c r="N48" s="2"/>
      <c r="O48" s="2" t="s">
        <v>352</v>
      </c>
      <c r="P48" s="2"/>
      <c r="Q48" s="2"/>
      <c r="R48" s="2"/>
      <c r="S48" s="2" t="s">
        <v>352</v>
      </c>
      <c r="T48" s="2"/>
      <c r="U48" s="2" t="s">
        <v>352</v>
      </c>
      <c r="V48" s="2" t="s">
        <v>352</v>
      </c>
      <c r="W48" s="2"/>
      <c r="X48" s="2"/>
      <c r="Y48" s="2" t="s">
        <v>352</v>
      </c>
      <c r="Z48" s="2"/>
      <c r="AA48" s="2" t="s">
        <v>352</v>
      </c>
      <c r="AB48" s="2"/>
      <c r="AC48" s="2" t="s">
        <v>352</v>
      </c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120</v>
      </c>
      <c r="C49" s="57">
        <v>2022</v>
      </c>
      <c r="D49" s="54">
        <f t="shared" ref="D49:D51" si="10">COUNTA(L49:AB49)</f>
        <v>0</v>
      </c>
      <c r="E49" s="54"/>
      <c r="F49" s="2" t="s">
        <v>37</v>
      </c>
      <c r="G49" s="2">
        <f t="shared" si="3"/>
        <v>83</v>
      </c>
      <c r="H49" s="6">
        <f>I49+개인기록Sheet!C49</f>
        <v>0</v>
      </c>
      <c r="I49" s="6">
        <f t="shared" si="4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347</v>
      </c>
      <c r="C50" s="58">
        <v>2025</v>
      </c>
      <c r="D50" s="54">
        <f t="shared" si="10"/>
        <v>0</v>
      </c>
      <c r="E50" s="54"/>
      <c r="F50" s="2" t="s">
        <v>37</v>
      </c>
      <c r="G50" s="2">
        <f t="shared" si="3"/>
        <v>83</v>
      </c>
      <c r="H50" s="6">
        <f>I50+개인기록Sheet!C50</f>
        <v>0</v>
      </c>
      <c r="I50" s="6">
        <f t="shared" si="4"/>
        <v>0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117</v>
      </c>
      <c r="C51" s="57">
        <v>2022</v>
      </c>
      <c r="D51" s="54">
        <f t="shared" si="10"/>
        <v>0</v>
      </c>
      <c r="E51" s="54"/>
      <c r="F51" s="2" t="s">
        <v>37</v>
      </c>
      <c r="G51" s="2">
        <f t="shared" si="3"/>
        <v>83</v>
      </c>
      <c r="H51" s="6">
        <f>I51+개인기록Sheet!C51</f>
        <v>0</v>
      </c>
      <c r="I51" s="6">
        <f t="shared" si="4"/>
        <v>0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136</v>
      </c>
      <c r="C52" s="57">
        <v>2023</v>
      </c>
      <c r="D52" s="54" t="s">
        <v>326</v>
      </c>
      <c r="E52" s="54"/>
      <c r="F52" s="2" t="s">
        <v>37</v>
      </c>
      <c r="G52" s="2">
        <f t="shared" si="3"/>
        <v>15</v>
      </c>
      <c r="H52" s="6">
        <f>I52+개인기록Sheet!C52</f>
        <v>10.8</v>
      </c>
      <c r="I52" s="6">
        <f t="shared" si="4"/>
        <v>9</v>
      </c>
      <c r="J52" s="2"/>
      <c r="K52" s="2" t="s">
        <v>352</v>
      </c>
      <c r="L52" s="2"/>
      <c r="M52" s="2"/>
      <c r="N52" s="2"/>
      <c r="O52" s="2" t="s">
        <v>352</v>
      </c>
      <c r="P52" s="2" t="s">
        <v>352</v>
      </c>
      <c r="Q52" s="2" t="s">
        <v>352</v>
      </c>
      <c r="R52" s="2"/>
      <c r="S52" s="2"/>
      <c r="T52" s="2" t="s">
        <v>352</v>
      </c>
      <c r="U52" s="2" t="s">
        <v>352</v>
      </c>
      <c r="V52" s="2"/>
      <c r="W52" s="2"/>
      <c r="X52" s="2"/>
      <c r="Y52" s="2" t="s">
        <v>352</v>
      </c>
      <c r="Z52" s="2"/>
      <c r="AA52" s="2" t="s">
        <v>352</v>
      </c>
      <c r="AB52" s="2" t="s">
        <v>352</v>
      </c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201</v>
      </c>
      <c r="C53" s="57">
        <v>2023</v>
      </c>
      <c r="D53" s="54">
        <f t="shared" ref="D53:D57" si="11">COUNTA(L53:AB53)</f>
        <v>0</v>
      </c>
      <c r="E53" s="54"/>
      <c r="F53" s="2" t="s">
        <v>37</v>
      </c>
      <c r="G53" s="2">
        <f t="shared" si="3"/>
        <v>83</v>
      </c>
      <c r="H53" s="6">
        <f>I53+개인기록Sheet!C53</f>
        <v>0</v>
      </c>
      <c r="I53" s="6">
        <f t="shared" si="4"/>
        <v>0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376</v>
      </c>
      <c r="C54" s="58">
        <v>2026</v>
      </c>
      <c r="D54" s="54">
        <f>COUNTA(L54:AB54)</f>
        <v>2</v>
      </c>
      <c r="E54" s="54"/>
      <c r="F54" s="2" t="s">
        <v>37</v>
      </c>
      <c r="G54" s="2">
        <f t="shared" si="3"/>
        <v>70</v>
      </c>
      <c r="H54" s="6">
        <f>I54+개인기록Sheet!C54</f>
        <v>2.2000000000000002</v>
      </c>
      <c r="I54" s="6">
        <f t="shared" si="4"/>
        <v>2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 t="s">
        <v>352</v>
      </c>
      <c r="V54" s="2" t="s">
        <v>352</v>
      </c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366</v>
      </c>
      <c r="C55" s="58">
        <v>2026</v>
      </c>
      <c r="D55" s="54" t="s">
        <v>227</v>
      </c>
      <c r="E55" s="54"/>
      <c r="F55" s="2" t="s">
        <v>37</v>
      </c>
      <c r="G55" s="2">
        <f t="shared" si="3"/>
        <v>41</v>
      </c>
      <c r="H55" s="6">
        <f>I55+개인기록Sheet!C55</f>
        <v>5.4</v>
      </c>
      <c r="I55" s="6">
        <f t="shared" si="4"/>
        <v>5</v>
      </c>
      <c r="J55" s="2"/>
      <c r="K55" s="2"/>
      <c r="L55" s="2"/>
      <c r="M55" s="2"/>
      <c r="N55" s="2"/>
      <c r="O55" s="2"/>
      <c r="P55" s="2"/>
      <c r="Q55" s="2"/>
      <c r="R55" s="2" t="s">
        <v>352</v>
      </c>
      <c r="S55" s="2" t="s">
        <v>352</v>
      </c>
      <c r="T55" s="2"/>
      <c r="U55" s="2" t="s">
        <v>352</v>
      </c>
      <c r="V55" s="2"/>
      <c r="W55" s="2"/>
      <c r="X55" s="2"/>
      <c r="Y55" s="2" t="s">
        <v>352</v>
      </c>
      <c r="Z55" s="2" t="s">
        <v>352</v>
      </c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133</v>
      </c>
      <c r="C56" s="57">
        <v>2023</v>
      </c>
      <c r="D56" s="54">
        <f t="shared" si="11"/>
        <v>0</v>
      </c>
      <c r="E56" s="54"/>
      <c r="F56" s="2" t="s">
        <v>37</v>
      </c>
      <c r="G56" s="2">
        <f t="shared" si="3"/>
        <v>83</v>
      </c>
      <c r="H56" s="6">
        <f>I56+개인기록Sheet!C56</f>
        <v>0</v>
      </c>
      <c r="I56" s="6">
        <f t="shared" si="4"/>
        <v>0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38</v>
      </c>
      <c r="C57" s="57">
        <v>2022</v>
      </c>
      <c r="D57" s="54">
        <f t="shared" si="11"/>
        <v>0</v>
      </c>
      <c r="E57" s="54"/>
      <c r="F57" s="2" t="s">
        <v>37</v>
      </c>
      <c r="G57" s="2">
        <f t="shared" si="3"/>
        <v>83</v>
      </c>
      <c r="H57" s="6">
        <f>I57+개인기록Sheet!C57</f>
        <v>0</v>
      </c>
      <c r="I57" s="6">
        <f t="shared" si="4"/>
        <v>0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131</v>
      </c>
      <c r="C58" s="57">
        <v>2023</v>
      </c>
      <c r="D58" s="54" t="s">
        <v>326</v>
      </c>
      <c r="E58" s="54"/>
      <c r="F58" s="2" t="s">
        <v>37</v>
      </c>
      <c r="G58" s="2">
        <f t="shared" si="3"/>
        <v>13</v>
      </c>
      <c r="H58" s="6">
        <f>I58+개인기록Sheet!C58</f>
        <v>11</v>
      </c>
      <c r="I58" s="6">
        <f t="shared" si="4"/>
        <v>9</v>
      </c>
      <c r="J58" s="2"/>
      <c r="K58" s="2" t="s">
        <v>352</v>
      </c>
      <c r="L58" s="2"/>
      <c r="M58" s="2"/>
      <c r="N58" s="2"/>
      <c r="O58" s="2"/>
      <c r="P58" s="2"/>
      <c r="Q58" s="2"/>
      <c r="R58" s="2"/>
      <c r="S58" s="2" t="s">
        <v>352</v>
      </c>
      <c r="T58" s="2" t="s">
        <v>352</v>
      </c>
      <c r="U58" s="2" t="s">
        <v>352</v>
      </c>
      <c r="V58" s="2" t="s">
        <v>352</v>
      </c>
      <c r="W58" s="2"/>
      <c r="X58" s="2" t="s">
        <v>352</v>
      </c>
      <c r="Y58" s="2" t="s">
        <v>352</v>
      </c>
      <c r="Z58" s="2" t="s">
        <v>352</v>
      </c>
      <c r="AA58" s="2"/>
      <c r="AB58" s="2" t="s">
        <v>352</v>
      </c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308</v>
      </c>
      <c r="C59" s="58">
        <v>2025</v>
      </c>
      <c r="D59" s="54" t="s">
        <v>326</v>
      </c>
      <c r="E59" s="54"/>
      <c r="F59" s="2" t="s">
        <v>37</v>
      </c>
      <c r="G59" s="2">
        <f t="shared" si="3"/>
        <v>67</v>
      </c>
      <c r="H59" s="6">
        <f>I59+개인기록Sheet!C59</f>
        <v>2.6</v>
      </c>
      <c r="I59" s="6">
        <f t="shared" si="4"/>
        <v>2</v>
      </c>
      <c r="J59" s="2" t="s">
        <v>352</v>
      </c>
      <c r="K59" s="2"/>
      <c r="L59" s="2"/>
      <c r="M59" s="2"/>
      <c r="N59" s="2"/>
      <c r="O59" s="2"/>
      <c r="P59" s="2" t="s">
        <v>352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348</v>
      </c>
      <c r="C60" s="58">
        <v>2025</v>
      </c>
      <c r="D60" s="54" t="s">
        <v>227</v>
      </c>
      <c r="E60" s="54"/>
      <c r="F60" s="2" t="s">
        <v>37</v>
      </c>
      <c r="G60" s="2">
        <f t="shared" si="3"/>
        <v>21</v>
      </c>
      <c r="H60" s="6">
        <f>I60+개인기록Sheet!C60</f>
        <v>7.9</v>
      </c>
      <c r="I60" s="6">
        <f t="shared" si="4"/>
        <v>6</v>
      </c>
      <c r="J60" s="2"/>
      <c r="K60" s="2"/>
      <c r="L60" s="2"/>
      <c r="M60" s="2" t="s">
        <v>352</v>
      </c>
      <c r="N60" s="2"/>
      <c r="O60" s="2"/>
      <c r="P60" s="2"/>
      <c r="Q60" s="2"/>
      <c r="R60" s="2" t="s">
        <v>352</v>
      </c>
      <c r="S60" s="2"/>
      <c r="T60" s="2" t="s">
        <v>352</v>
      </c>
      <c r="U60" s="2"/>
      <c r="V60" s="2" t="s">
        <v>352</v>
      </c>
      <c r="W60" s="2" t="s">
        <v>352</v>
      </c>
      <c r="X60" s="2" t="s">
        <v>352</v>
      </c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296</v>
      </c>
      <c r="C61" s="58">
        <v>2024</v>
      </c>
      <c r="D61" s="54">
        <f t="shared" ref="D61" si="12">COUNTA(L61:AB61)</f>
        <v>0</v>
      </c>
      <c r="E61" s="54"/>
      <c r="F61" s="2" t="s">
        <v>37</v>
      </c>
      <c r="G61" s="2">
        <f t="shared" si="3"/>
        <v>83</v>
      </c>
      <c r="H61" s="6">
        <f>I61+개인기록Sheet!C61</f>
        <v>0</v>
      </c>
      <c r="I61" s="6">
        <f t="shared" si="4"/>
        <v>0</v>
      </c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99</v>
      </c>
      <c r="C62" s="57">
        <v>2022</v>
      </c>
      <c r="D62" s="54" t="s">
        <v>326</v>
      </c>
      <c r="E62" s="54"/>
      <c r="F62" s="2" t="s">
        <v>37</v>
      </c>
      <c r="G62" s="2">
        <f t="shared" si="3"/>
        <v>74</v>
      </c>
      <c r="H62" s="6">
        <f>I62+개인기록Sheet!C62</f>
        <v>1</v>
      </c>
      <c r="I62" s="6">
        <f t="shared" si="4"/>
        <v>1</v>
      </c>
      <c r="J62" s="2"/>
      <c r="K62" s="2" t="s">
        <v>352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301</v>
      </c>
      <c r="C63" s="58">
        <v>2025</v>
      </c>
      <c r="D63" s="54" t="s">
        <v>326</v>
      </c>
      <c r="E63" s="54"/>
      <c r="F63" s="2" t="s">
        <v>37</v>
      </c>
      <c r="G63" s="2">
        <f t="shared" si="3"/>
        <v>32</v>
      </c>
      <c r="H63" s="6">
        <f>I63+개인기록Sheet!C63</f>
        <v>6.5</v>
      </c>
      <c r="I63" s="6">
        <f t="shared" si="4"/>
        <v>6</v>
      </c>
      <c r="J63" s="2" t="s">
        <v>352</v>
      </c>
      <c r="K63" s="2" t="s">
        <v>352</v>
      </c>
      <c r="L63" s="2" t="s">
        <v>352</v>
      </c>
      <c r="M63" s="2" t="s">
        <v>352</v>
      </c>
      <c r="N63" s="2"/>
      <c r="O63" s="2" t="s">
        <v>352</v>
      </c>
      <c r="P63" s="2"/>
      <c r="Q63" s="2" t="s">
        <v>352</v>
      </c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367</v>
      </c>
      <c r="C64" s="58">
        <v>2026</v>
      </c>
      <c r="D64" s="54">
        <f>COUNTA(L64:AB64)</f>
        <v>4</v>
      </c>
      <c r="E64" s="54"/>
      <c r="F64" s="2" t="s">
        <v>37</v>
      </c>
      <c r="G64" s="2">
        <f t="shared" si="3"/>
        <v>35</v>
      </c>
      <c r="H64" s="6">
        <f>I64+개인기록Sheet!C64</f>
        <v>6.1</v>
      </c>
      <c r="I64" s="6">
        <f t="shared" si="4"/>
        <v>4</v>
      </c>
      <c r="J64" s="2"/>
      <c r="K64" s="2"/>
      <c r="L64" s="2"/>
      <c r="M64" s="2"/>
      <c r="N64" s="2"/>
      <c r="O64" s="2"/>
      <c r="P64" s="2"/>
      <c r="Q64" s="2"/>
      <c r="R64" s="2" t="s">
        <v>352</v>
      </c>
      <c r="S64" s="2" t="s">
        <v>352</v>
      </c>
      <c r="T64" s="2"/>
      <c r="U64" s="2"/>
      <c r="V64" s="2"/>
      <c r="W64" s="2"/>
      <c r="X64" s="2" t="s">
        <v>352</v>
      </c>
      <c r="Y64" s="2" t="s">
        <v>352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365</v>
      </c>
      <c r="C65" s="58">
        <v>2026</v>
      </c>
      <c r="D65" s="54">
        <f>COUNTA(L65:AB65)</f>
        <v>4</v>
      </c>
      <c r="E65" s="54"/>
      <c r="F65" s="2" t="s">
        <v>37</v>
      </c>
      <c r="G65" s="2">
        <f t="shared" si="3"/>
        <v>52</v>
      </c>
      <c r="H65" s="6">
        <f>I65+개인기록Sheet!C65</f>
        <v>4.3</v>
      </c>
      <c r="I65" s="6">
        <f t="shared" si="4"/>
        <v>4</v>
      </c>
      <c r="J65" s="2"/>
      <c r="K65" s="2"/>
      <c r="L65" s="2"/>
      <c r="M65" s="2"/>
      <c r="N65" s="2"/>
      <c r="O65" s="2"/>
      <c r="P65" s="2"/>
      <c r="Q65" s="2"/>
      <c r="R65" s="2" t="s">
        <v>352</v>
      </c>
      <c r="S65" s="2" t="s">
        <v>352</v>
      </c>
      <c r="T65" s="2"/>
      <c r="U65" s="2" t="s">
        <v>352</v>
      </c>
      <c r="V65" s="2"/>
      <c r="W65" s="2"/>
      <c r="X65" s="2"/>
      <c r="Y65" s="2" t="s">
        <v>352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110</v>
      </c>
      <c r="C66" s="57">
        <v>2022</v>
      </c>
      <c r="D66" s="54" t="s">
        <v>326</v>
      </c>
      <c r="E66" s="54"/>
      <c r="F66" s="2" t="s">
        <v>37</v>
      </c>
      <c r="G66" s="2">
        <f t="shared" si="3"/>
        <v>32</v>
      </c>
      <c r="H66" s="6">
        <f>I66+개인기록Sheet!C66</f>
        <v>6.5</v>
      </c>
      <c r="I66" s="6">
        <f t="shared" si="4"/>
        <v>5</v>
      </c>
      <c r="J66" s="2"/>
      <c r="K66" s="2"/>
      <c r="L66" s="2"/>
      <c r="M66" s="2"/>
      <c r="N66" s="2" t="s">
        <v>352</v>
      </c>
      <c r="O66" s="2"/>
      <c r="P66" s="2"/>
      <c r="Q66" s="2" t="s">
        <v>352</v>
      </c>
      <c r="R66" s="2"/>
      <c r="S66" s="2" t="s">
        <v>352</v>
      </c>
      <c r="T66" s="2"/>
      <c r="U66" s="2"/>
      <c r="V66" s="2"/>
      <c r="W66" s="2"/>
      <c r="X66" s="2"/>
      <c r="Y66" s="2"/>
      <c r="Z66" s="2" t="s">
        <v>352</v>
      </c>
      <c r="AA66" s="2"/>
      <c r="AB66" s="2"/>
      <c r="AC66" s="2" t="s">
        <v>352</v>
      </c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3</v>
      </c>
      <c r="C67" s="57" t="s">
        <v>322</v>
      </c>
      <c r="D67" s="54">
        <f t="shared" ref="D67:D69" si="13">COUNTA(L67:AB67)</f>
        <v>0</v>
      </c>
      <c r="E67" s="54"/>
      <c r="F67" s="2" t="s">
        <v>37</v>
      </c>
      <c r="G67" s="2">
        <f t="shared" si="3"/>
        <v>83</v>
      </c>
      <c r="H67" s="6">
        <f>I67+개인기록Sheet!C67</f>
        <v>0</v>
      </c>
      <c r="I67" s="6">
        <f t="shared" si="4"/>
        <v>0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317</v>
      </c>
      <c r="C68" s="58">
        <v>2025</v>
      </c>
      <c r="D68" s="54">
        <f t="shared" si="13"/>
        <v>0</v>
      </c>
      <c r="E68" s="54"/>
      <c r="F68" s="2" t="s">
        <v>37</v>
      </c>
      <c r="G68" s="2">
        <f t="shared" si="3"/>
        <v>83</v>
      </c>
      <c r="H68" s="6">
        <f>I68+개인기록Sheet!C68</f>
        <v>0</v>
      </c>
      <c r="I68" s="6">
        <f t="shared" si="4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349</v>
      </c>
      <c r="C69" s="58">
        <v>2025</v>
      </c>
      <c r="D69" s="54">
        <f t="shared" si="13"/>
        <v>0</v>
      </c>
      <c r="E69" s="54"/>
      <c r="F69" s="2" t="s">
        <v>37</v>
      </c>
      <c r="G69" s="2">
        <f t="shared" ref="G69:G123" si="14">RANK(H69,$H$4:$H$123,0)</f>
        <v>83</v>
      </c>
      <c r="H69" s="6">
        <f>I69+개인기록Sheet!C69</f>
        <v>0</v>
      </c>
      <c r="I69" s="6">
        <f t="shared" ref="I69:I123" si="15">(COUNTIF(J69:CD69,"출전")*1)</f>
        <v>0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298</v>
      </c>
      <c r="C70" s="58">
        <v>2025</v>
      </c>
      <c r="D70" s="54" t="s">
        <v>326</v>
      </c>
      <c r="E70" s="54"/>
      <c r="F70" s="2" t="s">
        <v>37</v>
      </c>
      <c r="G70" s="2">
        <f t="shared" si="14"/>
        <v>7</v>
      </c>
      <c r="H70" s="6">
        <f>I70+개인기록Sheet!C70</f>
        <v>14.8</v>
      </c>
      <c r="I70" s="6">
        <f t="shared" si="15"/>
        <v>11</v>
      </c>
      <c r="J70" s="2"/>
      <c r="K70" s="2" t="s">
        <v>352</v>
      </c>
      <c r="L70" s="2"/>
      <c r="M70" s="2"/>
      <c r="N70" s="2" t="s">
        <v>352</v>
      </c>
      <c r="O70" s="2"/>
      <c r="P70" s="2"/>
      <c r="Q70" s="2" t="s">
        <v>352</v>
      </c>
      <c r="R70" s="2"/>
      <c r="S70" s="2" t="s">
        <v>352</v>
      </c>
      <c r="T70" s="2" t="s">
        <v>352</v>
      </c>
      <c r="U70" s="2" t="s">
        <v>352</v>
      </c>
      <c r="V70" s="2"/>
      <c r="W70" s="2" t="s">
        <v>352</v>
      </c>
      <c r="X70" s="2"/>
      <c r="Y70" s="2"/>
      <c r="Z70" s="2" t="s">
        <v>352</v>
      </c>
      <c r="AA70" s="2" t="s">
        <v>352</v>
      </c>
      <c r="AB70" s="2" t="s">
        <v>352</v>
      </c>
      <c r="AC70" s="2" t="s">
        <v>352</v>
      </c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372</v>
      </c>
      <c r="C71" s="58">
        <v>2026</v>
      </c>
      <c r="D71" s="54">
        <f>COUNTA(L71:AB71)</f>
        <v>4</v>
      </c>
      <c r="E71" s="54"/>
      <c r="F71" s="2" t="s">
        <v>37</v>
      </c>
      <c r="G71" s="2">
        <f t="shared" si="14"/>
        <v>49</v>
      </c>
      <c r="H71" s="6">
        <f>I71+개인기록Sheet!C71</f>
        <v>4.4000000000000004</v>
      </c>
      <c r="I71" s="6">
        <f t="shared" si="15"/>
        <v>4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 t="s">
        <v>352</v>
      </c>
      <c r="V71" s="2"/>
      <c r="W71" s="2" t="s">
        <v>352</v>
      </c>
      <c r="X71" s="2" t="s">
        <v>352</v>
      </c>
      <c r="Y71" s="2" t="s">
        <v>352</v>
      </c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126</v>
      </c>
      <c r="C72" s="57">
        <v>2023</v>
      </c>
      <c r="D72" s="54" t="s">
        <v>326</v>
      </c>
      <c r="E72" s="54"/>
      <c r="F72" s="2" t="s">
        <v>37</v>
      </c>
      <c r="G72" s="2">
        <f t="shared" si="14"/>
        <v>65</v>
      </c>
      <c r="H72" s="6">
        <f>I72+개인기록Sheet!C72</f>
        <v>3</v>
      </c>
      <c r="I72" s="6">
        <f t="shared" si="15"/>
        <v>3</v>
      </c>
      <c r="J72" s="2"/>
      <c r="K72" s="2"/>
      <c r="L72" s="2" t="s">
        <v>352</v>
      </c>
      <c r="M72" s="2"/>
      <c r="N72" s="2"/>
      <c r="O72" s="2"/>
      <c r="P72" s="2" t="s">
        <v>352</v>
      </c>
      <c r="Q72" s="2"/>
      <c r="R72" s="2"/>
      <c r="S72" s="2"/>
      <c r="T72" s="2"/>
      <c r="U72" s="2"/>
      <c r="V72" s="2"/>
      <c r="W72" s="2"/>
      <c r="X72" s="2"/>
      <c r="Y72" s="2" t="s">
        <v>352</v>
      </c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97</v>
      </c>
      <c r="C73" s="57">
        <v>2021</v>
      </c>
      <c r="D73" s="54" t="s">
        <v>326</v>
      </c>
      <c r="E73" s="54"/>
      <c r="F73" s="2" t="s">
        <v>37</v>
      </c>
      <c r="G73" s="2">
        <f t="shared" si="14"/>
        <v>43</v>
      </c>
      <c r="H73" s="6">
        <f>I73+개인기록Sheet!C73</f>
        <v>5.2</v>
      </c>
      <c r="I73" s="6">
        <f t="shared" si="15"/>
        <v>4</v>
      </c>
      <c r="J73" s="2"/>
      <c r="K73" s="2" t="s">
        <v>352</v>
      </c>
      <c r="L73" s="2"/>
      <c r="M73" s="2"/>
      <c r="N73" s="2"/>
      <c r="O73" s="2" t="s">
        <v>352</v>
      </c>
      <c r="P73" s="2"/>
      <c r="Q73" s="2" t="s">
        <v>352</v>
      </c>
      <c r="R73" s="2" t="s">
        <v>352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43</v>
      </c>
      <c r="C74" s="57" t="s">
        <v>322</v>
      </c>
      <c r="D74" s="54">
        <f t="shared" ref="D74" si="16">COUNTA(L74:AB74)</f>
        <v>0</v>
      </c>
      <c r="E74" s="54"/>
      <c r="F74" s="2" t="s">
        <v>37</v>
      </c>
      <c r="G74" s="2">
        <f t="shared" si="14"/>
        <v>83</v>
      </c>
      <c r="H74" s="6">
        <f>I74+개인기록Sheet!C74</f>
        <v>0</v>
      </c>
      <c r="I74" s="6">
        <f t="shared" si="15"/>
        <v>0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306</v>
      </c>
      <c r="C75" s="58">
        <v>2025</v>
      </c>
      <c r="D75" s="54" t="s">
        <v>326</v>
      </c>
      <c r="E75" s="54"/>
      <c r="F75" s="2" t="s">
        <v>37</v>
      </c>
      <c r="G75" s="2">
        <f t="shared" si="14"/>
        <v>48</v>
      </c>
      <c r="H75" s="6">
        <f>I75+개인기록Sheet!C75</f>
        <v>4.5999999999999996</v>
      </c>
      <c r="I75" s="6">
        <f t="shared" si="15"/>
        <v>4</v>
      </c>
      <c r="J75" s="2"/>
      <c r="K75" s="2" t="s">
        <v>352</v>
      </c>
      <c r="L75" s="2"/>
      <c r="M75" s="2" t="s">
        <v>352</v>
      </c>
      <c r="N75" s="2"/>
      <c r="O75" s="2"/>
      <c r="P75" s="2"/>
      <c r="Q75" s="2" t="s">
        <v>352</v>
      </c>
      <c r="R75" s="2"/>
      <c r="S75" s="2"/>
      <c r="T75" s="2"/>
      <c r="U75" s="2"/>
      <c r="V75" s="2"/>
      <c r="W75" s="2"/>
      <c r="X75" s="2"/>
      <c r="Y75" s="2"/>
      <c r="Z75" s="2"/>
      <c r="AA75" s="2"/>
      <c r="AB75" s="2" t="s">
        <v>352</v>
      </c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75</v>
      </c>
      <c r="C76" s="57" t="s">
        <v>322</v>
      </c>
      <c r="D76" s="54" t="s">
        <v>326</v>
      </c>
      <c r="E76" s="54"/>
      <c r="F76" s="2" t="s">
        <v>37</v>
      </c>
      <c r="G76" s="2">
        <f t="shared" si="14"/>
        <v>39</v>
      </c>
      <c r="H76" s="6">
        <f>I76+개인기록Sheet!C76</f>
        <v>5.6</v>
      </c>
      <c r="I76" s="6">
        <f t="shared" si="15"/>
        <v>4</v>
      </c>
      <c r="J76" s="2"/>
      <c r="K76" s="2" t="s">
        <v>352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 t="s">
        <v>352</v>
      </c>
      <c r="X76" s="2"/>
      <c r="Y76" s="2"/>
      <c r="Z76" s="2"/>
      <c r="AA76" s="2"/>
      <c r="AB76" s="2" t="s">
        <v>352</v>
      </c>
      <c r="AC76" s="2" t="s">
        <v>352</v>
      </c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351</v>
      </c>
      <c r="C77" s="57">
        <v>2026</v>
      </c>
      <c r="D77" s="54">
        <f t="shared" ref="D77:D79" si="17">COUNTA(L77:AB77)</f>
        <v>3</v>
      </c>
      <c r="E77" s="54"/>
      <c r="F77" s="2" t="s">
        <v>37</v>
      </c>
      <c r="G77" s="2">
        <f t="shared" si="14"/>
        <v>57</v>
      </c>
      <c r="H77" s="6">
        <f>I77+개인기록Sheet!C77</f>
        <v>3.7</v>
      </c>
      <c r="I77" s="6">
        <f t="shared" si="15"/>
        <v>3</v>
      </c>
      <c r="J77" s="2"/>
      <c r="K77" s="2"/>
      <c r="L77" s="2"/>
      <c r="M77" s="2" t="s">
        <v>352</v>
      </c>
      <c r="N77" s="2"/>
      <c r="O77" s="2"/>
      <c r="P77" s="2" t="s">
        <v>352</v>
      </c>
      <c r="Q77" s="2"/>
      <c r="R77" s="2" t="s">
        <v>352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329</v>
      </c>
      <c r="C78" s="58">
        <v>2025</v>
      </c>
      <c r="D78" s="54">
        <f t="shared" si="17"/>
        <v>0</v>
      </c>
      <c r="E78" s="54"/>
      <c r="F78" s="2" t="s">
        <v>37</v>
      </c>
      <c r="G78" s="2">
        <f t="shared" si="14"/>
        <v>83</v>
      </c>
      <c r="H78" s="6">
        <f>I78+개인기록Sheet!C78</f>
        <v>0</v>
      </c>
      <c r="I78" s="6">
        <f t="shared" si="15"/>
        <v>0</v>
      </c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163</v>
      </c>
      <c r="C79" s="57">
        <v>2023</v>
      </c>
      <c r="D79" s="54">
        <f t="shared" si="17"/>
        <v>1</v>
      </c>
      <c r="E79" s="54"/>
      <c r="F79" s="2" t="s">
        <v>37</v>
      </c>
      <c r="G79" s="2">
        <f t="shared" si="14"/>
        <v>74</v>
      </c>
      <c r="H79" s="6">
        <f>I79+개인기록Sheet!C79</f>
        <v>1</v>
      </c>
      <c r="I79" s="6">
        <f t="shared" si="15"/>
        <v>1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 t="s">
        <v>352</v>
      </c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350</v>
      </c>
      <c r="C80" s="58">
        <v>2025</v>
      </c>
      <c r="D80" s="54" t="s">
        <v>227</v>
      </c>
      <c r="E80" s="54"/>
      <c r="F80" s="2" t="s">
        <v>37</v>
      </c>
      <c r="G80" s="2">
        <f t="shared" si="14"/>
        <v>39</v>
      </c>
      <c r="H80" s="6">
        <f>I80+개인기록Sheet!C80</f>
        <v>5.6</v>
      </c>
      <c r="I80" s="6">
        <f t="shared" si="15"/>
        <v>5</v>
      </c>
      <c r="J80" s="2"/>
      <c r="K80" s="2"/>
      <c r="L80" s="2"/>
      <c r="M80" s="2" t="s">
        <v>352</v>
      </c>
      <c r="N80" s="2"/>
      <c r="O80" s="2"/>
      <c r="P80" s="2" t="s">
        <v>352</v>
      </c>
      <c r="Q80" s="2"/>
      <c r="R80" s="2"/>
      <c r="S80" s="2"/>
      <c r="T80" s="2" t="s">
        <v>352</v>
      </c>
      <c r="U80" s="2"/>
      <c r="V80" s="2"/>
      <c r="W80" s="2" t="s">
        <v>352</v>
      </c>
      <c r="X80" s="2" t="s">
        <v>352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179</v>
      </c>
      <c r="C81" s="57">
        <v>2023</v>
      </c>
      <c r="D81" s="54" t="s">
        <v>326</v>
      </c>
      <c r="E81" s="54"/>
      <c r="F81" s="2" t="s">
        <v>37</v>
      </c>
      <c r="G81" s="2">
        <f t="shared" si="14"/>
        <v>49</v>
      </c>
      <c r="H81" s="6">
        <f>I81+개인기록Sheet!C81</f>
        <v>4.4000000000000004</v>
      </c>
      <c r="I81" s="6">
        <f t="shared" si="15"/>
        <v>4</v>
      </c>
      <c r="J81" s="2"/>
      <c r="K81" s="2"/>
      <c r="L81" s="2"/>
      <c r="M81" s="2" t="s">
        <v>352</v>
      </c>
      <c r="N81" s="2" t="s">
        <v>352</v>
      </c>
      <c r="O81" s="2"/>
      <c r="P81" s="2"/>
      <c r="Q81" s="2" t="s">
        <v>352</v>
      </c>
      <c r="R81" s="2" t="s">
        <v>352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7</v>
      </c>
      <c r="C82" s="57" t="s">
        <v>322</v>
      </c>
      <c r="D82" s="54" t="s">
        <v>326</v>
      </c>
      <c r="E82" s="54"/>
      <c r="F82" s="2" t="s">
        <v>37</v>
      </c>
      <c r="G82" s="2">
        <f t="shared" si="14"/>
        <v>31</v>
      </c>
      <c r="H82" s="6">
        <f>I82+개인기록Sheet!C82</f>
        <v>6.6</v>
      </c>
      <c r="I82" s="6">
        <f t="shared" si="15"/>
        <v>5</v>
      </c>
      <c r="J82" s="2"/>
      <c r="K82" s="2"/>
      <c r="L82" s="2" t="s">
        <v>352</v>
      </c>
      <c r="M82" s="2"/>
      <c r="N82" s="2"/>
      <c r="O82" s="2"/>
      <c r="P82" s="2"/>
      <c r="Q82" s="2"/>
      <c r="R82" s="2" t="s">
        <v>352</v>
      </c>
      <c r="S82" s="2"/>
      <c r="T82" s="2"/>
      <c r="U82" s="2"/>
      <c r="V82" s="2"/>
      <c r="W82" s="2"/>
      <c r="X82" s="2"/>
      <c r="Y82" s="2" t="s">
        <v>352</v>
      </c>
      <c r="Z82" s="2" t="s">
        <v>352</v>
      </c>
      <c r="AA82" s="2"/>
      <c r="AB82" s="2" t="s">
        <v>352</v>
      </c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92</v>
      </c>
      <c r="C83" s="57">
        <v>2022</v>
      </c>
      <c r="D83" s="54" t="s">
        <v>326</v>
      </c>
      <c r="E83" s="54"/>
      <c r="F83" s="2" t="s">
        <v>37</v>
      </c>
      <c r="G83" s="2">
        <f t="shared" si="14"/>
        <v>25</v>
      </c>
      <c r="H83" s="6">
        <f>I83+개인기록Sheet!C83</f>
        <v>7.4</v>
      </c>
      <c r="I83" s="6">
        <f t="shared" si="15"/>
        <v>6</v>
      </c>
      <c r="J83" s="2"/>
      <c r="K83" s="2"/>
      <c r="L83" s="2"/>
      <c r="M83" s="2"/>
      <c r="N83" s="2"/>
      <c r="O83" s="2" t="s">
        <v>352</v>
      </c>
      <c r="P83" s="2"/>
      <c r="Q83" s="2" t="s">
        <v>352</v>
      </c>
      <c r="R83" s="2"/>
      <c r="S83" s="2" t="s">
        <v>352</v>
      </c>
      <c r="T83" s="2"/>
      <c r="U83" s="2"/>
      <c r="V83" s="2"/>
      <c r="W83" s="2" t="s">
        <v>352</v>
      </c>
      <c r="X83" s="2"/>
      <c r="Y83" s="2" t="s">
        <v>352</v>
      </c>
      <c r="Z83" s="2"/>
      <c r="AA83" s="2" t="s">
        <v>352</v>
      </c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34</v>
      </c>
      <c r="C84" s="57" t="s">
        <v>322</v>
      </c>
      <c r="D84" s="54" t="s">
        <v>326</v>
      </c>
      <c r="E84" s="54"/>
      <c r="F84" s="2" t="s">
        <v>37</v>
      </c>
      <c r="G84" s="2">
        <f t="shared" si="14"/>
        <v>26</v>
      </c>
      <c r="H84" s="6">
        <f>I84+개인기록Sheet!C84</f>
        <v>7.2</v>
      </c>
      <c r="I84" s="6">
        <f t="shared" si="15"/>
        <v>6</v>
      </c>
      <c r="J84" s="2"/>
      <c r="K84" s="2"/>
      <c r="L84" s="2"/>
      <c r="M84" s="2"/>
      <c r="N84" s="2"/>
      <c r="O84" s="2"/>
      <c r="P84" s="2"/>
      <c r="Q84" s="2" t="s">
        <v>352</v>
      </c>
      <c r="R84" s="2"/>
      <c r="S84" s="2"/>
      <c r="T84" s="2" t="s">
        <v>352</v>
      </c>
      <c r="U84" s="2" t="s">
        <v>352</v>
      </c>
      <c r="V84" s="2"/>
      <c r="W84" s="2" t="s">
        <v>352</v>
      </c>
      <c r="X84" s="2"/>
      <c r="Y84" s="2"/>
      <c r="Z84" s="2" t="s">
        <v>352</v>
      </c>
      <c r="AA84" s="2" t="s">
        <v>352</v>
      </c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234</v>
      </c>
      <c r="C85" s="58">
        <v>2024</v>
      </c>
      <c r="D85" s="54" t="s">
        <v>326</v>
      </c>
      <c r="E85" s="54"/>
      <c r="F85" s="2" t="s">
        <v>37</v>
      </c>
      <c r="G85" s="2">
        <f t="shared" si="14"/>
        <v>45</v>
      </c>
      <c r="H85" s="6">
        <f>I85+개인기록Sheet!C85</f>
        <v>4.8</v>
      </c>
      <c r="I85" s="6">
        <f t="shared" si="15"/>
        <v>4</v>
      </c>
      <c r="J85" s="2"/>
      <c r="K85" s="2"/>
      <c r="L85" s="2"/>
      <c r="M85" s="2"/>
      <c r="N85" s="2"/>
      <c r="O85" s="2" t="s">
        <v>352</v>
      </c>
      <c r="P85" s="2"/>
      <c r="Q85" s="2"/>
      <c r="R85" s="2"/>
      <c r="S85" s="2" t="s">
        <v>352</v>
      </c>
      <c r="T85" s="2"/>
      <c r="U85" s="2"/>
      <c r="V85" s="2"/>
      <c r="W85" s="2"/>
      <c r="X85" s="2"/>
      <c r="Y85" s="2"/>
      <c r="Z85" s="2"/>
      <c r="AA85" s="2" t="s">
        <v>352</v>
      </c>
      <c r="AB85" s="2"/>
      <c r="AC85" s="2" t="s">
        <v>352</v>
      </c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5</v>
      </c>
      <c r="C86" s="57" t="s">
        <v>322</v>
      </c>
      <c r="D86" s="54" t="s">
        <v>326</v>
      </c>
      <c r="E86" s="54"/>
      <c r="F86" s="2" t="s">
        <v>37</v>
      </c>
      <c r="G86" s="2">
        <f t="shared" si="14"/>
        <v>59</v>
      </c>
      <c r="H86" s="6">
        <f>I86+개인기록Sheet!C86</f>
        <v>3.4</v>
      </c>
      <c r="I86" s="6">
        <f t="shared" si="15"/>
        <v>3</v>
      </c>
      <c r="J86" s="2"/>
      <c r="K86" s="2"/>
      <c r="L86" s="2"/>
      <c r="M86" s="2"/>
      <c r="N86" s="2"/>
      <c r="O86" s="2"/>
      <c r="P86" s="2"/>
      <c r="Q86" s="2"/>
      <c r="R86" s="2" t="s">
        <v>352</v>
      </c>
      <c r="S86" s="2"/>
      <c r="T86" s="2"/>
      <c r="U86" s="2"/>
      <c r="V86" s="2" t="s">
        <v>352</v>
      </c>
      <c r="W86" s="2"/>
      <c r="X86" s="2" t="s">
        <v>352</v>
      </c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375</v>
      </c>
      <c r="C87" s="58">
        <v>2026</v>
      </c>
      <c r="D87" s="54">
        <f>COUNTA(L87:AB87)</f>
        <v>4</v>
      </c>
      <c r="E87" s="54"/>
      <c r="F87" s="2" t="s">
        <v>37</v>
      </c>
      <c r="G87" s="2">
        <f t="shared" si="14"/>
        <v>47</v>
      </c>
      <c r="H87" s="6">
        <f>I87+개인기록Sheet!C87</f>
        <v>4.7</v>
      </c>
      <c r="I87" s="6">
        <f t="shared" si="15"/>
        <v>4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 t="s">
        <v>352</v>
      </c>
      <c r="V87" s="2"/>
      <c r="W87" s="2" t="s">
        <v>352</v>
      </c>
      <c r="X87" s="2" t="s">
        <v>352</v>
      </c>
      <c r="Y87" s="2" t="s">
        <v>352</v>
      </c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313</v>
      </c>
      <c r="C88" s="58">
        <v>2025</v>
      </c>
      <c r="D88" s="54" t="s">
        <v>326</v>
      </c>
      <c r="E88" s="54"/>
      <c r="F88" s="2" t="s">
        <v>37</v>
      </c>
      <c r="G88" s="2">
        <f t="shared" si="14"/>
        <v>72</v>
      </c>
      <c r="H88" s="6">
        <f>I88+개인기록Sheet!C88</f>
        <v>1.4</v>
      </c>
      <c r="I88" s="6">
        <f t="shared" si="15"/>
        <v>1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 t="s">
        <v>352</v>
      </c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20</v>
      </c>
      <c r="C89" s="57" t="s">
        <v>322</v>
      </c>
      <c r="D89" s="54" t="s">
        <v>353</v>
      </c>
      <c r="E89" s="54"/>
      <c r="F89" s="2" t="s">
        <v>37</v>
      </c>
      <c r="G89" s="2">
        <f t="shared" si="14"/>
        <v>83</v>
      </c>
      <c r="H89" s="6">
        <f>I89+개인기록Sheet!C89</f>
        <v>0</v>
      </c>
      <c r="I89" s="6">
        <f t="shared" si="15"/>
        <v>0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399</v>
      </c>
      <c r="C90" s="58">
        <v>2026</v>
      </c>
      <c r="D90" s="54">
        <f>COUNTA(L90:AB90)</f>
        <v>0</v>
      </c>
      <c r="E90" s="54"/>
      <c r="F90" s="2"/>
      <c r="G90" s="2">
        <f t="shared" si="14"/>
        <v>83</v>
      </c>
      <c r="H90" s="6">
        <f>I90+개인기록Sheet!C90</f>
        <v>0</v>
      </c>
      <c r="I90" s="6">
        <f t="shared" si="15"/>
        <v>0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373</v>
      </c>
      <c r="C91" s="58">
        <v>2026</v>
      </c>
      <c r="D91" s="54">
        <f>COUNTA(L91:AB91)</f>
        <v>3</v>
      </c>
      <c r="E91" s="54"/>
      <c r="F91" s="2" t="s">
        <v>37</v>
      </c>
      <c r="G91" s="2">
        <f t="shared" si="14"/>
        <v>54</v>
      </c>
      <c r="H91" s="6">
        <f>I91+개인기록Sheet!C91</f>
        <v>4</v>
      </c>
      <c r="I91" s="6">
        <f t="shared" si="15"/>
        <v>3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 t="s">
        <v>352</v>
      </c>
      <c r="V91" s="2"/>
      <c r="W91" s="2"/>
      <c r="X91" s="2" t="s">
        <v>352</v>
      </c>
      <c r="Y91" s="2"/>
      <c r="Z91" s="2" t="s">
        <v>352</v>
      </c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304</v>
      </c>
      <c r="C92" s="58">
        <v>2025</v>
      </c>
      <c r="D92" s="54" t="s">
        <v>326</v>
      </c>
      <c r="E92" s="54"/>
      <c r="F92" s="2" t="s">
        <v>37</v>
      </c>
      <c r="G92" s="2">
        <f t="shared" si="14"/>
        <v>59</v>
      </c>
      <c r="H92" s="6">
        <f>I92+개인기록Sheet!C92</f>
        <v>3.4</v>
      </c>
      <c r="I92" s="6">
        <f t="shared" si="15"/>
        <v>3</v>
      </c>
      <c r="J92" s="2"/>
      <c r="K92" s="2"/>
      <c r="L92" s="2"/>
      <c r="M92" s="2"/>
      <c r="N92" s="2"/>
      <c r="O92" s="2"/>
      <c r="P92" s="2"/>
      <c r="Q92" s="2" t="s">
        <v>352</v>
      </c>
      <c r="R92" s="2"/>
      <c r="S92" s="2" t="s">
        <v>352</v>
      </c>
      <c r="T92" s="2"/>
      <c r="U92" s="2"/>
      <c r="V92" s="2" t="s">
        <v>352</v>
      </c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226</v>
      </c>
      <c r="C93" s="58">
        <v>2024</v>
      </c>
      <c r="D93" s="54">
        <f t="shared" ref="D93" si="18">COUNTA(L93:AB93)</f>
        <v>1</v>
      </c>
      <c r="E93" s="54"/>
      <c r="F93" s="2" t="s">
        <v>37</v>
      </c>
      <c r="G93" s="2">
        <f t="shared" si="14"/>
        <v>74</v>
      </c>
      <c r="H93" s="6">
        <f>I93+개인기록Sheet!C93</f>
        <v>1</v>
      </c>
      <c r="I93" s="6">
        <f t="shared" si="15"/>
        <v>1</v>
      </c>
      <c r="J93" s="2"/>
      <c r="K93" s="2"/>
      <c r="L93" s="2"/>
      <c r="M93" s="2"/>
      <c r="N93" s="2"/>
      <c r="O93" s="2"/>
      <c r="P93" s="2"/>
      <c r="Q93" s="2" t="s">
        <v>352</v>
      </c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238</v>
      </c>
      <c r="C94" s="58">
        <v>2024</v>
      </c>
      <c r="D94" s="54" t="s">
        <v>326</v>
      </c>
      <c r="E94" s="54"/>
      <c r="F94" s="2" t="s">
        <v>37</v>
      </c>
      <c r="G94" s="2">
        <f t="shared" si="14"/>
        <v>67</v>
      </c>
      <c r="H94" s="6">
        <f>I94+개인기록Sheet!C94</f>
        <v>2.6</v>
      </c>
      <c r="I94" s="6">
        <f t="shared" si="15"/>
        <v>2</v>
      </c>
      <c r="J94" s="2"/>
      <c r="K94" s="2" t="s">
        <v>352</v>
      </c>
      <c r="L94" s="2"/>
      <c r="M94" s="2"/>
      <c r="N94" s="2"/>
      <c r="O94" s="2"/>
      <c r="P94" s="2"/>
      <c r="Q94" s="2"/>
      <c r="R94" s="2"/>
      <c r="S94" s="2"/>
      <c r="T94" s="2"/>
      <c r="U94" s="2" t="s">
        <v>352</v>
      </c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70</v>
      </c>
      <c r="C95" s="57" t="s">
        <v>322</v>
      </c>
      <c r="D95" s="54" t="s">
        <v>326</v>
      </c>
      <c r="E95" s="54"/>
      <c r="F95" s="2" t="s">
        <v>37</v>
      </c>
      <c r="G95" s="2">
        <f t="shared" si="14"/>
        <v>83</v>
      </c>
      <c r="H95" s="6">
        <f>I95+개인기록Sheet!C95</f>
        <v>0</v>
      </c>
      <c r="I95" s="6">
        <f t="shared" si="15"/>
        <v>0</v>
      </c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140</v>
      </c>
      <c r="C96" s="57">
        <v>2023</v>
      </c>
      <c r="D96" s="54" t="s">
        <v>326</v>
      </c>
      <c r="E96" s="54"/>
      <c r="F96" s="2" t="s">
        <v>37</v>
      </c>
      <c r="G96" s="2">
        <f t="shared" si="14"/>
        <v>30</v>
      </c>
      <c r="H96" s="6">
        <f>I96+개인기록Sheet!C96</f>
        <v>6.8000000000000007</v>
      </c>
      <c r="I96" s="6">
        <f t="shared" si="15"/>
        <v>5</v>
      </c>
      <c r="J96" s="2"/>
      <c r="K96" s="2"/>
      <c r="L96" s="2"/>
      <c r="M96" s="2"/>
      <c r="N96" s="2"/>
      <c r="O96" s="2"/>
      <c r="P96" s="2"/>
      <c r="Q96" s="2" t="s">
        <v>352</v>
      </c>
      <c r="R96" s="2"/>
      <c r="S96" s="2"/>
      <c r="T96" s="2"/>
      <c r="U96" s="2"/>
      <c r="V96" s="2"/>
      <c r="W96" s="2" t="s">
        <v>352</v>
      </c>
      <c r="X96" s="2"/>
      <c r="Y96" s="2" t="s">
        <v>352</v>
      </c>
      <c r="Z96" s="2"/>
      <c r="AA96" s="2" t="s">
        <v>352</v>
      </c>
      <c r="AB96" s="2"/>
      <c r="AC96" s="2" t="s">
        <v>352</v>
      </c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93</v>
      </c>
      <c r="C97" s="57">
        <v>2022</v>
      </c>
      <c r="D97" s="54" t="s">
        <v>353</v>
      </c>
      <c r="E97" s="54"/>
      <c r="F97" s="2" t="s">
        <v>37</v>
      </c>
      <c r="G97" s="2">
        <f t="shared" si="14"/>
        <v>74</v>
      </c>
      <c r="H97" s="6">
        <f>I97+개인기록Sheet!C97</f>
        <v>1</v>
      </c>
      <c r="I97" s="6">
        <f t="shared" si="15"/>
        <v>1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 t="s">
        <v>352</v>
      </c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94</v>
      </c>
      <c r="C98" s="57">
        <v>2022</v>
      </c>
      <c r="D98" s="54">
        <f t="shared" ref="D98" si="19">COUNTA(L98:AB98)</f>
        <v>0</v>
      </c>
      <c r="E98" s="54"/>
      <c r="F98" s="2" t="s">
        <v>37</v>
      </c>
      <c r="G98" s="2">
        <f t="shared" si="14"/>
        <v>83</v>
      </c>
      <c r="H98" s="6">
        <f>I98+개인기록Sheet!C98</f>
        <v>0</v>
      </c>
      <c r="I98" s="6">
        <f t="shared" si="15"/>
        <v>0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95</v>
      </c>
      <c r="C99" s="57">
        <v>2022</v>
      </c>
      <c r="D99" s="54" t="s">
        <v>326</v>
      </c>
      <c r="E99" s="54"/>
      <c r="F99" s="2" t="s">
        <v>37</v>
      </c>
      <c r="G99" s="2">
        <f t="shared" si="14"/>
        <v>36</v>
      </c>
      <c r="H99" s="6">
        <f>I99+개인기록Sheet!C99</f>
        <v>6</v>
      </c>
      <c r="I99" s="6">
        <f t="shared" si="15"/>
        <v>5</v>
      </c>
      <c r="J99" s="2"/>
      <c r="K99" s="2" t="s">
        <v>352</v>
      </c>
      <c r="L99" s="2"/>
      <c r="M99" s="2"/>
      <c r="N99" s="2"/>
      <c r="O99" s="2" t="s">
        <v>352</v>
      </c>
      <c r="P99" s="2"/>
      <c r="Q99" s="2"/>
      <c r="R99" s="2"/>
      <c r="S99" s="2" t="s">
        <v>352</v>
      </c>
      <c r="T99" s="2"/>
      <c r="U99" s="2"/>
      <c r="V99" s="2"/>
      <c r="W99" s="2"/>
      <c r="X99" s="2"/>
      <c r="Y99" s="2"/>
      <c r="Z99" s="2"/>
      <c r="AA99" s="2" t="s">
        <v>352</v>
      </c>
      <c r="AB99" s="2"/>
      <c r="AC99" s="2" t="s">
        <v>352</v>
      </c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121</v>
      </c>
      <c r="C100" s="57">
        <v>2022</v>
      </c>
      <c r="D100" s="54">
        <f t="shared" ref="D100" si="20">COUNTA(L100:AB100)</f>
        <v>1</v>
      </c>
      <c r="E100" s="54"/>
      <c r="F100" s="2" t="s">
        <v>37</v>
      </c>
      <c r="G100" s="2">
        <f t="shared" si="14"/>
        <v>73</v>
      </c>
      <c r="H100" s="6">
        <f>I100+개인기록Sheet!C100</f>
        <v>1.2</v>
      </c>
      <c r="I100" s="6">
        <f t="shared" si="15"/>
        <v>1</v>
      </c>
      <c r="J100" s="2"/>
      <c r="K100" s="2"/>
      <c r="L100" s="2"/>
      <c r="M100" s="2"/>
      <c r="N100" s="2"/>
      <c r="O100" s="2"/>
      <c r="P100" s="2"/>
      <c r="Q100" s="2"/>
      <c r="R100" s="2"/>
      <c r="S100" s="2" t="s">
        <v>352</v>
      </c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9</v>
      </c>
      <c r="C101" s="57" t="s">
        <v>322</v>
      </c>
      <c r="D101" s="54" t="s">
        <v>326</v>
      </c>
      <c r="E101" s="54"/>
      <c r="F101" s="2" t="s">
        <v>37</v>
      </c>
      <c r="G101" s="2">
        <f t="shared" si="14"/>
        <v>59</v>
      </c>
      <c r="H101" s="6">
        <f>I101+개인기록Sheet!C101</f>
        <v>3.4</v>
      </c>
      <c r="I101" s="6">
        <f t="shared" si="15"/>
        <v>3</v>
      </c>
      <c r="J101" s="2"/>
      <c r="K101" s="2"/>
      <c r="L101" s="2"/>
      <c r="M101" s="2" t="s">
        <v>352</v>
      </c>
      <c r="N101" s="2"/>
      <c r="O101" s="2"/>
      <c r="P101" s="2"/>
      <c r="Q101" s="2" t="s">
        <v>352</v>
      </c>
      <c r="R101" s="2"/>
      <c r="S101" s="2" t="s">
        <v>352</v>
      </c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203</v>
      </c>
      <c r="C102" s="58">
        <v>2024</v>
      </c>
      <c r="D102" s="54" t="s">
        <v>326</v>
      </c>
      <c r="E102" s="54"/>
      <c r="F102" s="2" t="s">
        <v>37</v>
      </c>
      <c r="G102" s="2">
        <f t="shared" si="14"/>
        <v>10</v>
      </c>
      <c r="H102" s="6">
        <f>I102+개인기록Sheet!C102</f>
        <v>14</v>
      </c>
      <c r="I102" s="6">
        <f t="shared" si="15"/>
        <v>10</v>
      </c>
      <c r="J102" s="2"/>
      <c r="K102" s="2"/>
      <c r="L102" s="2" t="s">
        <v>352</v>
      </c>
      <c r="M102" s="2"/>
      <c r="N102" s="2" t="s">
        <v>352</v>
      </c>
      <c r="O102" s="2"/>
      <c r="P102" s="2" t="s">
        <v>352</v>
      </c>
      <c r="Q102" s="2"/>
      <c r="R102" s="2"/>
      <c r="S102" s="2" t="s">
        <v>352</v>
      </c>
      <c r="T102" s="2"/>
      <c r="U102" s="2" t="s">
        <v>352</v>
      </c>
      <c r="V102" s="2"/>
      <c r="W102" s="2" t="s">
        <v>352</v>
      </c>
      <c r="X102" s="2" t="s">
        <v>352</v>
      </c>
      <c r="Y102" s="2"/>
      <c r="Z102" s="2" t="s">
        <v>352</v>
      </c>
      <c r="AA102" s="2" t="s">
        <v>352</v>
      </c>
      <c r="AB102" s="2"/>
      <c r="AC102" s="2" t="s">
        <v>352</v>
      </c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98</v>
      </c>
      <c r="C103" s="57">
        <v>2022</v>
      </c>
      <c r="D103" s="54" t="s">
        <v>326</v>
      </c>
      <c r="E103" s="54"/>
      <c r="F103" s="2" t="s">
        <v>37</v>
      </c>
      <c r="G103" s="2">
        <f t="shared" si="14"/>
        <v>53</v>
      </c>
      <c r="H103" s="6">
        <f>I103+개인기록Sheet!C103</f>
        <v>4.2</v>
      </c>
      <c r="I103" s="6">
        <f t="shared" si="15"/>
        <v>4</v>
      </c>
      <c r="J103" s="2"/>
      <c r="K103" s="2"/>
      <c r="L103" s="2"/>
      <c r="M103" s="2" t="s">
        <v>352</v>
      </c>
      <c r="N103" s="2"/>
      <c r="O103" s="2"/>
      <c r="P103" s="2"/>
      <c r="Q103" s="2"/>
      <c r="R103" s="2" t="s">
        <v>352</v>
      </c>
      <c r="S103" s="2" t="s">
        <v>352</v>
      </c>
      <c r="T103" s="2"/>
      <c r="U103" s="2"/>
      <c r="V103" s="2"/>
      <c r="W103" s="2"/>
      <c r="X103" s="2"/>
      <c r="Y103" s="2"/>
      <c r="Z103" s="2"/>
      <c r="AA103" s="2" t="s">
        <v>352</v>
      </c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400</v>
      </c>
      <c r="C104" s="58">
        <v>2026</v>
      </c>
      <c r="D104" s="54"/>
      <c r="E104" s="54"/>
      <c r="F104" s="2" t="s">
        <v>37</v>
      </c>
      <c r="G104" s="2">
        <f t="shared" si="14"/>
        <v>74</v>
      </c>
      <c r="H104" s="6">
        <f>I104+개인기록Sheet!C104</f>
        <v>1</v>
      </c>
      <c r="I104" s="6">
        <f t="shared" si="15"/>
        <v>1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 t="s">
        <v>352</v>
      </c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377</v>
      </c>
      <c r="C105" s="58">
        <v>2026</v>
      </c>
      <c r="D105" s="54">
        <f>COUNTA(L105:AB105)</f>
        <v>4</v>
      </c>
      <c r="E105" s="54"/>
      <c r="F105" s="2" t="s">
        <v>37</v>
      </c>
      <c r="G105" s="2">
        <f t="shared" si="14"/>
        <v>44</v>
      </c>
      <c r="H105" s="6">
        <f>I105+개인기록Sheet!C105</f>
        <v>4.9000000000000004</v>
      </c>
      <c r="I105" s="6">
        <f t="shared" si="15"/>
        <v>4</v>
      </c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 t="s">
        <v>352</v>
      </c>
      <c r="V105" s="2" t="s">
        <v>352</v>
      </c>
      <c r="W105" s="2" t="s">
        <v>352</v>
      </c>
      <c r="X105" s="2"/>
      <c r="Y105" s="2" t="s">
        <v>352</v>
      </c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204</v>
      </c>
      <c r="C106" s="58">
        <v>2024</v>
      </c>
      <c r="D106" s="54" t="s">
        <v>326</v>
      </c>
      <c r="E106" s="54"/>
      <c r="F106" s="2" t="s">
        <v>37</v>
      </c>
      <c r="G106" s="2">
        <f t="shared" si="14"/>
        <v>2</v>
      </c>
      <c r="H106" s="6">
        <f>I106+개인기록Sheet!C106</f>
        <v>19.2</v>
      </c>
      <c r="I106" s="6">
        <f t="shared" si="15"/>
        <v>15</v>
      </c>
      <c r="J106" s="2" t="s">
        <v>352</v>
      </c>
      <c r="K106" s="2" t="s">
        <v>352</v>
      </c>
      <c r="L106" s="2"/>
      <c r="M106" s="2" t="s">
        <v>352</v>
      </c>
      <c r="N106" s="2" t="s">
        <v>352</v>
      </c>
      <c r="O106" s="2" t="s">
        <v>352</v>
      </c>
      <c r="P106" s="2"/>
      <c r="Q106" s="2" t="s">
        <v>352</v>
      </c>
      <c r="R106" s="2"/>
      <c r="S106" s="2" t="s">
        <v>352</v>
      </c>
      <c r="T106" s="2"/>
      <c r="U106" s="2" t="s">
        <v>352</v>
      </c>
      <c r="V106" s="2" t="s">
        <v>352</v>
      </c>
      <c r="W106" s="2" t="s">
        <v>352</v>
      </c>
      <c r="X106" s="2" t="s">
        <v>352</v>
      </c>
      <c r="Y106" s="2" t="s">
        <v>352</v>
      </c>
      <c r="Z106" s="2" t="s">
        <v>352</v>
      </c>
      <c r="AA106" s="2"/>
      <c r="AB106" s="2" t="s">
        <v>352</v>
      </c>
      <c r="AC106" s="2" t="s">
        <v>352</v>
      </c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62</v>
      </c>
      <c r="C107" s="57" t="s">
        <v>322</v>
      </c>
      <c r="D107" s="54" t="s">
        <v>326</v>
      </c>
      <c r="E107" s="54"/>
      <c r="F107" s="2" t="s">
        <v>37</v>
      </c>
      <c r="G107" s="2">
        <f t="shared" si="14"/>
        <v>12</v>
      </c>
      <c r="H107" s="6">
        <f>I107+개인기록Sheet!C107</f>
        <v>12.4</v>
      </c>
      <c r="I107" s="6">
        <f t="shared" si="15"/>
        <v>11</v>
      </c>
      <c r="J107" s="2" t="s">
        <v>352</v>
      </c>
      <c r="K107" s="2" t="s">
        <v>352</v>
      </c>
      <c r="L107" s="2"/>
      <c r="M107" s="2" t="s">
        <v>352</v>
      </c>
      <c r="N107" s="2" t="s">
        <v>352</v>
      </c>
      <c r="O107" s="2" t="s">
        <v>352</v>
      </c>
      <c r="P107" s="2"/>
      <c r="Q107" s="2"/>
      <c r="R107" s="2"/>
      <c r="S107" s="2" t="s">
        <v>352</v>
      </c>
      <c r="T107" s="2"/>
      <c r="U107" s="2" t="s">
        <v>352</v>
      </c>
      <c r="V107" s="2"/>
      <c r="W107" s="2"/>
      <c r="X107" s="2" t="s">
        <v>352</v>
      </c>
      <c r="Y107" s="2" t="s">
        <v>352</v>
      </c>
      <c r="Z107" s="2" t="s">
        <v>352</v>
      </c>
      <c r="AA107" s="2" t="s">
        <v>352</v>
      </c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137</v>
      </c>
      <c r="C108" s="57">
        <v>2023</v>
      </c>
      <c r="D108" s="54" t="s">
        <v>326</v>
      </c>
      <c r="E108" s="54"/>
      <c r="F108" s="2" t="s">
        <v>37</v>
      </c>
      <c r="G108" s="2">
        <f t="shared" si="14"/>
        <v>36</v>
      </c>
      <c r="H108" s="6">
        <f>I108+개인기록Sheet!C108</f>
        <v>6</v>
      </c>
      <c r="I108" s="6">
        <f t="shared" si="15"/>
        <v>5</v>
      </c>
      <c r="J108" s="2" t="s">
        <v>352</v>
      </c>
      <c r="K108" s="2"/>
      <c r="L108" s="2" t="s">
        <v>352</v>
      </c>
      <c r="M108" s="2"/>
      <c r="N108" s="2" t="s">
        <v>352</v>
      </c>
      <c r="O108" s="2"/>
      <c r="P108" s="2" t="s">
        <v>352</v>
      </c>
      <c r="Q108" s="2"/>
      <c r="R108" s="2"/>
      <c r="S108" s="2"/>
      <c r="T108" s="2"/>
      <c r="U108" s="2"/>
      <c r="V108" s="2" t="s">
        <v>352</v>
      </c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122</v>
      </c>
      <c r="C109" s="57">
        <v>2022</v>
      </c>
      <c r="D109" s="54" t="s">
        <v>326</v>
      </c>
      <c r="E109" s="54"/>
      <c r="F109" s="2" t="s">
        <v>37</v>
      </c>
      <c r="G109" s="2">
        <f t="shared" si="14"/>
        <v>18</v>
      </c>
      <c r="H109" s="6">
        <f>I109+개인기록Sheet!C109</f>
        <v>10</v>
      </c>
      <c r="I109" s="6">
        <f t="shared" si="15"/>
        <v>7</v>
      </c>
      <c r="J109" s="2" t="s">
        <v>352</v>
      </c>
      <c r="K109" s="2"/>
      <c r="L109" s="2"/>
      <c r="M109" s="2"/>
      <c r="N109" s="2"/>
      <c r="O109" s="2"/>
      <c r="P109" s="2"/>
      <c r="Q109" s="2" t="s">
        <v>352</v>
      </c>
      <c r="R109" s="2"/>
      <c r="S109" s="2" t="s">
        <v>352</v>
      </c>
      <c r="T109" s="2"/>
      <c r="U109" s="2" t="s">
        <v>352</v>
      </c>
      <c r="V109" s="2"/>
      <c r="W109" s="2"/>
      <c r="X109" s="2"/>
      <c r="Y109" s="2" t="s">
        <v>352</v>
      </c>
      <c r="Z109" s="2"/>
      <c r="AA109" s="2"/>
      <c r="AB109" s="2" t="s">
        <v>352</v>
      </c>
      <c r="AC109" s="2" t="s">
        <v>352</v>
      </c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96</v>
      </c>
      <c r="C110" s="57">
        <v>2021</v>
      </c>
      <c r="D110" s="54">
        <f t="shared" ref="D110" si="21">COUNTA(L110:AB110)</f>
        <v>0</v>
      </c>
      <c r="E110" s="54"/>
      <c r="F110" s="2" t="s">
        <v>37</v>
      </c>
      <c r="G110" s="2">
        <f t="shared" si="14"/>
        <v>83</v>
      </c>
      <c r="H110" s="6">
        <f>I110+개인기록Sheet!C110</f>
        <v>0</v>
      </c>
      <c r="I110" s="6">
        <f t="shared" si="15"/>
        <v>0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328</v>
      </c>
      <c r="C111" s="58">
        <v>2025</v>
      </c>
      <c r="D111" s="54" t="s">
        <v>326</v>
      </c>
      <c r="E111" s="54"/>
      <c r="F111" s="2" t="s">
        <v>37</v>
      </c>
      <c r="G111" s="2">
        <f t="shared" si="14"/>
        <v>20</v>
      </c>
      <c r="H111" s="6">
        <f>I111+개인기록Sheet!C111</f>
        <v>8.4</v>
      </c>
      <c r="I111" s="6">
        <f t="shared" si="15"/>
        <v>7</v>
      </c>
      <c r="J111" s="2" t="s">
        <v>352</v>
      </c>
      <c r="K111" s="2"/>
      <c r="L111" s="2"/>
      <c r="M111" s="2"/>
      <c r="N111" s="2" t="s">
        <v>352</v>
      </c>
      <c r="O111" s="2"/>
      <c r="P111" s="2"/>
      <c r="Q111" s="2"/>
      <c r="R111" s="2" t="s">
        <v>352</v>
      </c>
      <c r="S111" s="2"/>
      <c r="T111" s="2" t="s">
        <v>352</v>
      </c>
      <c r="U111" s="2"/>
      <c r="V111" s="2"/>
      <c r="W111" s="2"/>
      <c r="X111" s="2"/>
      <c r="Y111" s="2"/>
      <c r="Z111" s="2" t="s">
        <v>352</v>
      </c>
      <c r="AA111" s="2" t="s">
        <v>352</v>
      </c>
      <c r="AB111" s="2"/>
      <c r="AC111" s="2" t="s">
        <v>352</v>
      </c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196</v>
      </c>
      <c r="C112" s="57">
        <v>2023</v>
      </c>
      <c r="D112" s="54" t="s">
        <v>326</v>
      </c>
      <c r="E112" s="54"/>
      <c r="F112" s="2" t="s">
        <v>37</v>
      </c>
      <c r="G112" s="2">
        <f t="shared" si="14"/>
        <v>38</v>
      </c>
      <c r="H112" s="6">
        <f>I112+개인기록Sheet!C112</f>
        <v>5.8</v>
      </c>
      <c r="I112" s="6">
        <f t="shared" si="15"/>
        <v>5</v>
      </c>
      <c r="J112" s="2" t="s">
        <v>352</v>
      </c>
      <c r="K112" s="2"/>
      <c r="L112" s="2"/>
      <c r="M112" s="2" t="s">
        <v>352</v>
      </c>
      <c r="N112" s="2"/>
      <c r="O112" s="2" t="s">
        <v>352</v>
      </c>
      <c r="P112" s="2"/>
      <c r="Q112" s="2" t="s">
        <v>352</v>
      </c>
      <c r="R112" s="2"/>
      <c r="S112" s="2"/>
      <c r="T112" s="2"/>
      <c r="U112" s="2"/>
      <c r="V112" s="2"/>
      <c r="W112" s="2"/>
      <c r="X112" s="2"/>
      <c r="Y112" s="2"/>
      <c r="Z112" s="2" t="s">
        <v>352</v>
      </c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67</v>
      </c>
      <c r="C113" s="57" t="s">
        <v>322</v>
      </c>
      <c r="D113" s="54" t="s">
        <v>326</v>
      </c>
      <c r="E113" s="54"/>
      <c r="F113" s="2" t="s">
        <v>37</v>
      </c>
      <c r="G113" s="2">
        <f t="shared" si="14"/>
        <v>17</v>
      </c>
      <c r="H113" s="6">
        <f>I113+개인기록Sheet!C113</f>
        <v>10.4</v>
      </c>
      <c r="I113" s="6">
        <f t="shared" si="15"/>
        <v>9</v>
      </c>
      <c r="J113" s="2" t="s">
        <v>352</v>
      </c>
      <c r="K113" s="2"/>
      <c r="L113" s="2"/>
      <c r="M113" s="2" t="s">
        <v>352</v>
      </c>
      <c r="N113" s="2"/>
      <c r="O113" s="2"/>
      <c r="P113" s="2"/>
      <c r="Q113" s="2" t="s">
        <v>352</v>
      </c>
      <c r="R113" s="2" t="s">
        <v>352</v>
      </c>
      <c r="S113" s="2" t="s">
        <v>352</v>
      </c>
      <c r="T113" s="2"/>
      <c r="U113" s="2"/>
      <c r="V113" s="2"/>
      <c r="W113" s="2"/>
      <c r="X113" s="2" t="s">
        <v>352</v>
      </c>
      <c r="Y113" s="2" t="s">
        <v>352</v>
      </c>
      <c r="Z113" s="2" t="s">
        <v>352</v>
      </c>
      <c r="AA113" s="2" t="s">
        <v>352</v>
      </c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307</v>
      </c>
      <c r="C114" s="58">
        <v>2025</v>
      </c>
      <c r="D114" s="54" t="s">
        <v>326</v>
      </c>
      <c r="E114" s="54"/>
      <c r="F114" s="2" t="s">
        <v>37</v>
      </c>
      <c r="G114" s="2">
        <f t="shared" si="14"/>
        <v>59</v>
      </c>
      <c r="H114" s="6">
        <f>I114+개인기록Sheet!C114</f>
        <v>3.4</v>
      </c>
      <c r="I114" s="6">
        <f t="shared" si="15"/>
        <v>3</v>
      </c>
      <c r="J114" s="2" t="s">
        <v>352</v>
      </c>
      <c r="K114" s="2" t="s">
        <v>352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 t="s">
        <v>352</v>
      </c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113</v>
      </c>
      <c r="C115" s="57">
        <v>2022</v>
      </c>
      <c r="D115" s="54" t="s">
        <v>326</v>
      </c>
      <c r="E115" s="54"/>
      <c r="F115" s="2" t="s">
        <v>37</v>
      </c>
      <c r="G115" s="2">
        <f t="shared" si="14"/>
        <v>56</v>
      </c>
      <c r="H115" s="6">
        <f>I115+개인기록Sheet!C115</f>
        <v>3.9000000000000004</v>
      </c>
      <c r="I115" s="6">
        <f t="shared" si="15"/>
        <v>3</v>
      </c>
      <c r="J115" s="2"/>
      <c r="K115" s="2"/>
      <c r="L115" s="2"/>
      <c r="M115" s="2"/>
      <c r="N115" s="2"/>
      <c r="O115" s="2"/>
      <c r="P115" s="2"/>
      <c r="Q115" s="2"/>
      <c r="R115" s="2"/>
      <c r="S115" s="2" t="s">
        <v>352</v>
      </c>
      <c r="T115" s="2"/>
      <c r="U115" s="2"/>
      <c r="V115" s="2"/>
      <c r="W115" s="2"/>
      <c r="X115" s="2"/>
      <c r="Y115" s="2" t="s">
        <v>352</v>
      </c>
      <c r="Z115" s="2" t="s">
        <v>352</v>
      </c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297</v>
      </c>
      <c r="C116" s="58">
        <v>2024</v>
      </c>
      <c r="D116" s="54" t="s">
        <v>326</v>
      </c>
      <c r="E116" s="54"/>
      <c r="F116" s="2" t="s">
        <v>37</v>
      </c>
      <c r="G116" s="2">
        <f t="shared" si="14"/>
        <v>70</v>
      </c>
      <c r="H116" s="6">
        <f>I116+개인기록Sheet!C116</f>
        <v>2.2000000000000002</v>
      </c>
      <c r="I116" s="6">
        <f t="shared" si="15"/>
        <v>2</v>
      </c>
      <c r="J116" s="2"/>
      <c r="K116" s="2"/>
      <c r="L116" s="2" t="s">
        <v>352</v>
      </c>
      <c r="M116" s="2"/>
      <c r="N116" s="2" t="s">
        <v>352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374</v>
      </c>
      <c r="C117" s="58">
        <v>2026</v>
      </c>
      <c r="D117" s="54" t="s">
        <v>398</v>
      </c>
      <c r="E117" s="54"/>
      <c r="F117" s="2" t="s">
        <v>37</v>
      </c>
      <c r="G117" s="2">
        <f t="shared" si="14"/>
        <v>24</v>
      </c>
      <c r="H117" s="6">
        <f>I117+개인기록Sheet!C117</f>
        <v>7.5</v>
      </c>
      <c r="I117" s="6">
        <f t="shared" si="15"/>
        <v>5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 t="s">
        <v>352</v>
      </c>
      <c r="V117" s="2" t="s">
        <v>352</v>
      </c>
      <c r="W117" s="2" t="s">
        <v>352</v>
      </c>
      <c r="X117" s="2" t="s">
        <v>352</v>
      </c>
      <c r="Y117" s="2" t="s">
        <v>352</v>
      </c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124</v>
      </c>
      <c r="C118" s="57">
        <v>2023</v>
      </c>
      <c r="D118" s="54" t="s">
        <v>326</v>
      </c>
      <c r="E118" s="54"/>
      <c r="F118" s="2" t="s">
        <v>37</v>
      </c>
      <c r="G118" s="2">
        <f t="shared" si="14"/>
        <v>29</v>
      </c>
      <c r="H118" s="6">
        <f>I118+개인기록Sheet!C118</f>
        <v>7.1</v>
      </c>
      <c r="I118" s="6">
        <f t="shared" si="15"/>
        <v>5</v>
      </c>
      <c r="J118" s="2"/>
      <c r="K118" s="2"/>
      <c r="L118" s="2" t="s">
        <v>352</v>
      </c>
      <c r="M118" s="2"/>
      <c r="N118" s="2" t="s">
        <v>352</v>
      </c>
      <c r="O118" s="2"/>
      <c r="P118" s="2"/>
      <c r="Q118" s="2"/>
      <c r="R118" s="2"/>
      <c r="S118" s="2"/>
      <c r="T118" s="2"/>
      <c r="U118" s="2" t="s">
        <v>352</v>
      </c>
      <c r="V118" s="2"/>
      <c r="W118" s="2"/>
      <c r="X118" s="2"/>
      <c r="Y118" s="2"/>
      <c r="Z118" s="2"/>
      <c r="AA118" s="2"/>
      <c r="AB118" s="2" t="s">
        <v>352</v>
      </c>
      <c r="AC118" s="2" t="s">
        <v>352</v>
      </c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132</v>
      </c>
      <c r="C119" s="57">
        <v>2023</v>
      </c>
      <c r="D119" s="54" t="s">
        <v>353</v>
      </c>
      <c r="E119" s="54"/>
      <c r="F119" s="2" t="s">
        <v>37</v>
      </c>
      <c r="G119" s="2">
        <f t="shared" si="14"/>
        <v>83</v>
      </c>
      <c r="H119" s="6">
        <f>I119+개인기록Sheet!C119</f>
        <v>0</v>
      </c>
      <c r="I119" s="6">
        <f t="shared" si="15"/>
        <v>0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318</v>
      </c>
      <c r="C120" s="58">
        <v>2025</v>
      </c>
      <c r="D120" s="54">
        <f t="shared" ref="D120" si="22">COUNTA(L120:AB120)</f>
        <v>2</v>
      </c>
      <c r="E120" s="54"/>
      <c r="F120" s="2" t="s">
        <v>37</v>
      </c>
      <c r="G120" s="2">
        <f t="shared" si="14"/>
        <v>69</v>
      </c>
      <c r="H120" s="6">
        <f>I120+개인기록Sheet!C120</f>
        <v>2.4</v>
      </c>
      <c r="I120" s="6">
        <f t="shared" si="15"/>
        <v>2</v>
      </c>
      <c r="J120" s="2"/>
      <c r="K120" s="2"/>
      <c r="L120" s="2"/>
      <c r="M120" s="2"/>
      <c r="N120" s="2"/>
      <c r="O120" s="2"/>
      <c r="P120" s="2"/>
      <c r="Q120" s="2" t="s">
        <v>352</v>
      </c>
      <c r="R120" s="2"/>
      <c r="S120" s="2"/>
      <c r="T120" s="2"/>
      <c r="U120" s="2"/>
      <c r="V120" s="2"/>
      <c r="W120" s="2"/>
      <c r="X120" s="2"/>
      <c r="Y120" s="2"/>
      <c r="Z120" s="2"/>
      <c r="AA120" s="2" t="s">
        <v>352</v>
      </c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32</v>
      </c>
      <c r="C121" s="57" t="s">
        <v>322</v>
      </c>
      <c r="D121" s="54" t="s">
        <v>227</v>
      </c>
      <c r="E121" s="54"/>
      <c r="F121" s="2" t="s">
        <v>37</v>
      </c>
      <c r="G121" s="2">
        <f t="shared" si="14"/>
        <v>83</v>
      </c>
      <c r="H121" s="6">
        <f>I121+개인기록Sheet!C121</f>
        <v>0</v>
      </c>
      <c r="I121" s="6">
        <f t="shared" si="15"/>
        <v>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241</v>
      </c>
      <c r="C122" s="58">
        <v>2024</v>
      </c>
      <c r="D122" s="54">
        <f t="shared" ref="D122" si="23">COUNTA(L122:AB122)</f>
        <v>0</v>
      </c>
      <c r="E122" s="54"/>
      <c r="F122" s="2" t="s">
        <v>37</v>
      </c>
      <c r="G122" s="2">
        <f t="shared" si="14"/>
        <v>83</v>
      </c>
      <c r="H122" s="6">
        <f>I122+개인기록Sheet!C122</f>
        <v>0</v>
      </c>
      <c r="I122" s="6">
        <f t="shared" si="15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42</v>
      </c>
      <c r="C123" s="57" t="s">
        <v>322</v>
      </c>
      <c r="D123" s="54" t="s">
        <v>326</v>
      </c>
      <c r="E123" s="54"/>
      <c r="F123" s="2" t="s">
        <v>37</v>
      </c>
      <c r="G123" s="2">
        <f t="shared" si="14"/>
        <v>26</v>
      </c>
      <c r="H123" s="6">
        <f>I123+개인기록Sheet!C123</f>
        <v>7.2</v>
      </c>
      <c r="I123" s="6">
        <f t="shared" si="15"/>
        <v>5</v>
      </c>
      <c r="J123" s="2"/>
      <c r="K123" s="2" t="s">
        <v>352</v>
      </c>
      <c r="L123" s="2"/>
      <c r="M123" s="2"/>
      <c r="N123" s="2"/>
      <c r="O123" s="2"/>
      <c r="P123" s="2"/>
      <c r="Q123" s="2" t="s">
        <v>352</v>
      </c>
      <c r="R123" s="2"/>
      <c r="S123" s="2" t="s">
        <v>352</v>
      </c>
      <c r="T123" s="2"/>
      <c r="U123" s="2"/>
      <c r="V123" s="2"/>
      <c r="W123" s="2"/>
      <c r="X123" s="2"/>
      <c r="Y123" s="2"/>
      <c r="Z123" s="2" t="s">
        <v>352</v>
      </c>
      <c r="AA123" s="2"/>
      <c r="AB123" s="2"/>
      <c r="AC123" s="2" t="s">
        <v>352</v>
      </c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</sheetData>
  <phoneticPr fontId="2" type="noConversion"/>
  <conditionalFormatting sqref="D4:E123">
    <cfRule type="containsText" dxfId="13" priority="1" operator="containsText" text="지급">
      <formula>NOT(ISERROR(SEARCH("지급",D4)))</formula>
    </cfRule>
  </conditionalFormatting>
  <conditionalFormatting sqref="G4:G123">
    <cfRule type="top10" dxfId="12" priority="906" bottom="1" rank="10"/>
  </conditionalFormatting>
  <conditionalFormatting sqref="H4:H123">
    <cfRule type="top10" dxfId="11" priority="908" rank="10"/>
  </conditionalFormatting>
  <conditionalFormatting sqref="I4:I123">
    <cfRule type="top10" dxfId="10" priority="91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168"/>
  <sheetViews>
    <sheetView topLeftCell="A151" zoomScaleNormal="125" workbookViewId="0">
      <selection activeCell="V167" sqref="V167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128</v>
      </c>
      <c r="D2" s="10" t="s">
        <v>129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311</v>
      </c>
      <c r="G3" s="7" t="s">
        <v>175</v>
      </c>
      <c r="H3" s="7"/>
      <c r="I3" s="8" t="s">
        <v>110</v>
      </c>
      <c r="J3" s="8" t="s">
        <v>103</v>
      </c>
      <c r="K3" s="8" t="s">
        <v>311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298</v>
      </c>
      <c r="R3" s="9" t="s">
        <v>202</v>
      </c>
      <c r="S3" s="9" t="s">
        <v>203</v>
      </c>
      <c r="T3" s="9" t="s">
        <v>355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328</v>
      </c>
      <c r="F5" s="7"/>
      <c r="G5" s="7"/>
      <c r="H5" s="7"/>
      <c r="I5" s="8" t="s">
        <v>312</v>
      </c>
      <c r="J5" s="8"/>
      <c r="K5" s="8"/>
      <c r="L5" s="8"/>
      <c r="M5" s="20" t="s">
        <v>107</v>
      </c>
      <c r="N5" s="20" t="s">
        <v>237</v>
      </c>
      <c r="O5" s="20" t="s">
        <v>204</v>
      </c>
      <c r="P5" s="20"/>
      <c r="Q5" s="9" t="s">
        <v>182</v>
      </c>
      <c r="R5" s="9" t="s">
        <v>137</v>
      </c>
      <c r="S5" s="9" t="s">
        <v>124</v>
      </c>
      <c r="T5" s="9" t="s">
        <v>328</v>
      </c>
      <c r="U5" s="9"/>
      <c r="V5" s="13" t="s">
        <v>175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179</v>
      </c>
      <c r="F7" s="7" t="s">
        <v>109</v>
      </c>
      <c r="G7" s="7"/>
      <c r="H7" s="7"/>
      <c r="I7" s="8" t="s">
        <v>182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298</v>
      </c>
      <c r="R7" s="9" t="s">
        <v>179</v>
      </c>
      <c r="S7" s="9" t="s">
        <v>182</v>
      </c>
      <c r="T7" s="9" t="s">
        <v>297</v>
      </c>
      <c r="U7" s="9"/>
      <c r="V7" s="13" t="s">
        <v>175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175</v>
      </c>
      <c r="F9" s="7" t="s">
        <v>202</v>
      </c>
      <c r="G9" s="7"/>
      <c r="H9" s="7"/>
      <c r="I9" s="8" t="s">
        <v>202</v>
      </c>
      <c r="J9" s="8" t="s">
        <v>204</v>
      </c>
      <c r="K9" s="8"/>
      <c r="L9" s="8"/>
      <c r="M9" s="20" t="s">
        <v>107</v>
      </c>
      <c r="N9" s="20" t="s">
        <v>202</v>
      </c>
      <c r="O9" s="20" t="s">
        <v>204</v>
      </c>
      <c r="P9" s="20"/>
      <c r="Q9" s="9" t="s">
        <v>328</v>
      </c>
      <c r="R9" s="9" t="s">
        <v>137</v>
      </c>
      <c r="S9" s="9" t="s">
        <v>124</v>
      </c>
      <c r="T9" s="9" t="s">
        <v>355</v>
      </c>
      <c r="U9" s="9"/>
      <c r="V9" s="13" t="s">
        <v>298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358</v>
      </c>
      <c r="D13" s="10" t="s">
        <v>359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351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351</v>
      </c>
      <c r="F18" s="7" t="s">
        <v>136</v>
      </c>
      <c r="G18" s="7"/>
      <c r="H18" s="7"/>
      <c r="I18" s="8" t="s">
        <v>105</v>
      </c>
      <c r="J18" s="8" t="s">
        <v>350</v>
      </c>
      <c r="K18" s="8"/>
      <c r="L18" s="8"/>
      <c r="M18" s="20" t="s">
        <v>308</v>
      </c>
      <c r="N18" s="20" t="s">
        <v>351</v>
      </c>
      <c r="O18" s="20"/>
      <c r="P18" s="20"/>
      <c r="Q18" s="9" t="s">
        <v>137</v>
      </c>
      <c r="R18" s="9" t="s">
        <v>202</v>
      </c>
      <c r="S18" s="9" t="s">
        <v>136</v>
      </c>
      <c r="T18" s="9" t="s">
        <v>203</v>
      </c>
      <c r="U18" s="9"/>
      <c r="V18" s="13" t="s">
        <v>182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312</v>
      </c>
      <c r="F20" s="7" t="s">
        <v>344</v>
      </c>
      <c r="G20" s="7"/>
      <c r="H20" s="7"/>
      <c r="I20" s="8"/>
      <c r="J20" s="8" t="s">
        <v>312</v>
      </c>
      <c r="K20" s="8"/>
      <c r="L20" s="8"/>
      <c r="M20" s="20" t="s">
        <v>202</v>
      </c>
      <c r="N20" s="20" t="s">
        <v>308</v>
      </c>
      <c r="O20" s="20"/>
      <c r="P20" s="20"/>
      <c r="Q20" s="9" t="s">
        <v>137</v>
      </c>
      <c r="R20" s="9" t="s">
        <v>203</v>
      </c>
      <c r="S20" s="9" t="s">
        <v>136</v>
      </c>
      <c r="T20" s="9"/>
      <c r="U20" s="9"/>
      <c r="V20" s="13" t="s">
        <v>182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358</v>
      </c>
      <c r="D24" s="10" t="s">
        <v>358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311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318</v>
      </c>
      <c r="F26" s="7"/>
      <c r="G26" s="7"/>
      <c r="H26" s="7"/>
      <c r="I26" s="8" t="s">
        <v>362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311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311</v>
      </c>
      <c r="M27" s="20" t="s">
        <v>103</v>
      </c>
      <c r="N27" s="20" t="s">
        <v>97</v>
      </c>
      <c r="O27" s="20" t="s">
        <v>202</v>
      </c>
      <c r="P27" s="20"/>
      <c r="Q27" s="9" t="s">
        <v>122</v>
      </c>
      <c r="R27" s="9" t="s">
        <v>298</v>
      </c>
      <c r="S27" s="9" t="s">
        <v>92</v>
      </c>
      <c r="T27" s="9" t="s">
        <v>136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140</v>
      </c>
      <c r="F29" s="7" t="s">
        <v>344</v>
      </c>
      <c r="G29" s="7"/>
      <c r="H29" s="7"/>
      <c r="I29" s="8"/>
      <c r="J29" s="8"/>
      <c r="K29" s="8"/>
      <c r="L29" s="8"/>
      <c r="M29" s="20" t="s">
        <v>299</v>
      </c>
      <c r="N29" s="20" t="s">
        <v>319</v>
      </c>
      <c r="O29" s="20"/>
      <c r="P29" s="20"/>
      <c r="Q29" s="9" t="s">
        <v>115</v>
      </c>
      <c r="R29" s="9" t="s">
        <v>196</v>
      </c>
      <c r="S29" s="9" t="s">
        <v>182</v>
      </c>
      <c r="T29" s="9" t="s">
        <v>304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311</v>
      </c>
      <c r="F31" s="7" t="s">
        <v>202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202</v>
      </c>
      <c r="P31" s="20"/>
      <c r="Q31" s="9" t="s">
        <v>122</v>
      </c>
      <c r="R31" s="9" t="s">
        <v>298</v>
      </c>
      <c r="S31" s="9" t="s">
        <v>301</v>
      </c>
      <c r="T31" s="9" t="s">
        <v>136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361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298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204</v>
      </c>
      <c r="F34" s="7" t="s">
        <v>344</v>
      </c>
      <c r="G34" s="7"/>
      <c r="H34" s="7"/>
      <c r="I34" s="8" t="s">
        <v>344</v>
      </c>
      <c r="J34" s="8" t="s">
        <v>139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358</v>
      </c>
      <c r="D37" s="10" t="s">
        <v>368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202</v>
      </c>
      <c r="F44" s="7" t="s">
        <v>202</v>
      </c>
      <c r="G44" s="7"/>
      <c r="H44" s="7"/>
      <c r="I44" s="8" t="s">
        <v>97</v>
      </c>
      <c r="J44" s="8" t="s">
        <v>344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358</v>
      </c>
      <c r="D49" s="10" t="s">
        <v>358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204</v>
      </c>
      <c r="N50" s="20" t="s">
        <v>95</v>
      </c>
      <c r="O50" s="20" t="s">
        <v>110</v>
      </c>
      <c r="P50" s="20"/>
      <c r="Q50" s="9" t="s">
        <v>369</v>
      </c>
      <c r="R50" s="9" t="s">
        <v>234</v>
      </c>
      <c r="S50" s="9" t="s">
        <v>355</v>
      </c>
      <c r="T50" s="9" t="s">
        <v>122</v>
      </c>
      <c r="U50" s="9"/>
      <c r="V50" s="13" t="s">
        <v>175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298</v>
      </c>
      <c r="R52" s="9" t="s">
        <v>202</v>
      </c>
      <c r="S52" s="9" t="s">
        <v>203</v>
      </c>
      <c r="T52" s="9" t="s">
        <v>370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131</v>
      </c>
      <c r="T53" s="9" t="s">
        <v>304</v>
      </c>
      <c r="U53" s="9"/>
      <c r="V53" s="13" t="s">
        <v>175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311</v>
      </c>
      <c r="G54" s="7" t="s">
        <v>367</v>
      </c>
      <c r="H54" s="7"/>
      <c r="I54" s="8" t="s">
        <v>140</v>
      </c>
      <c r="J54" s="8"/>
      <c r="K54" s="8"/>
      <c r="L54" s="8"/>
      <c r="M54" s="20" t="s">
        <v>237</v>
      </c>
      <c r="N54" s="20" t="s">
        <v>367</v>
      </c>
      <c r="O54" s="20" t="s">
        <v>135</v>
      </c>
      <c r="P54" s="20"/>
      <c r="Q54" s="9" t="s">
        <v>203</v>
      </c>
      <c r="R54" s="9" t="s">
        <v>182</v>
      </c>
      <c r="S54" s="9" t="s">
        <v>92</v>
      </c>
      <c r="T54" s="9" t="s">
        <v>108</v>
      </c>
      <c r="U54" s="9"/>
      <c r="V54" s="13" t="s">
        <v>202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344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361</v>
      </c>
      <c r="C58" s="75">
        <v>2</v>
      </c>
      <c r="D58" s="75">
        <v>0</v>
      </c>
      <c r="E58" s="7" t="s">
        <v>109</v>
      </c>
      <c r="F58" s="7" t="s">
        <v>367</v>
      </c>
      <c r="G58" s="7"/>
      <c r="H58" s="7"/>
      <c r="I58" s="8" t="s">
        <v>311</v>
      </c>
      <c r="J58" s="8" t="s">
        <v>122</v>
      </c>
      <c r="K58" s="8"/>
      <c r="L58" s="8"/>
      <c r="M58" s="20" t="s">
        <v>103</v>
      </c>
      <c r="N58" s="20" t="s">
        <v>202</v>
      </c>
      <c r="O58" s="20"/>
      <c r="P58" s="20"/>
      <c r="Q58" s="9" t="s">
        <v>122</v>
      </c>
      <c r="R58" s="9" t="s">
        <v>108</v>
      </c>
      <c r="S58" s="9" t="s">
        <v>298</v>
      </c>
      <c r="T58" s="9" t="s">
        <v>370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378</v>
      </c>
      <c r="D63" s="10" t="s">
        <v>390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164</v>
      </c>
      <c r="F65" s="7"/>
      <c r="G65" s="7"/>
      <c r="H65" s="7"/>
      <c r="I65" s="8" t="s">
        <v>311</v>
      </c>
      <c r="J65" s="8"/>
      <c r="K65" s="8"/>
      <c r="L65" s="8"/>
      <c r="M65" s="20" t="s">
        <v>107</v>
      </c>
      <c r="N65" s="20" t="s">
        <v>135</v>
      </c>
      <c r="O65" s="20" t="s">
        <v>365</v>
      </c>
      <c r="P65" s="20"/>
      <c r="Q65" s="9" t="s">
        <v>124</v>
      </c>
      <c r="R65" s="9" t="s">
        <v>203</v>
      </c>
      <c r="S65" s="9" t="s">
        <v>202</v>
      </c>
      <c r="T65" s="9" t="s">
        <v>238</v>
      </c>
      <c r="U65" s="9"/>
      <c r="V65" s="13" t="s">
        <v>384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202</v>
      </c>
      <c r="T66" s="9" t="s">
        <v>384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298</v>
      </c>
      <c r="R67" s="9" t="s">
        <v>182</v>
      </c>
      <c r="S67" s="9" t="s">
        <v>136</v>
      </c>
      <c r="T67" s="9" t="s">
        <v>115</v>
      </c>
      <c r="U67" s="9"/>
      <c r="V67" s="13" t="s">
        <v>131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182</v>
      </c>
      <c r="R68" s="9" t="s">
        <v>104</v>
      </c>
      <c r="S68" s="9" t="s">
        <v>298</v>
      </c>
      <c r="T68" s="9" t="s">
        <v>115</v>
      </c>
      <c r="U68" s="9"/>
      <c r="V68" s="13" t="s">
        <v>175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203</v>
      </c>
      <c r="R69" s="9" t="s">
        <v>122</v>
      </c>
      <c r="S69" s="9" t="s">
        <v>124</v>
      </c>
      <c r="T69" s="9" t="s">
        <v>238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135</v>
      </c>
      <c r="N71" s="20" t="s">
        <v>202</v>
      </c>
      <c r="O71" s="20" t="s">
        <v>107</v>
      </c>
      <c r="P71" s="20"/>
      <c r="Q71" s="9" t="s">
        <v>203</v>
      </c>
      <c r="R71" s="9" t="s">
        <v>118</v>
      </c>
      <c r="S71" s="9" t="s">
        <v>124</v>
      </c>
      <c r="T71" s="9" t="s">
        <v>238</v>
      </c>
      <c r="U71" s="9"/>
      <c r="V71" s="13" t="s">
        <v>122</v>
      </c>
    </row>
    <row r="72" spans="2:22" x14ac:dyDescent="0.25">
      <c r="B72" s="73" t="s">
        <v>361</v>
      </c>
      <c r="C72" s="75">
        <v>1</v>
      </c>
      <c r="D72" s="75">
        <v>0</v>
      </c>
      <c r="E72" s="7" t="s">
        <v>380</v>
      </c>
      <c r="F72" s="7"/>
      <c r="G72" s="7"/>
      <c r="H72" s="7"/>
      <c r="I72" s="8" t="s">
        <v>373</v>
      </c>
      <c r="J72" s="8"/>
      <c r="K72" s="8"/>
      <c r="L72" s="8"/>
      <c r="M72" s="20" t="s">
        <v>380</v>
      </c>
      <c r="N72" s="20" t="s">
        <v>381</v>
      </c>
      <c r="O72" s="20" t="s">
        <v>382</v>
      </c>
      <c r="P72" s="20"/>
      <c r="Q72" s="9" t="s">
        <v>383</v>
      </c>
      <c r="R72" s="9" t="s">
        <v>104</v>
      </c>
      <c r="S72" s="9" t="s">
        <v>298</v>
      </c>
      <c r="T72" s="9" t="s">
        <v>136</v>
      </c>
      <c r="U72" s="9"/>
      <c r="V72" s="13" t="s">
        <v>175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378</v>
      </c>
      <c r="D77" s="10" t="s">
        <v>390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204</v>
      </c>
      <c r="F79" s="7" t="s">
        <v>109</v>
      </c>
      <c r="G79" s="7" t="s">
        <v>204</v>
      </c>
      <c r="H79" s="7"/>
      <c r="I79" s="8"/>
      <c r="J79" s="8" t="s">
        <v>217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202</v>
      </c>
      <c r="F80" s="7" t="s">
        <v>202</v>
      </c>
      <c r="G80" s="7" t="s">
        <v>348</v>
      </c>
      <c r="H80" s="7"/>
      <c r="I80" s="8" t="s">
        <v>105</v>
      </c>
      <c r="J80" s="8"/>
      <c r="K80" s="8" t="s">
        <v>137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217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348</v>
      </c>
      <c r="F82" s="7" t="s">
        <v>374</v>
      </c>
      <c r="G82" s="7" t="s">
        <v>202</v>
      </c>
      <c r="H82" s="7"/>
      <c r="I82" s="8" t="s">
        <v>202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204</v>
      </c>
      <c r="F83" s="7"/>
      <c r="G83" s="7"/>
      <c r="H83" s="7"/>
      <c r="I83" s="8" t="s">
        <v>377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348</v>
      </c>
      <c r="F84" s="7" t="s">
        <v>105</v>
      </c>
      <c r="G84" s="7" t="s">
        <v>202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377</v>
      </c>
      <c r="F85" s="7" t="s">
        <v>374</v>
      </c>
      <c r="G85" s="7"/>
      <c r="H85" s="7"/>
      <c r="I85" s="8" t="s">
        <v>374</v>
      </c>
      <c r="J85" s="8"/>
      <c r="K85" s="8" t="s">
        <v>377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391</v>
      </c>
      <c r="D89" s="10" t="s">
        <v>392</v>
      </c>
      <c r="E89" s="77" t="s">
        <v>82</v>
      </c>
      <c r="F89" s="77"/>
      <c r="G89" s="77"/>
      <c r="H89" s="77"/>
      <c r="I89" s="78" t="s">
        <v>85</v>
      </c>
      <c r="J89" s="78"/>
      <c r="K89" s="78"/>
      <c r="L89" s="78"/>
      <c r="M89" s="79" t="s">
        <v>84</v>
      </c>
      <c r="N89" s="79"/>
      <c r="O89" s="79"/>
      <c r="P89" s="79"/>
      <c r="Q89" s="80" t="s">
        <v>78</v>
      </c>
      <c r="R89" s="80"/>
      <c r="S89" s="80"/>
      <c r="T89" s="80"/>
      <c r="U89" s="80"/>
      <c r="V89" s="80"/>
    </row>
    <row r="90" spans="2:22" x14ac:dyDescent="0.25">
      <c r="B90" s="73" t="s">
        <v>65</v>
      </c>
      <c r="C90" s="75">
        <v>3</v>
      </c>
      <c r="D90" s="75">
        <v>0</v>
      </c>
      <c r="E90" s="7" t="s">
        <v>237</v>
      </c>
      <c r="F90" s="7" t="s">
        <v>140</v>
      </c>
      <c r="G90" s="7" t="s">
        <v>344</v>
      </c>
      <c r="H90" s="7"/>
      <c r="I90" s="8" t="s">
        <v>311</v>
      </c>
      <c r="J90" s="8" t="s">
        <v>237</v>
      </c>
      <c r="K90" s="8" t="s">
        <v>203</v>
      </c>
      <c r="L90" s="8"/>
      <c r="M90" s="20" t="s">
        <v>107</v>
      </c>
      <c r="N90" s="20" t="s">
        <v>202</v>
      </c>
      <c r="O90" s="20" t="s">
        <v>237</v>
      </c>
      <c r="P90" s="20"/>
      <c r="Q90" s="9" t="s">
        <v>298</v>
      </c>
      <c r="R90" s="9" t="s">
        <v>348</v>
      </c>
      <c r="S90" s="9" t="s">
        <v>215</v>
      </c>
      <c r="T90" s="9" t="s">
        <v>203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140</v>
      </c>
      <c r="F92" s="7" t="s">
        <v>237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375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344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140</v>
      </c>
      <c r="O94" s="20" t="s">
        <v>111</v>
      </c>
      <c r="P94" s="20"/>
      <c r="Q94" s="9" t="s">
        <v>215</v>
      </c>
      <c r="R94" s="9" t="s">
        <v>203</v>
      </c>
      <c r="S94" s="9" t="s">
        <v>348</v>
      </c>
      <c r="T94" s="9" t="s">
        <v>202</v>
      </c>
      <c r="U94" s="9"/>
      <c r="V94" s="13" t="s">
        <v>237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311</v>
      </c>
      <c r="F96" s="7" t="s">
        <v>344</v>
      </c>
      <c r="G96" s="7" t="s">
        <v>311</v>
      </c>
      <c r="H96" s="7" t="s">
        <v>311</v>
      </c>
      <c r="I96" s="8" t="s">
        <v>344</v>
      </c>
      <c r="J96" s="8" t="s">
        <v>311</v>
      </c>
      <c r="K96" s="8" t="s">
        <v>202</v>
      </c>
      <c r="L96" s="8" t="s">
        <v>344</v>
      </c>
      <c r="M96" s="20" t="s">
        <v>107</v>
      </c>
      <c r="N96" s="20" t="s">
        <v>202</v>
      </c>
      <c r="O96" s="20" t="s">
        <v>237</v>
      </c>
      <c r="P96" s="20"/>
      <c r="Q96" s="9" t="s">
        <v>215</v>
      </c>
      <c r="R96" s="9" t="s">
        <v>203</v>
      </c>
      <c r="S96" s="9" t="s">
        <v>348</v>
      </c>
      <c r="T96" s="9" t="s">
        <v>111</v>
      </c>
      <c r="U96" s="9"/>
      <c r="V96" s="13" t="s">
        <v>140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358</v>
      </c>
      <c r="D101" s="10" t="s">
        <v>393</v>
      </c>
      <c r="E101" s="77" t="s">
        <v>82</v>
      </c>
      <c r="F101" s="77"/>
      <c r="G101" s="77"/>
      <c r="H101" s="77"/>
      <c r="I101" s="78" t="s">
        <v>85</v>
      </c>
      <c r="J101" s="78"/>
      <c r="K101" s="78"/>
      <c r="L101" s="78"/>
      <c r="M101" s="79" t="s">
        <v>84</v>
      </c>
      <c r="N101" s="79"/>
      <c r="O101" s="79"/>
      <c r="P101" s="79"/>
      <c r="Q101" s="80" t="s">
        <v>78</v>
      </c>
      <c r="R101" s="80"/>
      <c r="S101" s="80"/>
      <c r="T101" s="80"/>
      <c r="U101" s="80"/>
      <c r="V101" s="80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131</v>
      </c>
      <c r="F102" s="7" t="s">
        <v>311</v>
      </c>
      <c r="G102" s="7"/>
      <c r="H102" s="7"/>
      <c r="I102" s="8" t="s">
        <v>311</v>
      </c>
      <c r="J102" s="8" t="s">
        <v>131</v>
      </c>
      <c r="K102" s="8"/>
      <c r="L102" s="8"/>
      <c r="M102" s="20" t="s">
        <v>202</v>
      </c>
      <c r="N102" s="20" t="s">
        <v>135</v>
      </c>
      <c r="O102" s="20" t="s">
        <v>367</v>
      </c>
      <c r="P102" s="20"/>
      <c r="Q102" s="9" t="s">
        <v>369</v>
      </c>
      <c r="R102" s="9" t="s">
        <v>111</v>
      </c>
      <c r="S102" s="9" t="s">
        <v>348</v>
      </c>
      <c r="T102" s="9" t="s">
        <v>350</v>
      </c>
      <c r="U102" s="9"/>
      <c r="V102" s="13" t="s">
        <v>373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374</v>
      </c>
      <c r="N104" s="20" t="s">
        <v>111</v>
      </c>
      <c r="O104" s="20" t="s">
        <v>135</v>
      </c>
      <c r="P104" s="20"/>
      <c r="Q104" s="9" t="s">
        <v>182</v>
      </c>
      <c r="R104" s="9" t="s">
        <v>373</v>
      </c>
      <c r="S104" s="9" t="s">
        <v>372</v>
      </c>
      <c r="T104" s="9" t="s">
        <v>203</v>
      </c>
      <c r="U104" s="9"/>
      <c r="V104" s="13" t="s">
        <v>131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311</v>
      </c>
      <c r="F106" s="7" t="s">
        <v>311</v>
      </c>
      <c r="G106" s="7"/>
      <c r="H106" s="7"/>
      <c r="I106" s="8" t="s">
        <v>202</v>
      </c>
      <c r="J106" s="8" t="s">
        <v>131</v>
      </c>
      <c r="K106" s="8"/>
      <c r="L106" s="8"/>
      <c r="M106" s="20" t="s">
        <v>202</v>
      </c>
      <c r="N106" s="20" t="s">
        <v>374</v>
      </c>
      <c r="O106" s="20" t="s">
        <v>204</v>
      </c>
      <c r="P106" s="20"/>
      <c r="Q106" s="9" t="s">
        <v>375</v>
      </c>
      <c r="R106" s="9" t="s">
        <v>348</v>
      </c>
      <c r="S106" s="9" t="s">
        <v>369</v>
      </c>
      <c r="T106" s="9" t="s">
        <v>350</v>
      </c>
      <c r="U106" s="9"/>
      <c r="V106" s="13" t="s">
        <v>395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311</v>
      </c>
      <c r="F108" s="7"/>
      <c r="G108" s="7"/>
      <c r="H108" s="7"/>
      <c r="I108" s="8" t="s">
        <v>373</v>
      </c>
      <c r="J108" s="8"/>
      <c r="K108" s="8"/>
      <c r="L108" s="8"/>
      <c r="M108" s="20" t="s">
        <v>202</v>
      </c>
      <c r="N108" s="20" t="s">
        <v>348</v>
      </c>
      <c r="O108" s="20" t="s">
        <v>367</v>
      </c>
      <c r="P108" s="20"/>
      <c r="Q108" s="9" t="s">
        <v>203</v>
      </c>
      <c r="R108" s="9" t="s">
        <v>182</v>
      </c>
      <c r="S108" s="9" t="s">
        <v>372</v>
      </c>
      <c r="T108" s="9" t="s">
        <v>355</v>
      </c>
      <c r="U108" s="9"/>
      <c r="V108" s="13" t="s">
        <v>131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391</v>
      </c>
      <c r="D113" s="10" t="s">
        <v>392</v>
      </c>
      <c r="E113" s="77" t="s">
        <v>82</v>
      </c>
      <c r="F113" s="77"/>
      <c r="G113" s="77"/>
      <c r="H113" s="77"/>
      <c r="I113" s="78" t="s">
        <v>85</v>
      </c>
      <c r="J113" s="78"/>
      <c r="K113" s="78"/>
      <c r="L113" s="78"/>
      <c r="M113" s="79" t="s">
        <v>84</v>
      </c>
      <c r="N113" s="79"/>
      <c r="O113" s="79"/>
      <c r="P113" s="79"/>
      <c r="Q113" s="80" t="s">
        <v>78</v>
      </c>
      <c r="R113" s="80"/>
      <c r="S113" s="80"/>
      <c r="T113" s="80"/>
      <c r="U113" s="80"/>
      <c r="V113" s="80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374</v>
      </c>
      <c r="F114" s="7"/>
      <c r="G114" s="7"/>
      <c r="H114" s="7"/>
      <c r="I114" s="8"/>
      <c r="J114" s="8"/>
      <c r="K114" s="8"/>
      <c r="L114" s="8"/>
      <c r="M114" s="20" t="s">
        <v>204</v>
      </c>
      <c r="N114" s="20" t="s">
        <v>374</v>
      </c>
      <c r="O114" s="20" t="s">
        <v>367</v>
      </c>
      <c r="P114" s="20"/>
      <c r="Q114" s="9" t="s">
        <v>92</v>
      </c>
      <c r="R114" s="9" t="s">
        <v>369</v>
      </c>
      <c r="S114" s="9" t="s">
        <v>355</v>
      </c>
      <c r="T114" s="9" t="s">
        <v>118</v>
      </c>
      <c r="U114" s="9"/>
      <c r="V114" s="13" t="s">
        <v>396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397</v>
      </c>
      <c r="F116" s="7"/>
      <c r="G116" s="7"/>
      <c r="H116" s="7"/>
      <c r="I116" s="8"/>
      <c r="J116" s="8"/>
      <c r="K116" s="8"/>
      <c r="L116" s="8"/>
      <c r="M116" s="20" t="s">
        <v>374</v>
      </c>
      <c r="N116" s="20" t="s">
        <v>204</v>
      </c>
      <c r="O116" s="20" t="s">
        <v>367</v>
      </c>
      <c r="P116" s="20"/>
      <c r="Q116" s="9" t="s">
        <v>92</v>
      </c>
      <c r="R116" s="9" t="s">
        <v>369</v>
      </c>
      <c r="S116" s="9" t="s">
        <v>355</v>
      </c>
      <c r="T116" s="9" t="s">
        <v>118</v>
      </c>
      <c r="U116" s="9"/>
      <c r="V116" s="13" t="s">
        <v>396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131</v>
      </c>
      <c r="G118" s="7"/>
      <c r="H118" s="7"/>
      <c r="I118" s="8" t="s">
        <v>367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204</v>
      </c>
      <c r="F120" s="7" t="s">
        <v>131</v>
      </c>
      <c r="G120" s="7"/>
      <c r="H120" s="7"/>
      <c r="I120" s="8" t="s">
        <v>366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378</v>
      </c>
      <c r="D125" s="10" t="s">
        <v>391</v>
      </c>
      <c r="E125" s="77" t="s">
        <v>82</v>
      </c>
      <c r="F125" s="77"/>
      <c r="G125" s="77"/>
      <c r="H125" s="77"/>
      <c r="I125" s="78" t="s">
        <v>85</v>
      </c>
      <c r="J125" s="78"/>
      <c r="K125" s="78"/>
      <c r="L125" s="78"/>
      <c r="M125" s="79" t="s">
        <v>84</v>
      </c>
      <c r="N125" s="79"/>
      <c r="O125" s="79"/>
      <c r="P125" s="79"/>
      <c r="Q125" s="80" t="s">
        <v>78</v>
      </c>
      <c r="R125" s="80"/>
      <c r="S125" s="80"/>
      <c r="T125" s="80"/>
      <c r="U125" s="80"/>
      <c r="V125" s="80"/>
    </row>
    <row r="126" spans="2:22" x14ac:dyDescent="0.25">
      <c r="B126" s="73" t="s">
        <v>65</v>
      </c>
      <c r="C126" s="75">
        <v>0</v>
      </c>
      <c r="D126" s="75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369</v>
      </c>
      <c r="S126" s="9" t="s">
        <v>298</v>
      </c>
      <c r="T126" s="9" t="s">
        <v>196</v>
      </c>
      <c r="U126" s="9"/>
      <c r="V126" s="13" t="s">
        <v>312</v>
      </c>
    </row>
    <row r="127" spans="2:22" x14ac:dyDescent="0.25">
      <c r="B127" s="74"/>
      <c r="C127" s="76"/>
      <c r="D127" s="76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373</v>
      </c>
      <c r="R127" s="9" t="s">
        <v>328</v>
      </c>
      <c r="S127" s="9" t="s">
        <v>355</v>
      </c>
      <c r="T127" s="9" t="s">
        <v>175</v>
      </c>
      <c r="U127" s="9"/>
      <c r="V127" s="13" t="s">
        <v>108</v>
      </c>
    </row>
    <row r="128" spans="2:22" x14ac:dyDescent="0.25">
      <c r="B128" s="73" t="s">
        <v>71</v>
      </c>
      <c r="C128" s="75">
        <v>2</v>
      </c>
      <c r="D128" s="75">
        <v>2</v>
      </c>
      <c r="E128" s="7" t="s">
        <v>312</v>
      </c>
      <c r="F128" s="7" t="s">
        <v>312</v>
      </c>
      <c r="G128" s="7"/>
      <c r="H128" s="7"/>
      <c r="I128" s="8" t="s">
        <v>366</v>
      </c>
      <c r="J128" s="8" t="s">
        <v>371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4"/>
      <c r="C129" s="76"/>
      <c r="D129" s="76"/>
      <c r="E129" s="7" t="s">
        <v>311</v>
      </c>
      <c r="F129" s="7" t="s">
        <v>311</v>
      </c>
      <c r="G129" s="7"/>
      <c r="H129" s="7"/>
      <c r="I129" s="8" t="s">
        <v>344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3" t="s">
        <v>73</v>
      </c>
      <c r="C130" s="75">
        <v>0</v>
      </c>
      <c r="D130" s="75">
        <v>3</v>
      </c>
      <c r="E130" s="7" t="s">
        <v>237</v>
      </c>
      <c r="F130" s="7" t="s">
        <v>311</v>
      </c>
      <c r="G130" s="7" t="s">
        <v>214</v>
      </c>
      <c r="H130" s="7"/>
      <c r="I130" s="8" t="s">
        <v>196</v>
      </c>
      <c r="J130" s="8" t="s">
        <v>164</v>
      </c>
      <c r="K130" s="8"/>
      <c r="L130" s="8"/>
      <c r="M130" s="20" t="s">
        <v>113</v>
      </c>
      <c r="N130" s="20" t="s">
        <v>214</v>
      </c>
      <c r="O130" s="20" t="s">
        <v>237</v>
      </c>
      <c r="P130" s="20"/>
      <c r="Q130" s="9" t="s">
        <v>203</v>
      </c>
      <c r="R130" s="9" t="s">
        <v>108</v>
      </c>
      <c r="S130" s="9" t="s">
        <v>328</v>
      </c>
      <c r="T130" s="9" t="s">
        <v>196</v>
      </c>
      <c r="U130" s="9"/>
      <c r="V130" s="13" t="s">
        <v>175</v>
      </c>
    </row>
    <row r="131" spans="2:22" x14ac:dyDescent="0.25">
      <c r="B131" s="74"/>
      <c r="C131" s="76"/>
      <c r="D131" s="76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378</v>
      </c>
      <c r="D135" s="10" t="s">
        <v>391</v>
      </c>
      <c r="E135" s="77" t="s">
        <v>82</v>
      </c>
      <c r="F135" s="77"/>
      <c r="G135" s="77"/>
      <c r="H135" s="77"/>
      <c r="I135" s="78" t="s">
        <v>85</v>
      </c>
      <c r="J135" s="78"/>
      <c r="K135" s="78"/>
      <c r="L135" s="78"/>
      <c r="M135" s="79" t="s">
        <v>84</v>
      </c>
      <c r="N135" s="79"/>
      <c r="O135" s="79"/>
      <c r="P135" s="79"/>
      <c r="Q135" s="80" t="s">
        <v>78</v>
      </c>
      <c r="R135" s="80"/>
      <c r="S135" s="80"/>
      <c r="T135" s="80"/>
      <c r="U135" s="80"/>
      <c r="V135" s="80"/>
    </row>
    <row r="136" spans="2:22" x14ac:dyDescent="0.25">
      <c r="B136" s="73" t="s">
        <v>65</v>
      </c>
      <c r="C136" s="75">
        <v>1</v>
      </c>
      <c r="D136" s="75">
        <v>2</v>
      </c>
      <c r="E136" s="7" t="s">
        <v>98</v>
      </c>
      <c r="F136" s="7"/>
      <c r="G136" s="7"/>
      <c r="H136" s="7"/>
      <c r="I136" s="8" t="s">
        <v>311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4"/>
      <c r="C137" s="76"/>
      <c r="D137" s="76"/>
      <c r="E137" s="7" t="s">
        <v>109</v>
      </c>
      <c r="F137" s="7" t="s">
        <v>307</v>
      </c>
      <c r="G137" s="7"/>
      <c r="H137" s="7"/>
      <c r="I137" s="8" t="s">
        <v>307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3" t="s">
        <v>71</v>
      </c>
      <c r="C138" s="75">
        <v>1</v>
      </c>
      <c r="D138" s="75">
        <v>0</v>
      </c>
      <c r="E138" s="7" t="s">
        <v>311</v>
      </c>
      <c r="F138" s="7"/>
      <c r="G138" s="7"/>
      <c r="H138" s="7"/>
      <c r="I138" s="8"/>
      <c r="J138" s="8"/>
      <c r="K138" s="8"/>
      <c r="L138" s="8"/>
      <c r="M138" s="20" t="s">
        <v>237</v>
      </c>
      <c r="N138" s="20" t="s">
        <v>107</v>
      </c>
      <c r="O138" s="20"/>
      <c r="P138" s="20"/>
      <c r="Q138" s="9" t="s">
        <v>298</v>
      </c>
      <c r="R138" s="9" t="s">
        <v>362</v>
      </c>
      <c r="S138" s="9" t="s">
        <v>118</v>
      </c>
      <c r="T138" s="9" t="s">
        <v>203</v>
      </c>
      <c r="U138" s="9"/>
      <c r="V138" s="13" t="s">
        <v>115</v>
      </c>
    </row>
    <row r="139" spans="2:22" x14ac:dyDescent="0.25">
      <c r="B139" s="74"/>
      <c r="C139" s="76"/>
      <c r="D139" s="76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3" t="s">
        <v>73</v>
      </c>
      <c r="C140" s="75">
        <v>2</v>
      </c>
      <c r="D140" s="75">
        <v>1</v>
      </c>
      <c r="E140" s="7" t="s">
        <v>318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4"/>
      <c r="C141" s="76"/>
      <c r="D141" s="76"/>
      <c r="E141" s="7" t="s">
        <v>311</v>
      </c>
      <c r="F141" s="7"/>
      <c r="G141" s="7"/>
      <c r="H141" s="7"/>
      <c r="I141" s="8" t="s">
        <v>203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3" t="s">
        <v>41</v>
      </c>
      <c r="C142" s="75">
        <v>0</v>
      </c>
      <c r="D142" s="75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298</v>
      </c>
      <c r="R142" s="9" t="s">
        <v>234</v>
      </c>
      <c r="S142" s="9" t="s">
        <v>118</v>
      </c>
      <c r="T142" s="9" t="s">
        <v>344</v>
      </c>
      <c r="U142" s="9"/>
      <c r="V142" s="13" t="s">
        <v>369</v>
      </c>
    </row>
    <row r="143" spans="2:22" x14ac:dyDescent="0.25">
      <c r="B143" s="74"/>
      <c r="C143" s="76"/>
      <c r="D143" s="76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203</v>
      </c>
      <c r="R143" s="9" t="s">
        <v>328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7" spans="2:22" x14ac:dyDescent="0.25">
      <c r="B147" s="11">
        <v>46184</v>
      </c>
      <c r="C147" s="10" t="s">
        <v>358</v>
      </c>
      <c r="D147" s="10" t="s">
        <v>403</v>
      </c>
      <c r="E147" s="77" t="s">
        <v>82</v>
      </c>
      <c r="F147" s="77"/>
      <c r="G147" s="77"/>
      <c r="H147" s="77"/>
      <c r="I147" s="78" t="s">
        <v>85</v>
      </c>
      <c r="J147" s="78"/>
      <c r="K147" s="78"/>
      <c r="L147" s="78"/>
      <c r="M147" s="79" t="s">
        <v>84</v>
      </c>
      <c r="N147" s="79"/>
      <c r="O147" s="79"/>
      <c r="P147" s="79"/>
      <c r="Q147" s="80" t="s">
        <v>78</v>
      </c>
      <c r="R147" s="80"/>
      <c r="S147" s="80"/>
      <c r="T147" s="80"/>
      <c r="U147" s="80"/>
      <c r="V147" s="80"/>
    </row>
    <row r="148" spans="2:22" x14ac:dyDescent="0.25">
      <c r="B148" s="73" t="s">
        <v>65</v>
      </c>
      <c r="C148" s="75">
        <v>1</v>
      </c>
      <c r="D148" s="75">
        <v>0</v>
      </c>
      <c r="E148" s="7" t="s">
        <v>182</v>
      </c>
      <c r="F148" s="7"/>
      <c r="G148" s="7"/>
      <c r="H148" s="7"/>
      <c r="I148" s="8" t="s">
        <v>214</v>
      </c>
      <c r="J148" s="8"/>
      <c r="K148" s="8"/>
      <c r="L148" s="8"/>
      <c r="M148" s="20" t="s">
        <v>204</v>
      </c>
      <c r="N148" s="20" t="s">
        <v>214</v>
      </c>
      <c r="O148" s="20" t="s">
        <v>306</v>
      </c>
      <c r="P148" s="20"/>
      <c r="Q148" s="9" t="s">
        <v>298</v>
      </c>
      <c r="R148" s="9" t="s">
        <v>182</v>
      </c>
      <c r="S148" s="9" t="s">
        <v>122</v>
      </c>
      <c r="T148" s="9" t="s">
        <v>215</v>
      </c>
      <c r="U148" s="9"/>
      <c r="V148" s="13" t="s">
        <v>175</v>
      </c>
    </row>
    <row r="149" spans="2:22" x14ac:dyDescent="0.25">
      <c r="B149" s="74"/>
      <c r="C149" s="76"/>
      <c r="D149" s="76"/>
      <c r="E149" s="7"/>
      <c r="F149" s="7"/>
      <c r="G149" s="7"/>
      <c r="H149" s="7"/>
      <c r="I149" s="8"/>
      <c r="J149" s="8"/>
      <c r="K149" s="8"/>
      <c r="L149" s="8"/>
      <c r="M149" s="20"/>
      <c r="N149" s="20"/>
      <c r="O149" s="20"/>
      <c r="P149" s="20"/>
      <c r="Q149" s="9"/>
      <c r="R149" s="9"/>
      <c r="S149" s="9"/>
      <c r="T149" s="9"/>
      <c r="U149" s="9"/>
      <c r="V149" s="13"/>
    </row>
    <row r="150" spans="2:22" x14ac:dyDescent="0.25">
      <c r="B150" s="73" t="s">
        <v>71</v>
      </c>
      <c r="C150" s="75">
        <v>0</v>
      </c>
      <c r="D150" s="75">
        <v>0</v>
      </c>
      <c r="E150" s="7"/>
      <c r="F150" s="7"/>
      <c r="G150" s="7"/>
      <c r="H150" s="7"/>
      <c r="I150" s="8"/>
      <c r="J150" s="8"/>
      <c r="K150" s="8"/>
      <c r="L150" s="8"/>
      <c r="M150" s="20"/>
      <c r="N150" s="20"/>
      <c r="O150" s="20"/>
      <c r="P150" s="20"/>
      <c r="Q150" s="9" t="s">
        <v>122</v>
      </c>
      <c r="R150" s="9" t="s">
        <v>175</v>
      </c>
      <c r="S150" s="9" t="s">
        <v>124</v>
      </c>
      <c r="T150" s="9" t="s">
        <v>136</v>
      </c>
      <c r="U150" s="9"/>
      <c r="V150" s="13" t="s">
        <v>182</v>
      </c>
    </row>
    <row r="151" spans="2:22" x14ac:dyDescent="0.25">
      <c r="B151" s="74"/>
      <c r="C151" s="76"/>
      <c r="D151" s="76"/>
      <c r="E151" s="7"/>
      <c r="F151" s="7"/>
      <c r="G151" s="7"/>
      <c r="H151" s="7"/>
      <c r="I151" s="8"/>
      <c r="J151" s="8"/>
      <c r="K151" s="8"/>
      <c r="L151" s="8"/>
      <c r="M151" s="20"/>
      <c r="N151" s="20"/>
      <c r="O151" s="20"/>
      <c r="P151" s="20"/>
      <c r="Q151" s="9"/>
      <c r="R151" s="9"/>
      <c r="S151" s="9"/>
      <c r="T151" s="9"/>
      <c r="U151" s="9"/>
      <c r="V151" s="13"/>
    </row>
    <row r="152" spans="2:22" x14ac:dyDescent="0.25">
      <c r="B152" s="73" t="s">
        <v>73</v>
      </c>
      <c r="C152" s="75">
        <v>1</v>
      </c>
      <c r="D152" s="75">
        <v>0</v>
      </c>
      <c r="E152" s="7" t="s">
        <v>102</v>
      </c>
      <c r="F152" s="7"/>
      <c r="G152" s="7"/>
      <c r="H152" s="7"/>
      <c r="I152" s="8" t="s">
        <v>344</v>
      </c>
      <c r="J152" s="8"/>
      <c r="K152" s="8"/>
      <c r="L152" s="8"/>
      <c r="M152" s="20" t="s">
        <v>214</v>
      </c>
      <c r="N152" s="20" t="s">
        <v>124</v>
      </c>
      <c r="O152" s="20" t="s">
        <v>306</v>
      </c>
      <c r="P152" s="20"/>
      <c r="Q152" s="9" t="s">
        <v>215</v>
      </c>
      <c r="R152" s="9" t="s">
        <v>124</v>
      </c>
      <c r="S152" s="9" t="s">
        <v>298</v>
      </c>
      <c r="T152" s="9" t="s">
        <v>182</v>
      </c>
      <c r="U152" s="9"/>
      <c r="V152" s="13" t="s">
        <v>175</v>
      </c>
    </row>
    <row r="153" spans="2:22" x14ac:dyDescent="0.25">
      <c r="B153" s="74"/>
      <c r="C153" s="76"/>
      <c r="D153" s="76"/>
      <c r="E153" s="7"/>
      <c r="F153" s="7"/>
      <c r="G153" s="7"/>
      <c r="H153" s="7"/>
      <c r="I153" s="8"/>
      <c r="J153" s="8"/>
      <c r="K153" s="8"/>
      <c r="L153" s="8"/>
      <c r="M153" s="20"/>
      <c r="N153" s="20"/>
      <c r="O153" s="20"/>
      <c r="P153" s="20"/>
      <c r="Q153" s="9"/>
      <c r="R153" s="9"/>
      <c r="S153" s="9"/>
      <c r="T153" s="9"/>
      <c r="U153" s="9"/>
      <c r="V153" s="13"/>
    </row>
    <row r="154" spans="2:22" x14ac:dyDescent="0.25">
      <c r="B154" s="73" t="s">
        <v>41</v>
      </c>
      <c r="C154" s="75">
        <v>4</v>
      </c>
      <c r="D154" s="75">
        <v>0</v>
      </c>
      <c r="E154" s="7" t="s">
        <v>109</v>
      </c>
      <c r="F154" s="7" t="s">
        <v>311</v>
      </c>
      <c r="G154" s="7" t="s">
        <v>131</v>
      </c>
      <c r="H154" s="7" t="s">
        <v>311</v>
      </c>
      <c r="I154" s="8"/>
      <c r="J154" s="8" t="s">
        <v>109</v>
      </c>
      <c r="K154" s="8" t="s">
        <v>215</v>
      </c>
      <c r="L154" s="8"/>
      <c r="M154" s="20" t="s">
        <v>214</v>
      </c>
      <c r="N154" s="20" t="s">
        <v>204</v>
      </c>
      <c r="O154" s="20" t="s">
        <v>109</v>
      </c>
      <c r="P154" s="20"/>
      <c r="Q154" s="9" t="s">
        <v>298</v>
      </c>
      <c r="R154" s="9" t="s">
        <v>122</v>
      </c>
      <c r="S154" s="9" t="s">
        <v>215</v>
      </c>
      <c r="T154" s="9" t="s">
        <v>136</v>
      </c>
      <c r="U154" s="9"/>
      <c r="V154" s="13" t="s">
        <v>344</v>
      </c>
    </row>
    <row r="155" spans="2:22" x14ac:dyDescent="0.25">
      <c r="B155" s="74"/>
      <c r="C155" s="76"/>
      <c r="D155" s="76"/>
      <c r="E155" s="7"/>
      <c r="F155" s="7"/>
      <c r="G155" s="7"/>
      <c r="H155" s="7"/>
      <c r="I155" s="8"/>
      <c r="J155" s="8"/>
      <c r="K155" s="8"/>
      <c r="L155" s="8"/>
      <c r="M155" s="20"/>
      <c r="N155" s="20"/>
      <c r="O155" s="20"/>
      <c r="P155" s="20"/>
      <c r="Q155" s="9"/>
      <c r="R155" s="9"/>
      <c r="S155" s="9"/>
      <c r="T155" s="9"/>
      <c r="U155" s="9"/>
      <c r="V155" s="13"/>
    </row>
    <row r="156" spans="2:22" x14ac:dyDescent="0.25">
      <c r="B156" s="2" t="s">
        <v>89</v>
      </c>
      <c r="C156" s="2">
        <f>SUM(C148:C155)</f>
        <v>6</v>
      </c>
      <c r="D156" s="2">
        <f>SUM(D148:D155)</f>
        <v>0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9" spans="2:22" x14ac:dyDescent="0.25">
      <c r="B159" s="11">
        <v>46191</v>
      </c>
      <c r="C159" s="10" t="s">
        <v>404</v>
      </c>
      <c r="D159" s="10" t="s">
        <v>405</v>
      </c>
      <c r="E159" s="77" t="s">
        <v>82</v>
      </c>
      <c r="F159" s="77"/>
      <c r="G159" s="77"/>
      <c r="H159" s="77"/>
      <c r="I159" s="78" t="s">
        <v>85</v>
      </c>
      <c r="J159" s="78"/>
      <c r="K159" s="78"/>
      <c r="L159" s="78"/>
      <c r="M159" s="79" t="s">
        <v>84</v>
      </c>
      <c r="N159" s="79"/>
      <c r="O159" s="79"/>
      <c r="P159" s="79"/>
      <c r="Q159" s="80" t="s">
        <v>78</v>
      </c>
      <c r="R159" s="80"/>
      <c r="S159" s="80"/>
      <c r="T159" s="80"/>
      <c r="U159" s="80"/>
      <c r="V159" s="80"/>
    </row>
    <row r="160" spans="2:22" x14ac:dyDescent="0.25">
      <c r="B160" s="73" t="s">
        <v>65</v>
      </c>
      <c r="C160" s="75">
        <v>0</v>
      </c>
      <c r="D160" s="75">
        <v>1</v>
      </c>
      <c r="E160" s="7"/>
      <c r="F160" s="7"/>
      <c r="G160" s="7"/>
      <c r="H160" s="7"/>
      <c r="I160" s="8"/>
      <c r="J160" s="8"/>
      <c r="K160" s="8"/>
      <c r="L160" s="8"/>
      <c r="M160" s="20"/>
      <c r="N160" s="20"/>
      <c r="O160" s="20"/>
      <c r="P160" s="20"/>
      <c r="Q160" s="9"/>
      <c r="R160" s="9"/>
      <c r="S160" s="9"/>
      <c r="T160" s="9"/>
      <c r="U160" s="9"/>
      <c r="V160" s="13"/>
    </row>
    <row r="161" spans="2:22" x14ac:dyDescent="0.25">
      <c r="B161" s="74"/>
      <c r="C161" s="76"/>
      <c r="D161" s="76"/>
      <c r="E161" s="7" t="s">
        <v>311</v>
      </c>
      <c r="F161" s="7"/>
      <c r="G161" s="7"/>
      <c r="H161" s="7"/>
      <c r="I161" s="8" t="s">
        <v>109</v>
      </c>
      <c r="J161" s="8"/>
      <c r="K161" s="8"/>
      <c r="L161" s="8"/>
      <c r="M161" s="20" t="s">
        <v>101</v>
      </c>
      <c r="N161" s="20" t="s">
        <v>204</v>
      </c>
      <c r="O161" s="20" t="s">
        <v>140</v>
      </c>
      <c r="P161" s="20"/>
      <c r="Q161" s="9" t="s">
        <v>118</v>
      </c>
      <c r="R161" s="9" t="s">
        <v>203</v>
      </c>
      <c r="S161" s="9" t="s">
        <v>313</v>
      </c>
      <c r="T161" s="9" t="s">
        <v>212</v>
      </c>
      <c r="U161" s="9"/>
      <c r="V161" s="13" t="s">
        <v>108</v>
      </c>
    </row>
    <row r="162" spans="2:22" x14ac:dyDescent="0.25">
      <c r="B162" s="73" t="s">
        <v>71</v>
      </c>
      <c r="C162" s="75">
        <v>1</v>
      </c>
      <c r="D162" s="75">
        <v>2</v>
      </c>
      <c r="E162" s="7"/>
      <c r="F162" s="7"/>
      <c r="G162" s="7"/>
      <c r="H162" s="7"/>
      <c r="I162" s="8"/>
      <c r="J162" s="8"/>
      <c r="K162" s="8"/>
      <c r="L162" s="8"/>
      <c r="M162" s="20"/>
      <c r="N162" s="20"/>
      <c r="O162" s="20"/>
      <c r="P162" s="20"/>
      <c r="Q162" s="9"/>
      <c r="R162" s="9"/>
      <c r="S162" s="9"/>
      <c r="T162" s="9"/>
      <c r="U162" s="9"/>
      <c r="V162" s="13"/>
    </row>
    <row r="163" spans="2:22" x14ac:dyDescent="0.25">
      <c r="B163" s="74"/>
      <c r="C163" s="76"/>
      <c r="D163" s="76"/>
      <c r="E163" s="7" t="s">
        <v>109</v>
      </c>
      <c r="F163" s="7" t="s">
        <v>101</v>
      </c>
      <c r="G163" s="7"/>
      <c r="H163" s="7"/>
      <c r="I163" s="8" t="s">
        <v>122</v>
      </c>
      <c r="J163" s="8"/>
      <c r="K163" s="8"/>
      <c r="L163" s="8"/>
      <c r="M163" s="20"/>
      <c r="N163" s="20"/>
      <c r="O163" s="20"/>
      <c r="P163" s="20"/>
      <c r="Q163" s="9"/>
      <c r="R163" s="9"/>
      <c r="S163" s="9"/>
      <c r="T163" s="9"/>
      <c r="U163" s="9"/>
      <c r="V163" s="13"/>
    </row>
    <row r="164" spans="2:22" x14ac:dyDescent="0.25">
      <c r="B164" s="73" t="s">
        <v>73</v>
      </c>
      <c r="C164" s="75">
        <v>1</v>
      </c>
      <c r="D164" s="75">
        <v>0</v>
      </c>
      <c r="E164" s="7" t="s">
        <v>202</v>
      </c>
      <c r="F164" s="7"/>
      <c r="G164" s="7"/>
      <c r="H164" s="7"/>
      <c r="I164" s="8" t="s">
        <v>215</v>
      </c>
      <c r="J164" s="8"/>
      <c r="K164" s="8"/>
      <c r="L164" s="8"/>
      <c r="M164" s="20" t="s">
        <v>202</v>
      </c>
      <c r="N164" s="20" t="s">
        <v>135</v>
      </c>
      <c r="O164" s="20"/>
      <c r="P164" s="20"/>
      <c r="Q164" s="9" t="s">
        <v>298</v>
      </c>
      <c r="R164" s="9" t="s">
        <v>124</v>
      </c>
      <c r="S164" s="9" t="s">
        <v>182</v>
      </c>
      <c r="T164" s="9" t="s">
        <v>234</v>
      </c>
      <c r="U164" s="9"/>
      <c r="V164" s="13" t="s">
        <v>313</v>
      </c>
    </row>
    <row r="165" spans="2:22" x14ac:dyDescent="0.25">
      <c r="B165" s="74"/>
      <c r="C165" s="76"/>
      <c r="D165" s="76"/>
      <c r="E165" s="7"/>
      <c r="F165" s="7"/>
      <c r="G165" s="7"/>
      <c r="H165" s="7"/>
      <c r="I165" s="8"/>
      <c r="J165" s="8"/>
      <c r="K165" s="8"/>
      <c r="L165" s="8"/>
      <c r="M165" s="20"/>
      <c r="N165" s="20"/>
      <c r="O165" s="20"/>
      <c r="P165" s="20"/>
      <c r="Q165" s="9"/>
      <c r="R165" s="9"/>
      <c r="S165" s="9"/>
      <c r="T165" s="9"/>
      <c r="U165" s="9"/>
      <c r="V165" s="13"/>
    </row>
    <row r="166" spans="2:22" x14ac:dyDescent="0.25">
      <c r="B166" s="73" t="s">
        <v>41</v>
      </c>
      <c r="C166" s="75">
        <v>0</v>
      </c>
      <c r="D166" s="75">
        <v>1</v>
      </c>
      <c r="E166" s="7"/>
      <c r="F166" s="7"/>
      <c r="G166" s="7"/>
      <c r="H166" s="7"/>
      <c r="I166" s="8"/>
      <c r="J166" s="8"/>
      <c r="K166" s="8"/>
      <c r="L166" s="8"/>
      <c r="M166" s="20"/>
      <c r="N166" s="20"/>
      <c r="O166" s="20"/>
      <c r="P166" s="20"/>
      <c r="Q166" s="9"/>
      <c r="R166" s="9"/>
      <c r="S166" s="9"/>
      <c r="T166" s="9"/>
      <c r="U166" s="9"/>
      <c r="V166" s="13"/>
    </row>
    <row r="167" spans="2:22" x14ac:dyDescent="0.25">
      <c r="B167" s="74"/>
      <c r="C167" s="76"/>
      <c r="D167" s="76"/>
      <c r="E167" s="7" t="s">
        <v>140</v>
      </c>
      <c r="F167" s="7"/>
      <c r="G167" s="7"/>
      <c r="H167" s="7"/>
      <c r="I167" s="8" t="s">
        <v>122</v>
      </c>
      <c r="J167" s="8"/>
      <c r="K167" s="8"/>
      <c r="L167" s="8"/>
      <c r="M167" s="20" t="s">
        <v>95</v>
      </c>
      <c r="N167" s="20" t="s">
        <v>204</v>
      </c>
      <c r="O167" s="20"/>
      <c r="P167" s="20"/>
      <c r="Q167" s="9" t="s">
        <v>328</v>
      </c>
      <c r="R167" s="9" t="s">
        <v>118</v>
      </c>
      <c r="S167" s="9" t="s">
        <v>234</v>
      </c>
      <c r="T167" s="9" t="s">
        <v>203</v>
      </c>
      <c r="U167" s="9"/>
      <c r="V167" s="13" t="s">
        <v>101</v>
      </c>
    </row>
    <row r="168" spans="2:22" x14ac:dyDescent="0.25">
      <c r="B168" s="2" t="s">
        <v>89</v>
      </c>
      <c r="C168" s="2">
        <f>SUM(C160:C167)</f>
        <v>2</v>
      </c>
      <c r="D168" s="2">
        <f>SUM(D160:D167)</f>
        <v>4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</sheetData>
  <mergeCells count="230">
    <mergeCell ref="B154:B155"/>
    <mergeCell ref="C154:C155"/>
    <mergeCell ref="D154:D155"/>
    <mergeCell ref="E147:H147"/>
    <mergeCell ref="I147:L147"/>
    <mergeCell ref="M147:P147"/>
    <mergeCell ref="B150:B151"/>
    <mergeCell ref="C150:C151"/>
    <mergeCell ref="D150:D151"/>
    <mergeCell ref="B142:B143"/>
    <mergeCell ref="C142:C143"/>
    <mergeCell ref="D142:D143"/>
    <mergeCell ref="B152:B153"/>
    <mergeCell ref="C152:C153"/>
    <mergeCell ref="D152:D153"/>
    <mergeCell ref="B138:B139"/>
    <mergeCell ref="C138:C139"/>
    <mergeCell ref="D138:D139"/>
    <mergeCell ref="B140:B141"/>
    <mergeCell ref="C140:C141"/>
    <mergeCell ref="D140:D141"/>
    <mergeCell ref="Q147:V147"/>
    <mergeCell ref="B148:B149"/>
    <mergeCell ref="C148:C149"/>
    <mergeCell ref="D148:D149"/>
    <mergeCell ref="E135:H135"/>
    <mergeCell ref="I135:L135"/>
    <mergeCell ref="M135:P135"/>
    <mergeCell ref="E125:H125"/>
    <mergeCell ref="I125:L125"/>
    <mergeCell ref="M125:P125"/>
    <mergeCell ref="Q135:V135"/>
    <mergeCell ref="B136:B137"/>
    <mergeCell ref="C136:C137"/>
    <mergeCell ref="D136:D137"/>
    <mergeCell ref="Q101:V101"/>
    <mergeCell ref="B102:B103"/>
    <mergeCell ref="C102:C103"/>
    <mergeCell ref="D102:D103"/>
    <mergeCell ref="B104:B105"/>
    <mergeCell ref="C104:C105"/>
    <mergeCell ref="D104:D105"/>
    <mergeCell ref="B106:B107"/>
    <mergeCell ref="B130:B131"/>
    <mergeCell ref="C130:C131"/>
    <mergeCell ref="D130:D131"/>
    <mergeCell ref="B94:B95"/>
    <mergeCell ref="C94:C95"/>
    <mergeCell ref="D94:D95"/>
    <mergeCell ref="B96:B97"/>
    <mergeCell ref="C96:C97"/>
    <mergeCell ref="D96:D97"/>
    <mergeCell ref="E101:H101"/>
    <mergeCell ref="I101:L101"/>
    <mergeCell ref="M101:P101"/>
    <mergeCell ref="Q89:V89"/>
    <mergeCell ref="B82:B83"/>
    <mergeCell ref="C82:C83"/>
    <mergeCell ref="D82:D83"/>
    <mergeCell ref="B84:B85"/>
    <mergeCell ref="C84:C85"/>
    <mergeCell ref="D84:D85"/>
    <mergeCell ref="E89:H89"/>
    <mergeCell ref="I89:L89"/>
    <mergeCell ref="M89:P89"/>
    <mergeCell ref="B90:B91"/>
    <mergeCell ref="C90:C91"/>
    <mergeCell ref="D90:D91"/>
    <mergeCell ref="B92:B93"/>
    <mergeCell ref="C92:C93"/>
    <mergeCell ref="D92:D93"/>
    <mergeCell ref="E77:H77"/>
    <mergeCell ref="I77:L77"/>
    <mergeCell ref="M77:P77"/>
    <mergeCell ref="Q77:V77"/>
    <mergeCell ref="B78:B79"/>
    <mergeCell ref="C78:C79"/>
    <mergeCell ref="D78:D79"/>
    <mergeCell ref="B80:B81"/>
    <mergeCell ref="C80:C81"/>
    <mergeCell ref="D80:D81"/>
    <mergeCell ref="Q2:V2"/>
    <mergeCell ref="B3:B4"/>
    <mergeCell ref="C3:C4"/>
    <mergeCell ref="D3:D4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E2:H2"/>
    <mergeCell ref="I2:L2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B27:B28"/>
    <mergeCell ref="C27:C28"/>
    <mergeCell ref="D27:D28"/>
    <mergeCell ref="B29:B30"/>
    <mergeCell ref="C29:C30"/>
    <mergeCell ref="D29:D30"/>
    <mergeCell ref="M24:P24"/>
    <mergeCell ref="Q24:V24"/>
    <mergeCell ref="B25:B26"/>
    <mergeCell ref="C25:C26"/>
    <mergeCell ref="D25:D26"/>
    <mergeCell ref="E24:H24"/>
    <mergeCell ref="I24:L24"/>
    <mergeCell ref="Q37:V37"/>
    <mergeCell ref="B38:B39"/>
    <mergeCell ref="C38:C39"/>
    <mergeCell ref="D38:D39"/>
    <mergeCell ref="B33:B34"/>
    <mergeCell ref="C33:C34"/>
    <mergeCell ref="D33:D34"/>
    <mergeCell ref="B31:B32"/>
    <mergeCell ref="C31:C32"/>
    <mergeCell ref="D31:D32"/>
    <mergeCell ref="B40:B41"/>
    <mergeCell ref="C40:C41"/>
    <mergeCell ref="D40:D41"/>
    <mergeCell ref="B42:B43"/>
    <mergeCell ref="C42:C43"/>
    <mergeCell ref="D42:D43"/>
    <mergeCell ref="E37:H37"/>
    <mergeCell ref="I37:L37"/>
    <mergeCell ref="M37:P37"/>
    <mergeCell ref="E49:H49"/>
    <mergeCell ref="I49:L49"/>
    <mergeCell ref="M49:P49"/>
    <mergeCell ref="Q49:V49"/>
    <mergeCell ref="B50:B51"/>
    <mergeCell ref="C50:C51"/>
    <mergeCell ref="D50:D51"/>
    <mergeCell ref="B44:B45"/>
    <mergeCell ref="C44:C45"/>
    <mergeCell ref="D44:D45"/>
    <mergeCell ref="B56:B57"/>
    <mergeCell ref="C56:C57"/>
    <mergeCell ref="D56:D57"/>
    <mergeCell ref="B52:B53"/>
    <mergeCell ref="C52:C53"/>
    <mergeCell ref="D52:D53"/>
    <mergeCell ref="B54:B55"/>
    <mergeCell ref="C54:C55"/>
    <mergeCell ref="D54:D55"/>
    <mergeCell ref="E63:H63"/>
    <mergeCell ref="I63:L63"/>
    <mergeCell ref="M63:P63"/>
    <mergeCell ref="Q63:V63"/>
    <mergeCell ref="B64:B65"/>
    <mergeCell ref="C64:C65"/>
    <mergeCell ref="D64:D65"/>
    <mergeCell ref="B58:B59"/>
    <mergeCell ref="C58:C59"/>
    <mergeCell ref="D58:D59"/>
    <mergeCell ref="B70:B71"/>
    <mergeCell ref="C70:C71"/>
    <mergeCell ref="D70:D71"/>
    <mergeCell ref="B72:B73"/>
    <mergeCell ref="C72:C73"/>
    <mergeCell ref="D72:D73"/>
    <mergeCell ref="B66:B67"/>
    <mergeCell ref="C66:C67"/>
    <mergeCell ref="D66:D67"/>
    <mergeCell ref="B68:B69"/>
    <mergeCell ref="C68:C69"/>
    <mergeCell ref="D68:D69"/>
    <mergeCell ref="C106:C107"/>
    <mergeCell ref="D106:D107"/>
    <mergeCell ref="B108:B109"/>
    <mergeCell ref="C108:C109"/>
    <mergeCell ref="D108:D109"/>
    <mergeCell ref="E113:H113"/>
    <mergeCell ref="I113:L113"/>
    <mergeCell ref="M113:P113"/>
    <mergeCell ref="B120:B121"/>
    <mergeCell ref="C120:C121"/>
    <mergeCell ref="D120:D121"/>
    <mergeCell ref="Q159:V159"/>
    <mergeCell ref="B160:B161"/>
    <mergeCell ref="C160:C161"/>
    <mergeCell ref="D160:D161"/>
    <mergeCell ref="B162:B163"/>
    <mergeCell ref="C162:C163"/>
    <mergeCell ref="D162:D163"/>
    <mergeCell ref="Q113:V113"/>
    <mergeCell ref="B114:B115"/>
    <mergeCell ref="C114:C115"/>
    <mergeCell ref="D114:D115"/>
    <mergeCell ref="B116:B117"/>
    <mergeCell ref="C116:C117"/>
    <mergeCell ref="D116:D117"/>
    <mergeCell ref="B118:B119"/>
    <mergeCell ref="C118:C119"/>
    <mergeCell ref="D118:D119"/>
    <mergeCell ref="Q125:V125"/>
    <mergeCell ref="B126:B127"/>
    <mergeCell ref="C126:C127"/>
    <mergeCell ref="D126:D127"/>
    <mergeCell ref="B128:B129"/>
    <mergeCell ref="C128:C129"/>
    <mergeCell ref="D128:D129"/>
    <mergeCell ref="B164:B165"/>
    <mergeCell ref="C164:C165"/>
    <mergeCell ref="D164:D165"/>
    <mergeCell ref="B166:B167"/>
    <mergeCell ref="C166:C167"/>
    <mergeCell ref="D166:D167"/>
    <mergeCell ref="E159:H159"/>
    <mergeCell ref="I159:L159"/>
    <mergeCell ref="M159:P159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3"/>
  <sheetViews>
    <sheetView showGridLines="0" zoomScaleNormal="125" workbookViewId="0">
      <selection activeCell="T7" sqref="T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86</v>
      </c>
      <c r="E2" s="15">
        <f>SUM(E4:E95)</f>
        <v>59</v>
      </c>
      <c r="F2" s="15">
        <f>SUM(F4:F95)</f>
        <v>67</v>
      </c>
      <c r="G2" s="15">
        <f>SUM(G4:G95)</f>
        <v>100</v>
      </c>
      <c r="H2" s="15">
        <f>SUM(H4:H95)</f>
        <v>29</v>
      </c>
    </row>
    <row r="3" spans="1:33" x14ac:dyDescent="0.25">
      <c r="A3" s="2" t="s">
        <v>239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130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>((D4+E4+G4+H4)*0.2)+(F4*0.3)</f>
        <v>1.6</v>
      </c>
      <c r="D4" s="14">
        <f>COUNTIF(경기기록Sheet!$E:$H,B4)</f>
        <v>3</v>
      </c>
      <c r="E4" s="14">
        <f>COUNTIF(경기기록Sheet!$I:$L,B4)</f>
        <v>4</v>
      </c>
      <c r="F4" s="14">
        <f>COUNTIF(경기기록Sheet!$M:$P,B4)</f>
        <v>0</v>
      </c>
      <c r="G4" s="14">
        <f>COUNTIF(경기기록Sheet!$Q:$U,B4)</f>
        <v>0</v>
      </c>
      <c r="H4" s="14">
        <f>COUNTIF(경기기록Sheet!$V:$V,B4)</f>
        <v>1</v>
      </c>
      <c r="I4" s="14">
        <f>SUM(D4:H4)</f>
        <v>8</v>
      </c>
      <c r="J4" s="15"/>
      <c r="K4" s="2">
        <v>1</v>
      </c>
      <c r="L4" s="32" t="s">
        <v>354</v>
      </c>
      <c r="M4" s="21">
        <f t="shared" ref="M4:M15" si="0">VLOOKUP(L4,$B$4:$H$141,3,FALSE)</f>
        <v>20</v>
      </c>
      <c r="N4" s="33" t="s">
        <v>354</v>
      </c>
      <c r="O4" s="22">
        <f t="shared" ref="O4:O18" si="1">VLOOKUP(N4,$B$4:$H$141,4,FALSE)</f>
        <v>8</v>
      </c>
      <c r="P4" s="34" t="s">
        <v>222</v>
      </c>
      <c r="Q4" s="23">
        <f t="shared" ref="Q4:Q14" si="2">VLOOKUP(P4,$B$4:$H$141,5,FALSE)</f>
        <v>12</v>
      </c>
      <c r="R4" s="35" t="s">
        <v>231</v>
      </c>
      <c r="S4" s="55">
        <f t="shared" ref="S4:S18" si="3">VLOOKUP(R4,$B$4:$H$141,6,FALSE)</f>
        <v>18</v>
      </c>
      <c r="T4" s="36" t="s">
        <v>229</v>
      </c>
      <c r="U4" s="56">
        <f t="shared" ref="U4:U7" si="4">VLOOKUP(T4,$B$4:$H$141,7,FALSE)</f>
        <v>9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>((D5+E5+G5+H5)*0.2)+(F5*0.3)</f>
        <v>0.7</v>
      </c>
      <c r="D5" s="14">
        <f>COUNTIF(경기기록Sheet!$E:$H,B5)</f>
        <v>1</v>
      </c>
      <c r="E5" s="14">
        <f>COUNTIF(경기기록Sheet!$I:$L,B5)</f>
        <v>0</v>
      </c>
      <c r="F5" s="14">
        <f>COUNTIF(경기기록Sheet!$M:$P,B5)</f>
        <v>1</v>
      </c>
      <c r="G5" s="14">
        <f>COUNTIF(경기기록Sheet!$Q:$U,B5)</f>
        <v>0</v>
      </c>
      <c r="H5" s="14">
        <f>COUNTIF(경기기록Sheet!$V:$V,B5)</f>
        <v>1</v>
      </c>
      <c r="I5" s="14">
        <f>SUM(D5:H5)</f>
        <v>3</v>
      </c>
      <c r="J5" s="15"/>
      <c r="K5" s="2">
        <v>2</v>
      </c>
      <c r="L5" s="32" t="s">
        <v>224</v>
      </c>
      <c r="M5" s="21">
        <f t="shared" si="0"/>
        <v>15</v>
      </c>
      <c r="N5" s="33" t="s">
        <v>360</v>
      </c>
      <c r="O5" s="22">
        <f t="shared" si="1"/>
        <v>6</v>
      </c>
      <c r="P5" s="34" t="s">
        <v>305</v>
      </c>
      <c r="Q5" s="23">
        <f t="shared" si="2"/>
        <v>10</v>
      </c>
      <c r="R5" s="35" t="s">
        <v>325</v>
      </c>
      <c r="S5" s="55">
        <f t="shared" si="3"/>
        <v>17</v>
      </c>
      <c r="T5" s="36" t="s">
        <v>406</v>
      </c>
      <c r="U5" s="56">
        <f t="shared" si="4"/>
        <v>5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>((D6+E6+G6+H6)*0.2)+(F6*0.3)</f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>SUM(D6:H6)</f>
        <v>0</v>
      </c>
      <c r="J6" s="15"/>
      <c r="K6" s="2">
        <v>3</v>
      </c>
      <c r="L6" s="32" t="s">
        <v>222</v>
      </c>
      <c r="M6" s="21">
        <f t="shared" si="0"/>
        <v>9</v>
      </c>
      <c r="N6" s="33" t="s">
        <v>53</v>
      </c>
      <c r="O6" s="22">
        <f t="shared" si="1"/>
        <v>6</v>
      </c>
      <c r="P6" s="34" t="s">
        <v>64</v>
      </c>
      <c r="Q6" s="23">
        <f t="shared" si="2"/>
        <v>8</v>
      </c>
      <c r="R6" s="35" t="s">
        <v>357</v>
      </c>
      <c r="S6" s="55">
        <f t="shared" si="3"/>
        <v>11</v>
      </c>
      <c r="T6" s="36" t="s">
        <v>407</v>
      </c>
      <c r="U6" s="56">
        <f t="shared" si="4"/>
        <v>3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>((D7+E7+G7+H7)*0.2)+(F7*0.3)</f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>SUM(D7:H7)</f>
        <v>0</v>
      </c>
      <c r="J7" s="15"/>
      <c r="K7" s="2">
        <v>4</v>
      </c>
      <c r="L7" s="32" t="s">
        <v>360</v>
      </c>
      <c r="M7" s="21">
        <f t="shared" si="0"/>
        <v>7</v>
      </c>
      <c r="N7" s="33" t="s">
        <v>50</v>
      </c>
      <c r="O7" s="22">
        <f t="shared" si="1"/>
        <v>4</v>
      </c>
      <c r="P7" s="34" t="s">
        <v>299</v>
      </c>
      <c r="Q7" s="23">
        <f t="shared" si="2"/>
        <v>7</v>
      </c>
      <c r="R7" s="35" t="s">
        <v>363</v>
      </c>
      <c r="S7" s="55">
        <f t="shared" si="3"/>
        <v>10</v>
      </c>
      <c r="T7" s="36" t="s">
        <v>357</v>
      </c>
      <c r="U7" s="56">
        <f t="shared" si="4"/>
        <v>3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>((D8+E8+G8+H8)*0.2)+(F8*0.3)</f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>SUM(D8:H8)</f>
        <v>0</v>
      </c>
      <c r="J8" s="15"/>
      <c r="K8" s="2">
        <v>5</v>
      </c>
      <c r="L8" s="32" t="s">
        <v>305</v>
      </c>
      <c r="M8" s="21">
        <f t="shared" si="0"/>
        <v>5</v>
      </c>
      <c r="N8" s="33" t="s">
        <v>222</v>
      </c>
      <c r="O8" s="22">
        <f t="shared" si="1"/>
        <v>4</v>
      </c>
      <c r="P8" s="34" t="s">
        <v>379</v>
      </c>
      <c r="Q8" s="23">
        <f t="shared" si="2"/>
        <v>6</v>
      </c>
      <c r="R8" s="35" t="s">
        <v>233</v>
      </c>
      <c r="S8" s="55">
        <f t="shared" si="3"/>
        <v>8</v>
      </c>
      <c r="T8" s="36"/>
      <c r="U8" s="56"/>
    </row>
    <row r="9" spans="1:33" x14ac:dyDescent="0.25">
      <c r="A9" s="2">
        <f>종합Sheet!A9</f>
        <v>6</v>
      </c>
      <c r="B9" s="2" t="str">
        <f>종합Sheet!B9</f>
        <v>강종찬</v>
      </c>
      <c r="C9" s="2">
        <f>((D9+E9+G9+H9)*0.2)+(F9*0.3)</f>
        <v>0.4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2</v>
      </c>
      <c r="H9" s="14">
        <f>COUNTIF(경기기록Sheet!$V:$V,B9)</f>
        <v>0</v>
      </c>
      <c r="I9" s="14">
        <f>SUM(D9:H9)</f>
        <v>2</v>
      </c>
      <c r="J9" s="15"/>
      <c r="K9" s="2">
        <v>6</v>
      </c>
      <c r="L9" s="32" t="s">
        <v>221</v>
      </c>
      <c r="M9" s="21">
        <f t="shared" si="0"/>
        <v>4</v>
      </c>
      <c r="N9" s="33" t="s">
        <v>224</v>
      </c>
      <c r="O9" s="22">
        <f t="shared" si="1"/>
        <v>3</v>
      </c>
      <c r="P9" s="34" t="s">
        <v>53</v>
      </c>
      <c r="Q9" s="23">
        <f t="shared" si="2"/>
        <v>5</v>
      </c>
      <c r="R9" s="35" t="s">
        <v>242</v>
      </c>
      <c r="S9" s="55">
        <f t="shared" si="3"/>
        <v>8</v>
      </c>
      <c r="T9" s="36"/>
      <c r="U9" s="56"/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>((D10+E10+G10+H10)*0.2)+(F10*0.3)</f>
        <v>3.1</v>
      </c>
      <c r="D10" s="14">
        <f>COUNTIF(경기기록Sheet!$E:$H,B10)</f>
        <v>3</v>
      </c>
      <c r="E10" s="14">
        <f>COUNTIF(경기기록Sheet!$I:$L,B10)</f>
        <v>1</v>
      </c>
      <c r="F10" s="14">
        <f>COUNTIF(경기기록Sheet!$M:$P,B10)</f>
        <v>7</v>
      </c>
      <c r="G10" s="14">
        <f>COUNTIF(경기기록Sheet!$Q:$U,B10)</f>
        <v>0</v>
      </c>
      <c r="H10" s="14">
        <f>COUNTIF(경기기록Sheet!$V:$V,B10)</f>
        <v>1</v>
      </c>
      <c r="I10" s="14">
        <f>SUM(D10:H10)</f>
        <v>12</v>
      </c>
      <c r="J10" s="15"/>
      <c r="K10" s="2">
        <v>7</v>
      </c>
      <c r="L10" s="32" t="s">
        <v>232</v>
      </c>
      <c r="M10" s="21">
        <f t="shared" si="0"/>
        <v>4</v>
      </c>
      <c r="N10" s="33" t="s">
        <v>225</v>
      </c>
      <c r="O10" s="22">
        <f t="shared" si="1"/>
        <v>3</v>
      </c>
      <c r="P10" s="34" t="s">
        <v>385</v>
      </c>
      <c r="Q10" s="23">
        <f t="shared" si="2"/>
        <v>5</v>
      </c>
      <c r="R10" s="35" t="s">
        <v>303</v>
      </c>
      <c r="S10" s="55">
        <f t="shared" si="3"/>
        <v>8</v>
      </c>
      <c r="T10" s="36"/>
      <c r="U10" s="56"/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>((D11+E11+G11+H11)*0.2)+(F11*0.3)</f>
        <v>4.5</v>
      </c>
      <c r="D11" s="14">
        <f>COUNTIF(경기기록Sheet!$E:$H,B11)</f>
        <v>15</v>
      </c>
      <c r="E11" s="14">
        <f>COUNTIF(경기기록Sheet!$I:$L,B11)</f>
        <v>3</v>
      </c>
      <c r="F11" s="14">
        <f>COUNTIF(경기기록Sheet!$M:$P,B11)</f>
        <v>3</v>
      </c>
      <c r="G11" s="14">
        <f>COUNTIF(경기기록Sheet!$Q:$U,B11)</f>
        <v>0</v>
      </c>
      <c r="H11" s="14">
        <f>COUNTIF(경기기록Sheet!$V:$V,B11)</f>
        <v>0</v>
      </c>
      <c r="I11" s="14">
        <f>SUM(D11:H11)</f>
        <v>21</v>
      </c>
      <c r="J11" s="15"/>
      <c r="K11" s="2">
        <v>8</v>
      </c>
      <c r="L11" s="32" t="s">
        <v>388</v>
      </c>
      <c r="M11" s="21">
        <f t="shared" si="0"/>
        <v>4</v>
      </c>
      <c r="N11" s="33" t="s">
        <v>363</v>
      </c>
      <c r="O11" s="22">
        <f t="shared" si="1"/>
        <v>3</v>
      </c>
      <c r="P11" s="34" t="s">
        <v>388</v>
      </c>
      <c r="Q11" s="23">
        <f t="shared" si="2"/>
        <v>5</v>
      </c>
      <c r="R11" s="35" t="s">
        <v>62</v>
      </c>
      <c r="S11" s="55">
        <f t="shared" si="3"/>
        <v>7</v>
      </c>
      <c r="T11" s="36"/>
      <c r="U11" s="56"/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>((D12+E12+G12+H12)*0.2)+(F12*0.3)</f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>SUM(D12:H12)</f>
        <v>0</v>
      </c>
      <c r="J12" s="15"/>
      <c r="K12" s="2">
        <v>9</v>
      </c>
      <c r="L12" s="32" t="s">
        <v>50</v>
      </c>
      <c r="M12" s="21">
        <f t="shared" si="0"/>
        <v>3</v>
      </c>
      <c r="N12" s="33" t="s">
        <v>14</v>
      </c>
      <c r="O12" s="22">
        <f t="shared" si="1"/>
        <v>2</v>
      </c>
      <c r="P12" s="34" t="s">
        <v>7</v>
      </c>
      <c r="Q12" s="23">
        <f t="shared" si="2"/>
        <v>4</v>
      </c>
      <c r="R12" s="35" t="s">
        <v>222</v>
      </c>
      <c r="S12" s="55">
        <f t="shared" si="3"/>
        <v>6</v>
      </c>
      <c r="T12" s="36"/>
      <c r="U12" s="56"/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>((D13+E13+G13+H13)*0.2)+(F13*0.3)</f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>SUM(D13:H13)</f>
        <v>0</v>
      </c>
      <c r="J13" s="15"/>
      <c r="K13" s="2">
        <v>10</v>
      </c>
      <c r="L13" s="32" t="s">
        <v>299</v>
      </c>
      <c r="M13" s="21">
        <f t="shared" si="0"/>
        <v>3</v>
      </c>
      <c r="N13" s="33" t="s">
        <v>356</v>
      </c>
      <c r="O13" s="22">
        <f t="shared" si="1"/>
        <v>2</v>
      </c>
      <c r="P13" s="34" t="s">
        <v>224</v>
      </c>
      <c r="Q13" s="23">
        <f t="shared" si="2"/>
        <v>3</v>
      </c>
      <c r="R13" s="35" t="s">
        <v>75</v>
      </c>
      <c r="S13" s="55">
        <f t="shared" si="3"/>
        <v>6</v>
      </c>
      <c r="T13" s="36"/>
      <c r="U13" s="56"/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>((D14+E14+G14+H14)*0.2)+(F14*0.3)</f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>SUM(D14:H14)</f>
        <v>0</v>
      </c>
      <c r="J14" s="15"/>
      <c r="K14" s="2">
        <v>11</v>
      </c>
      <c r="L14" s="21" t="s">
        <v>356</v>
      </c>
      <c r="M14" s="21">
        <f t="shared" si="0"/>
        <v>3</v>
      </c>
      <c r="N14" s="33" t="s">
        <v>402</v>
      </c>
      <c r="O14" s="22">
        <f t="shared" si="1"/>
        <v>2</v>
      </c>
      <c r="P14" s="34" t="s">
        <v>314</v>
      </c>
      <c r="Q14" s="23">
        <f t="shared" si="2"/>
        <v>3</v>
      </c>
      <c r="R14" s="55" t="s">
        <v>401</v>
      </c>
      <c r="S14" s="55">
        <f t="shared" si="3"/>
        <v>6</v>
      </c>
      <c r="T14" s="36"/>
      <c r="U14" s="56"/>
    </row>
    <row r="15" spans="1:33" x14ac:dyDescent="0.25">
      <c r="A15" s="2">
        <f>종합Sheet!A15</f>
        <v>12</v>
      </c>
      <c r="B15" s="2" t="str">
        <f>종합Sheet!B15</f>
        <v>권주용</v>
      </c>
      <c r="C15" s="2">
        <f>((D15+E15+G15+H15)*0.2)+(F15*0.3)</f>
        <v>0</v>
      </c>
      <c r="D15" s="14">
        <f>COUNTIF(경기기록Sheet!$E:$H,B15)</f>
        <v>0</v>
      </c>
      <c r="E15" s="14">
        <f>COUNTIF(경기기록Sheet!$I:$L,B15)</f>
        <v>0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>SUM(D15:H15)</f>
        <v>0</v>
      </c>
      <c r="J15" s="15"/>
      <c r="K15" s="2">
        <v>12</v>
      </c>
      <c r="L15" s="21" t="s">
        <v>387</v>
      </c>
      <c r="M15" s="21">
        <f t="shared" si="0"/>
        <v>3</v>
      </c>
      <c r="N15" s="22" t="s">
        <v>221</v>
      </c>
      <c r="O15" s="22">
        <f t="shared" si="1"/>
        <v>2</v>
      </c>
      <c r="P15" s="23"/>
      <c r="Q15" s="23"/>
      <c r="R15" s="55" t="s">
        <v>67</v>
      </c>
      <c r="S15" s="55">
        <f t="shared" si="3"/>
        <v>6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>((D16+E16+G16+H16)*0.2)+(F16*0.3)</f>
        <v>1.4</v>
      </c>
      <c r="D16" s="14">
        <f>COUNTIF(경기기록Sheet!$E:$H,B16)</f>
        <v>1</v>
      </c>
      <c r="E16" s="14">
        <f>COUNTIF(경기기록Sheet!$I:$L,B16)</f>
        <v>0</v>
      </c>
      <c r="F16" s="14">
        <f>COUNTIF(경기기록Sheet!$M:$P,B16)</f>
        <v>2</v>
      </c>
      <c r="G16" s="14">
        <f>COUNTIF(경기기록Sheet!$Q:$U,B16)</f>
        <v>2</v>
      </c>
      <c r="H16" s="14">
        <f>COUNTIF(경기기록Sheet!$V:$V,B16)</f>
        <v>1</v>
      </c>
      <c r="I16" s="14">
        <f>SUM(D16:H16)</f>
        <v>6</v>
      </c>
      <c r="J16" s="15"/>
      <c r="K16" s="2">
        <v>13</v>
      </c>
      <c r="L16" s="21"/>
      <c r="M16" s="21"/>
      <c r="N16" s="22" t="s">
        <v>314</v>
      </c>
      <c r="O16" s="22">
        <f t="shared" si="1"/>
        <v>2</v>
      </c>
      <c r="P16" s="23"/>
      <c r="Q16" s="23"/>
      <c r="R16" s="55" t="s">
        <v>387</v>
      </c>
      <c r="S16" s="55">
        <f t="shared" si="3"/>
        <v>5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>((D17+E17+G17+H17)*0.2)+(F17*0.3)</f>
        <v>3</v>
      </c>
      <c r="D17" s="14">
        <f>COUNTIF(경기기록Sheet!$E:$H,B17)</f>
        <v>7</v>
      </c>
      <c r="E17" s="14">
        <f>COUNTIF(경기기록Sheet!$I:$L,B17)</f>
        <v>6</v>
      </c>
      <c r="F17" s="14">
        <f>COUNTIF(경기기록Sheet!$M:$P,B17)</f>
        <v>0</v>
      </c>
      <c r="G17" s="14">
        <f>COUNTIF(경기기록Sheet!$Q:$U,B17)</f>
        <v>1</v>
      </c>
      <c r="H17" s="14">
        <f>COUNTIF(경기기록Sheet!$V:$V,B17)</f>
        <v>1</v>
      </c>
      <c r="I17" s="14">
        <f>SUM(D17:H17)</f>
        <v>15</v>
      </c>
      <c r="J17" s="15"/>
      <c r="K17" s="2">
        <v>14</v>
      </c>
      <c r="L17" s="21"/>
      <c r="M17" s="21"/>
      <c r="N17" s="22" t="s">
        <v>75</v>
      </c>
      <c r="O17" s="22">
        <f t="shared" si="1"/>
        <v>2</v>
      </c>
      <c r="P17" s="23"/>
      <c r="Q17" s="23"/>
      <c r="R17" s="55" t="s">
        <v>364</v>
      </c>
      <c r="S17" s="55">
        <f t="shared" si="3"/>
        <v>5</v>
      </c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>((D18+E18+G18+H18)*0.2)+(F18*0.3)</f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>SUM(D18:H18)</f>
        <v>0</v>
      </c>
      <c r="J18" s="15"/>
      <c r="K18" s="2">
        <v>15</v>
      </c>
      <c r="L18" s="21"/>
      <c r="M18" s="21"/>
      <c r="N18" s="22" t="s">
        <v>394</v>
      </c>
      <c r="O18" s="22">
        <f t="shared" si="1"/>
        <v>2</v>
      </c>
      <c r="P18" s="23"/>
      <c r="Q18" s="23"/>
      <c r="R18" s="55" t="s">
        <v>34</v>
      </c>
      <c r="S18" s="55">
        <f t="shared" si="3"/>
        <v>5</v>
      </c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김동인</v>
      </c>
      <c r="C19" s="2">
        <f>((D19+E19+G19+H19)*0.2)+(F19*0.3)</f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>SUM(D19:H19)</f>
        <v>0</v>
      </c>
      <c r="J19" s="15"/>
      <c r="N19" s="1" t="s">
        <v>386</v>
      </c>
    </row>
    <row r="20" spans="1:21" x14ac:dyDescent="0.25">
      <c r="A20" s="2">
        <f>종합Sheet!A20</f>
        <v>17</v>
      </c>
      <c r="B20" s="2" t="str">
        <f>종합Sheet!B20</f>
        <v>김민섭</v>
      </c>
      <c r="C20" s="2">
        <f>((D20+E20+G20+H20)*0.2)+(F20*0.3)</f>
        <v>0.2</v>
      </c>
      <c r="D20" s="14">
        <f>COUNTIF(경기기록Sheet!$E:$H,B20)</f>
        <v>0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>SUM(D20:H20)</f>
        <v>1</v>
      </c>
      <c r="J20" s="15"/>
      <c r="N20" s="1" t="s">
        <v>231</v>
      </c>
    </row>
    <row r="21" spans="1:21" x14ac:dyDescent="0.25">
      <c r="A21" s="2">
        <f>종합Sheet!A21</f>
        <v>18</v>
      </c>
      <c r="B21" s="2" t="str">
        <f>종합Sheet!B21</f>
        <v>김민준</v>
      </c>
      <c r="C21" s="2">
        <f>((D21+E21+G21+H21)*0.2)+(F21*0.3)</f>
        <v>0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>SUM(D21:H21)</f>
        <v>0</v>
      </c>
      <c r="J21" s="15"/>
      <c r="N21" s="1" t="s">
        <v>389</v>
      </c>
    </row>
    <row r="22" spans="1:21" x14ac:dyDescent="0.25">
      <c r="A22" s="2">
        <f>종합Sheet!A22</f>
        <v>19</v>
      </c>
      <c r="B22" s="2" t="str">
        <f>종합Sheet!B22</f>
        <v>김민찬</v>
      </c>
      <c r="C22" s="2">
        <f>((D22+E22+G22+H22)*0.2)+(F22*0.3)</f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>SUM(D22:H22)</f>
        <v>0</v>
      </c>
      <c r="J22" s="15"/>
    </row>
    <row r="23" spans="1:21" x14ac:dyDescent="0.25">
      <c r="A23" s="2">
        <f>종합Sheet!A23</f>
        <v>20</v>
      </c>
      <c r="B23" s="2" t="str">
        <f>종합Sheet!B23</f>
        <v>김범기</v>
      </c>
      <c r="C23" s="2">
        <f>((D23+E23+G23+H23)*0.2)+(F23*0.3)</f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>SUM(D23:H23)</f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김병준</v>
      </c>
      <c r="C24" s="2">
        <f>((D24+E24+G24+H24)*0.2)+(F24*0.3)</f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>SUM(D24:H24)</f>
        <v>0</v>
      </c>
      <c r="J24" s="15"/>
    </row>
    <row r="25" spans="1:21" x14ac:dyDescent="0.25">
      <c r="A25" s="2">
        <f>종합Sheet!A25</f>
        <v>22</v>
      </c>
      <c r="B25" s="2" t="str">
        <f>종합Sheet!B25</f>
        <v>김부건</v>
      </c>
      <c r="C25" s="2">
        <f>((D25+E25+G25+H25)*0.2)+(F25*0.3)</f>
        <v>0.8</v>
      </c>
      <c r="D25" s="14">
        <f>COUNTIF(경기기록Sheet!$E:$H,B25)</f>
        <v>2</v>
      </c>
      <c r="E25" s="14">
        <f>COUNTIF(경기기록Sheet!$I:$L,B25)</f>
        <v>2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>SUM(D25:H25)</f>
        <v>4</v>
      </c>
      <c r="J25" s="15"/>
    </row>
    <row r="26" spans="1:21" x14ac:dyDescent="0.25">
      <c r="A26" s="2">
        <f>종합Sheet!A26</f>
        <v>23</v>
      </c>
      <c r="B26" s="2" t="str">
        <f>종합Sheet!B26</f>
        <v>김성수</v>
      </c>
      <c r="C26" s="2">
        <f>((D26+E26+G26+H26)*0.2)+(F26*0.3)</f>
        <v>1.7999999999999998</v>
      </c>
      <c r="D26" s="14">
        <f>COUNTIF(경기기록Sheet!$E:$H,B26)</f>
        <v>0</v>
      </c>
      <c r="E26" s="14">
        <f>COUNTIF(경기기록Sheet!$I:$L,B26)</f>
        <v>0</v>
      </c>
      <c r="F26" s="14">
        <f>COUNTIF(경기기록Sheet!$M:$P,B26)</f>
        <v>6</v>
      </c>
      <c r="G26" s="14">
        <f>COUNTIF(경기기록Sheet!$Q:$U,B26)</f>
        <v>0</v>
      </c>
      <c r="H26" s="14">
        <f>COUNTIF(경기기록Sheet!$V:$V,B26)</f>
        <v>0</v>
      </c>
      <c r="I26" s="14">
        <f>SUM(D26:H26)</f>
        <v>6</v>
      </c>
      <c r="J26" s="15"/>
    </row>
    <row r="27" spans="1:21" x14ac:dyDescent="0.25">
      <c r="A27" s="2">
        <f>종합Sheet!A27</f>
        <v>24</v>
      </c>
      <c r="B27" s="2" t="str">
        <f>종합Sheet!B27</f>
        <v>김성준</v>
      </c>
      <c r="C27" s="2">
        <f>((D27+E27+G27+H27)*0.2)+(F27*0.3)</f>
        <v>7.6</v>
      </c>
      <c r="D27" s="14">
        <f>COUNTIF(경기기록Sheet!$E:$H,B27)</f>
        <v>9</v>
      </c>
      <c r="E27" s="14">
        <f>COUNTIF(경기기록Sheet!$I:$L,B27)</f>
        <v>4</v>
      </c>
      <c r="F27" s="14">
        <f>COUNTIF(경기기록Sheet!$M:$P,B27)</f>
        <v>12</v>
      </c>
      <c r="G27" s="14">
        <f>COUNTIF(경기기록Sheet!$Q:$U,B27)</f>
        <v>6</v>
      </c>
      <c r="H27" s="14">
        <f>COUNTIF(경기기록Sheet!$V:$V,B27)</f>
        <v>1</v>
      </c>
      <c r="I27" s="14">
        <f>SUM(D27:H27)</f>
        <v>32</v>
      </c>
      <c r="J27" s="15"/>
    </row>
    <row r="28" spans="1:21" x14ac:dyDescent="0.25">
      <c r="A28" s="2">
        <f>종합Sheet!A28</f>
        <v>25</v>
      </c>
      <c r="B28" s="2" t="str">
        <f>종합Sheet!B28</f>
        <v>김송환</v>
      </c>
      <c r="C28" s="2">
        <f>((D28+E28+G28+H28)*0.2)+(F28*0.3)</f>
        <v>2.6</v>
      </c>
      <c r="D28" s="14">
        <f>COUNTIF(경기기록Sheet!$E:$H,B28)</f>
        <v>0</v>
      </c>
      <c r="E28" s="14">
        <f>COUNTIF(경기기록Sheet!$I:$L,B28)</f>
        <v>0</v>
      </c>
      <c r="F28" s="14">
        <f>COUNTIF(경기기록Sheet!$M:$P,B28)</f>
        <v>8</v>
      </c>
      <c r="G28" s="14">
        <f>COUNTIF(경기기록Sheet!$Q:$U,B28)</f>
        <v>0</v>
      </c>
      <c r="H28" s="14">
        <f>COUNTIF(경기기록Sheet!$V:$V,B28)</f>
        <v>1</v>
      </c>
      <c r="I28" s="14">
        <f>SUM(D28:H28)</f>
        <v>9</v>
      </c>
      <c r="J28" s="15"/>
    </row>
    <row r="29" spans="1:21" x14ac:dyDescent="0.25">
      <c r="A29" s="2">
        <f>종합Sheet!A29</f>
        <v>26</v>
      </c>
      <c r="B29" s="2" t="str">
        <f>종합Sheet!B29</f>
        <v>김영태</v>
      </c>
      <c r="C29" s="2">
        <f>((D29+E29+G29+H29)*0.2)+(F29*0.3)</f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>SUM(D29:H29)</f>
        <v>0</v>
      </c>
      <c r="J29" s="15"/>
    </row>
    <row r="30" spans="1:21" x14ac:dyDescent="0.25">
      <c r="A30" s="2">
        <f>종합Sheet!A30</f>
        <v>27</v>
      </c>
      <c r="B30" s="2" t="str">
        <f>종합Sheet!B30</f>
        <v>김용빈</v>
      </c>
      <c r="C30" s="2">
        <f>((D30+E30+G30+H30)*0.2)+(F30*0.3)</f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>SUM(D30:H30)</f>
        <v>0</v>
      </c>
      <c r="J30" s="15"/>
    </row>
    <row r="31" spans="1:21" x14ac:dyDescent="0.25">
      <c r="A31" s="2">
        <f>종합Sheet!A31</f>
        <v>28</v>
      </c>
      <c r="B31" s="2" t="str">
        <f>종합Sheet!B31</f>
        <v>김용현</v>
      </c>
      <c r="C31" s="2">
        <f>((D31+E31+G31+H31)*0.2)+(F31*0.3)</f>
        <v>2.9000000000000004</v>
      </c>
      <c r="D31" s="14">
        <f>COUNTIF(경기기록Sheet!$E:$H,B31)</f>
        <v>1</v>
      </c>
      <c r="E31" s="14">
        <f>COUNTIF(경기기록Sheet!$I:$L,B31)</f>
        <v>6</v>
      </c>
      <c r="F31" s="14">
        <f>COUNTIF(경기기록Sheet!$M:$P,B31)</f>
        <v>5</v>
      </c>
      <c r="G31" s="14">
        <f>COUNTIF(경기기록Sheet!$Q:$U,B31)</f>
        <v>0</v>
      </c>
      <c r="H31" s="14">
        <f>COUNTIF(경기기록Sheet!$V:$V,B31)</f>
        <v>0</v>
      </c>
      <c r="I31" s="14">
        <f>SUM(D31:H31)</f>
        <v>12</v>
      </c>
      <c r="J31" s="15"/>
    </row>
    <row r="32" spans="1:21" x14ac:dyDescent="0.25">
      <c r="A32" s="2">
        <f>종합Sheet!A32</f>
        <v>29</v>
      </c>
      <c r="B32" s="2" t="str">
        <f>종합Sheet!B32</f>
        <v>김우인</v>
      </c>
      <c r="C32" s="2">
        <f>((D32+E32+G32+H32)*0.2)+(F32*0.3)</f>
        <v>2.6</v>
      </c>
      <c r="D32" s="14">
        <f>COUNTIF(경기기록Sheet!$E:$H,B32)</f>
        <v>2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2</v>
      </c>
      <c r="H32" s="14">
        <f>COUNTIF(경기기록Sheet!$V:$V,B32)</f>
        <v>9</v>
      </c>
      <c r="I32" s="14">
        <f>SUM(D32:H32)</f>
        <v>13</v>
      </c>
      <c r="J32" s="15"/>
    </row>
    <row r="33" spans="1:10" x14ac:dyDescent="0.25">
      <c r="A33" s="2">
        <f>종합Sheet!A33</f>
        <v>30</v>
      </c>
      <c r="B33" s="2" t="str">
        <f>종합Sheet!B33</f>
        <v>김종준</v>
      </c>
      <c r="C33" s="2">
        <f>((D33+E33+G33+H33)*0.2)+(F33*0.3)</f>
        <v>0.2</v>
      </c>
      <c r="D33" s="14">
        <f>COUNTIF(경기기록Sheet!$E:$H,B33)</f>
        <v>0</v>
      </c>
      <c r="E33" s="14">
        <f>COUNTIF(경기기록Sheet!$I:$L,B33)</f>
        <v>0</v>
      </c>
      <c r="F33" s="14">
        <f>COUNTIF(경기기록Sheet!$M:$P,B33)</f>
        <v>0</v>
      </c>
      <c r="G33" s="14">
        <f>COUNTIF(경기기록Sheet!$Q:$U,B33)</f>
        <v>1</v>
      </c>
      <c r="H33" s="14">
        <f>COUNTIF(경기기록Sheet!$V:$V,B33)</f>
        <v>0</v>
      </c>
      <c r="I33" s="14">
        <f>SUM(D33:H33)</f>
        <v>1</v>
      </c>
      <c r="J33" s="15"/>
    </row>
    <row r="34" spans="1:10" x14ac:dyDescent="0.25">
      <c r="A34" s="2">
        <f>종합Sheet!A34</f>
        <v>31</v>
      </c>
      <c r="B34" s="2" t="str">
        <f>종합Sheet!B34</f>
        <v>김종혁</v>
      </c>
      <c r="C34" s="2">
        <f>((D34+E34+G34+H34)*0.2)+(F34*0.3)</f>
        <v>1.2000000000000002</v>
      </c>
      <c r="D34" s="14">
        <f>COUNTIF(경기기록Sheet!$E:$H,B34)</f>
        <v>3</v>
      </c>
      <c r="E34" s="14">
        <f>COUNTIF(경기기록Sheet!$I:$L,B34)</f>
        <v>2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1</v>
      </c>
      <c r="I34" s="14">
        <f>SUM(D34:H34)</f>
        <v>6</v>
      </c>
      <c r="J34" s="15"/>
    </row>
    <row r="35" spans="1:10" x14ac:dyDescent="0.25">
      <c r="A35" s="2">
        <f>종합Sheet!A35</f>
        <v>32</v>
      </c>
      <c r="B35" s="2" t="str">
        <f>종합Sheet!B35</f>
        <v>김준영</v>
      </c>
      <c r="C35" s="2">
        <f>((D35+E35+G35+H35)*0.2)+(F35*0.3)</f>
        <v>0</v>
      </c>
      <c r="D35" s="14">
        <f>COUNTIF(경기기록Sheet!$E:$H,B35)</f>
        <v>0</v>
      </c>
      <c r="E35" s="14">
        <f>COUNTIF(경기기록Sheet!$I:$L,B35)</f>
        <v>0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0</v>
      </c>
      <c r="I35" s="14">
        <f>SUM(D35:H35)</f>
        <v>0</v>
      </c>
      <c r="J35" s="15"/>
    </row>
    <row r="36" spans="1:10" x14ac:dyDescent="0.25">
      <c r="A36" s="2">
        <f>종합Sheet!A36</f>
        <v>33</v>
      </c>
      <c r="B36" s="2" t="str">
        <f>종합Sheet!B36</f>
        <v>김진형</v>
      </c>
      <c r="C36" s="2">
        <f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>SUM(D36:H36)</f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김진호</v>
      </c>
      <c r="C37" s="2">
        <f>((D37+E37+G37+H37)*0.2)+(F37*0.3)</f>
        <v>5.6000000000000005</v>
      </c>
      <c r="D37" s="14">
        <f>COUNTIF(경기기록Sheet!$E:$H,B37)</f>
        <v>20</v>
      </c>
      <c r="E37" s="14">
        <f>COUNTIF(경기기록Sheet!$I:$L,B37)</f>
        <v>8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>SUM(D37:H37)</f>
        <v>28</v>
      </c>
      <c r="J37" s="15"/>
    </row>
    <row r="38" spans="1:10" x14ac:dyDescent="0.25">
      <c r="A38" s="2">
        <f>종합Sheet!A38</f>
        <v>35</v>
      </c>
      <c r="B38" s="2" t="str">
        <f>종합Sheet!B38</f>
        <v>김태성</v>
      </c>
      <c r="C38" s="2">
        <f>((D38+E38+G38+H38)*0.2)+(F38*0.3)</f>
        <v>0.4</v>
      </c>
      <c r="D38" s="14">
        <f>COUNTIF(경기기록Sheet!$E:$H,B38)</f>
        <v>1</v>
      </c>
      <c r="E38" s="14">
        <f>COUNTIF(경기기록Sheet!$I:$L,B38)</f>
        <v>1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>SUM(D38:H38)</f>
        <v>2</v>
      </c>
      <c r="J38" s="15"/>
    </row>
    <row r="39" spans="1:10" x14ac:dyDescent="0.25">
      <c r="A39" s="2">
        <f>종합Sheet!A39</f>
        <v>36</v>
      </c>
      <c r="B39" s="2" t="str">
        <f>종합Sheet!B39</f>
        <v>김태양</v>
      </c>
      <c r="C39" s="2">
        <f>((D39+E39+G39+H39)*0.2)+(F39*0.3)</f>
        <v>0</v>
      </c>
      <c r="D39" s="14">
        <f>COUNTIF(경기기록Sheet!$E:$H,B39)</f>
        <v>0</v>
      </c>
      <c r="E39" s="14">
        <f>COUNTIF(경기기록Sheet!$I:$L,B39)</f>
        <v>0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>SUM(D39:H39)</f>
        <v>0</v>
      </c>
      <c r="J39" s="15"/>
    </row>
    <row r="40" spans="1:10" x14ac:dyDescent="0.25">
      <c r="A40" s="2">
        <f>종합Sheet!A40</f>
        <v>37</v>
      </c>
      <c r="B40" s="2" t="str">
        <f>종합Sheet!B40</f>
        <v>김태완</v>
      </c>
      <c r="C40" s="2">
        <f>((D40+E40+G40+H40)*0.2)+(F40*0.3)</f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>SUM(D40:H40)</f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김태호</v>
      </c>
      <c r="C41" s="2">
        <f>((D41+E41+G41+H41)*0.2)+(F41*0.3)</f>
        <v>0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0</v>
      </c>
      <c r="H41" s="14">
        <f>COUNTIF(경기기록Sheet!$V:$V,B41)</f>
        <v>0</v>
      </c>
      <c r="I41" s="14">
        <f>SUM(D41:H41)</f>
        <v>0</v>
      </c>
      <c r="J41" s="15"/>
    </row>
    <row r="42" spans="1:10" x14ac:dyDescent="0.25">
      <c r="A42" s="2">
        <f>종합Sheet!A42</f>
        <v>39</v>
      </c>
      <c r="B42" s="2" t="str">
        <f>종합Sheet!B42</f>
        <v>김현우</v>
      </c>
      <c r="C42" s="2">
        <f>((D42+E42+G42+H42)*0.2)+(F42*0.3)</f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>SUM(D42:H42)</f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김형원</v>
      </c>
      <c r="C43" s="2">
        <f>((D43+E43+G43+H43)*0.2)+(F43*0.3)</f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>SUM(D43:H43)</f>
        <v>0</v>
      </c>
      <c r="J43" s="15"/>
    </row>
    <row r="44" spans="1:10" x14ac:dyDescent="0.25">
      <c r="A44" s="2">
        <f>종합Sheet!A44</f>
        <v>41</v>
      </c>
      <c r="B44" s="2" t="str">
        <f>종합Sheet!B44</f>
        <v>노민준</v>
      </c>
      <c r="C44" s="2">
        <f>((D44+E44+G44+H44)*0.2)+(F44*0.3)</f>
        <v>3.2</v>
      </c>
      <c r="D44" s="14">
        <f>COUNTIF(경기기록Sheet!$E:$H,B44)</f>
        <v>1</v>
      </c>
      <c r="E44" s="14">
        <f>COUNTIF(경기기록Sheet!$I:$L,B44)</f>
        <v>1</v>
      </c>
      <c r="F44" s="14">
        <f>COUNTIF(경기기록Sheet!$M:$P,B44)</f>
        <v>0</v>
      </c>
      <c r="G44" s="14">
        <f>COUNTIF(경기기록Sheet!$Q:$U,B44)</f>
        <v>11</v>
      </c>
      <c r="H44" s="14">
        <f>COUNTIF(경기기록Sheet!$V:$V,B44)</f>
        <v>3</v>
      </c>
      <c r="I44" s="14">
        <f>SUM(D44:H44)</f>
        <v>16</v>
      </c>
      <c r="J44" s="15"/>
    </row>
    <row r="45" spans="1:10" x14ac:dyDescent="0.25">
      <c r="A45" s="2">
        <f>종합Sheet!A45</f>
        <v>42</v>
      </c>
      <c r="B45" s="2" t="str">
        <f>종합Sheet!B45</f>
        <v>노성호</v>
      </c>
      <c r="C45" s="2">
        <f>((D45+E45+G45+H45)*0.2)+(F45*0.3)</f>
        <v>0.2</v>
      </c>
      <c r="D45" s="14">
        <f>COUNTIF(경기기록Sheet!$E:$H,B45)</f>
        <v>0</v>
      </c>
      <c r="E45" s="14">
        <f>COUNTIF(경기기록Sheet!$I:$L,B45)</f>
        <v>1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>SUM(D45:H45)</f>
        <v>1</v>
      </c>
      <c r="J45" s="15"/>
    </row>
    <row r="46" spans="1:10" x14ac:dyDescent="0.25">
      <c r="A46" s="2">
        <f>종합Sheet!A46</f>
        <v>43</v>
      </c>
      <c r="B46" s="2" t="str">
        <f>종합Sheet!B46</f>
        <v>류서진</v>
      </c>
      <c r="C46" s="2">
        <f>((D46+E46+G46+H46)*0.2)+(F46*0.3)</f>
        <v>0</v>
      </c>
      <c r="D46" s="14">
        <f>COUNTIF(경기기록Sheet!$E:$H,B46)</f>
        <v>0</v>
      </c>
      <c r="E46" s="14">
        <f>COUNTIF(경기기록Sheet!$I:$L,B46)</f>
        <v>0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>SUM(D46:H46)</f>
        <v>0</v>
      </c>
      <c r="J46" s="15"/>
    </row>
    <row r="47" spans="1:10" x14ac:dyDescent="0.25">
      <c r="A47" s="2">
        <f>종합Sheet!A47</f>
        <v>44</v>
      </c>
      <c r="B47" s="2" t="str">
        <f>종합Sheet!B47</f>
        <v>마창기</v>
      </c>
      <c r="C47" s="2">
        <f>((D47+E47+G47+H47)*0.2)+(F47*0.3)</f>
        <v>0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0</v>
      </c>
      <c r="G47" s="14">
        <f>COUNTIF(경기기록Sheet!$Q:$U,B47)</f>
        <v>0</v>
      </c>
      <c r="H47" s="14">
        <f>COUNTIF(경기기록Sheet!$V:$V,B47)</f>
        <v>0</v>
      </c>
      <c r="I47" s="14">
        <f>SUM(D47:H47)</f>
        <v>0</v>
      </c>
      <c r="J47" s="15"/>
    </row>
    <row r="48" spans="1:10" x14ac:dyDescent="0.25">
      <c r="A48" s="2">
        <f>종합Sheet!A48</f>
        <v>45</v>
      </c>
      <c r="B48" s="2" t="str">
        <f>종합Sheet!B48</f>
        <v>문준수</v>
      </c>
      <c r="C48" s="2">
        <f>((D48+E48+G48+H48)*0.2)+(F48*0.3)</f>
        <v>1.8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8</v>
      </c>
      <c r="H48" s="14">
        <f>COUNTIF(경기기록Sheet!$V:$V,B48)</f>
        <v>1</v>
      </c>
      <c r="I48" s="14">
        <f>SUM(D48:H48)</f>
        <v>9</v>
      </c>
      <c r="J48" s="15"/>
    </row>
    <row r="49" spans="1:10" x14ac:dyDescent="0.25">
      <c r="A49" s="2">
        <f>종합Sheet!A49</f>
        <v>46</v>
      </c>
      <c r="B49" s="2" t="str">
        <f>종합Sheet!B49</f>
        <v>민건호</v>
      </c>
      <c r="C49" s="2">
        <f>((D49+E49+G49+H49)*0.2)+(F49*0.3)</f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>SUM(D49:H49)</f>
        <v>0</v>
      </c>
      <c r="J49" s="15"/>
    </row>
    <row r="50" spans="1:10" x14ac:dyDescent="0.25">
      <c r="A50" s="2">
        <f>종합Sheet!A50</f>
        <v>47</v>
      </c>
      <c r="B50" s="2" t="str">
        <f>종합Sheet!B50</f>
        <v>박수천</v>
      </c>
      <c r="C50" s="2">
        <f>((D50+E50+G50+H50)*0.2)+(F50*0.3)</f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>SUM(D50:H50)</f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박정호</v>
      </c>
      <c r="C51" s="2">
        <f>((D51+E51+G51+H51)*0.2)+(F51*0.3)</f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>SUM(D51:H51)</f>
        <v>0</v>
      </c>
      <c r="J51" s="15"/>
    </row>
    <row r="52" spans="1:10" x14ac:dyDescent="0.25">
      <c r="A52" s="2">
        <f>종합Sheet!A52</f>
        <v>49</v>
      </c>
      <c r="B52" s="2" t="str">
        <f>종합Sheet!B52</f>
        <v>박주연</v>
      </c>
      <c r="C52" s="2">
        <f>((D52+E52+G52+H52)*0.2)+(F52*0.3)</f>
        <v>1.8</v>
      </c>
      <c r="D52" s="14">
        <f>COUNTIF(경기기록Sheet!$E:$H,B52)</f>
        <v>1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8</v>
      </c>
      <c r="H52" s="14">
        <f>COUNTIF(경기기록Sheet!$V:$V,B52)</f>
        <v>0</v>
      </c>
      <c r="I52" s="14">
        <f>SUM(D52:H52)</f>
        <v>9</v>
      </c>
      <c r="J52" s="15"/>
    </row>
    <row r="53" spans="1:10" x14ac:dyDescent="0.25">
      <c r="A53" s="2">
        <f>종합Sheet!A53</f>
        <v>50</v>
      </c>
      <c r="B53" s="2" t="str">
        <f>종합Sheet!B53</f>
        <v>박주현</v>
      </c>
      <c r="C53" s="2">
        <f>((D53+E53+G53+H53)*0.2)+(F53*0.3)</f>
        <v>0</v>
      </c>
      <c r="D53" s="14">
        <f>COUNTIF(경기기록Sheet!$E:$H,B53)</f>
        <v>0</v>
      </c>
      <c r="E53" s="14">
        <f>COUNTIF(경기기록Sheet!$I:$L,B53)</f>
        <v>0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>SUM(D53:H53)</f>
        <v>0</v>
      </c>
      <c r="J53" s="15"/>
    </row>
    <row r="54" spans="1:10" x14ac:dyDescent="0.25">
      <c r="A54" s="2">
        <f>종합Sheet!A54</f>
        <v>51</v>
      </c>
      <c r="B54" s="2" t="str">
        <f>종합Sheet!B54</f>
        <v>박준영</v>
      </c>
      <c r="C54" s="2">
        <f>((D54+E54+G54+H54)*0.2)+(F54*0.3)</f>
        <v>0.2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1</v>
      </c>
      <c r="H54" s="14">
        <f>COUNTIF(경기기록Sheet!$V:$V,B54)</f>
        <v>0</v>
      </c>
      <c r="I54" s="14">
        <f>SUM(D54:H54)</f>
        <v>1</v>
      </c>
      <c r="J54" s="15"/>
    </row>
    <row r="55" spans="1:10" x14ac:dyDescent="0.25">
      <c r="A55" s="2">
        <f>종합Sheet!A55</f>
        <v>52</v>
      </c>
      <c r="B55" s="2" t="str">
        <f>종합Sheet!B55</f>
        <v>박태현</v>
      </c>
      <c r="C55" s="2">
        <f>((D55+E55+G55+H55)*0.2)+(F55*0.3)</f>
        <v>0.4</v>
      </c>
      <c r="D55" s="14">
        <f>COUNTIF(경기기록Sheet!$E:$H,B55)</f>
        <v>0</v>
      </c>
      <c r="E55" s="14">
        <f>COUNTIF(경기기록Sheet!$I:$L,B55)</f>
        <v>2</v>
      </c>
      <c r="F55" s="14">
        <f>COUNTIF(경기기록Sheet!$M:$P,B55)</f>
        <v>0</v>
      </c>
      <c r="G55" s="14">
        <f>COUNTIF(경기기록Sheet!$Q:$U,B55)</f>
        <v>0</v>
      </c>
      <c r="H55" s="14">
        <f>COUNTIF(경기기록Sheet!$V:$V,B55)</f>
        <v>0</v>
      </c>
      <c r="I55" s="14">
        <f>SUM(D55:H55)</f>
        <v>2</v>
      </c>
      <c r="J55" s="15"/>
    </row>
    <row r="56" spans="1:10" x14ac:dyDescent="0.25">
      <c r="A56" s="2">
        <f>종합Sheet!A56</f>
        <v>53</v>
      </c>
      <c r="B56" s="2" t="str">
        <f>종합Sheet!B56</f>
        <v>박하빈</v>
      </c>
      <c r="C56" s="2">
        <f>((D56+E56+G56+H56)*0.2)+(F56*0.3)</f>
        <v>0</v>
      </c>
      <c r="D56" s="14">
        <f>COUNTIF(경기기록Sheet!$E:$H,B56)</f>
        <v>0</v>
      </c>
      <c r="E56" s="14">
        <f>COUNTIF(경기기록Sheet!$I:$L,B56)</f>
        <v>0</v>
      </c>
      <c r="F56" s="14">
        <f>COUNTIF(경기기록Sheet!$M:$P,B56)</f>
        <v>0</v>
      </c>
      <c r="G56" s="14">
        <f>COUNTIF(경기기록Sheet!$Q:$U,B56)</f>
        <v>0</v>
      </c>
      <c r="H56" s="14">
        <f>COUNTIF(경기기록Sheet!$V:$V,B56)</f>
        <v>0</v>
      </c>
      <c r="I56" s="14">
        <f>SUM(D56:H56)</f>
        <v>0</v>
      </c>
      <c r="J56" s="15"/>
    </row>
    <row r="57" spans="1:10" x14ac:dyDescent="0.25">
      <c r="A57" s="2">
        <f>종합Sheet!A57</f>
        <v>54</v>
      </c>
      <c r="B57" s="2" t="str">
        <f>종합Sheet!B57</f>
        <v>박형기</v>
      </c>
      <c r="C57" s="2">
        <f>((D57+E57+G57+H57)*0.2)+(F57*0.3)</f>
        <v>0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>SUM(D57:H57)</f>
        <v>0</v>
      </c>
      <c r="J57" s="15"/>
    </row>
    <row r="58" spans="1:10" x14ac:dyDescent="0.25">
      <c r="A58" s="2">
        <f>종합Sheet!A58</f>
        <v>55</v>
      </c>
      <c r="B58" s="2" t="str">
        <f>종합Sheet!B58</f>
        <v>손경호</v>
      </c>
      <c r="C58" s="2">
        <f>((D58+E58+G58+H58)*0.2)+(F58*0.3)</f>
        <v>2</v>
      </c>
      <c r="D58" s="14">
        <f>COUNTIF(경기기록Sheet!$E:$H,B58)</f>
        <v>4</v>
      </c>
      <c r="E58" s="14">
        <f>COUNTIF(경기기록Sheet!$I:$L,B58)</f>
        <v>2</v>
      </c>
      <c r="F58" s="14">
        <f>COUNTIF(경기기록Sheet!$M:$P,B58)</f>
        <v>0</v>
      </c>
      <c r="G58" s="14">
        <f>COUNTIF(경기기록Sheet!$Q:$U,B58)</f>
        <v>1</v>
      </c>
      <c r="H58" s="14">
        <f>COUNTIF(경기기록Sheet!$V:$V,B58)</f>
        <v>3</v>
      </c>
      <c r="I58" s="14">
        <f>SUM(D58:H58)</f>
        <v>10</v>
      </c>
      <c r="J58" s="15"/>
    </row>
    <row r="59" spans="1:10" x14ac:dyDescent="0.25">
      <c r="A59" s="2">
        <f>종합Sheet!A59</f>
        <v>56</v>
      </c>
      <c r="B59" s="2" t="str">
        <f>종합Sheet!B59</f>
        <v>송윤상</v>
      </c>
      <c r="C59" s="2">
        <f>((D59+E59+G59+H59)*0.2)+(F59*0.3)</f>
        <v>0.6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2</v>
      </c>
      <c r="G59" s="14">
        <f>COUNTIF(경기기록Sheet!$Q:$U,B59)</f>
        <v>0</v>
      </c>
      <c r="H59" s="14">
        <f>COUNTIF(경기기록Sheet!$V:$V,B59)</f>
        <v>0</v>
      </c>
      <c r="I59" s="14">
        <f>SUM(D59:H59)</f>
        <v>2</v>
      </c>
      <c r="J59" s="15"/>
    </row>
    <row r="60" spans="1:10" x14ac:dyDescent="0.25">
      <c r="A60" s="2">
        <f>종합Sheet!A60</f>
        <v>57</v>
      </c>
      <c r="B60" s="2" t="str">
        <f>종합Sheet!B60</f>
        <v>신기웅</v>
      </c>
      <c r="C60" s="2">
        <f>((D60+E60+G60+H60)*0.2)+(F60*0.3)</f>
        <v>1.9000000000000001</v>
      </c>
      <c r="D60" s="14">
        <f>COUNTIF(경기기록Sheet!$E:$H,B60)</f>
        <v>3</v>
      </c>
      <c r="E60" s="14">
        <f>COUNTIF(경기기록Sheet!$I:$L,B60)</f>
        <v>0</v>
      </c>
      <c r="F60" s="14">
        <f>COUNTIF(경기기록Sheet!$M:$P,B60)</f>
        <v>1</v>
      </c>
      <c r="G60" s="14">
        <f>COUNTIF(경기기록Sheet!$Q:$U,B60)</f>
        <v>5</v>
      </c>
      <c r="H60" s="14">
        <f>COUNTIF(경기기록Sheet!$V:$V,B60)</f>
        <v>0</v>
      </c>
      <c r="I60" s="14">
        <f>SUM(D60:H60)</f>
        <v>9</v>
      </c>
      <c r="J60" s="15"/>
    </row>
    <row r="61" spans="1:10" x14ac:dyDescent="0.25">
      <c r="A61" s="2">
        <f>종합Sheet!A61</f>
        <v>58</v>
      </c>
      <c r="B61" s="2" t="str">
        <f>종합Sheet!B61</f>
        <v>신종훈</v>
      </c>
      <c r="C61" s="2">
        <f>((D61+E61+G61+H61)*0.2)+(F61*0.3)</f>
        <v>0</v>
      </c>
      <c r="D61" s="14">
        <f>COUNTIF(경기기록Sheet!$E:$H,B61)</f>
        <v>0</v>
      </c>
      <c r="E61" s="14">
        <f>COUNTIF(경기기록Sheet!$I:$L,B61)</f>
        <v>0</v>
      </c>
      <c r="F61" s="14">
        <f>COUNTIF(경기기록Sheet!$M:$P,B61)</f>
        <v>0</v>
      </c>
      <c r="G61" s="14">
        <f>COUNTIF(경기기록Sheet!$Q:$U,B61)</f>
        <v>0</v>
      </c>
      <c r="H61" s="14">
        <f>COUNTIF(경기기록Sheet!$V:$V,B61)</f>
        <v>0</v>
      </c>
      <c r="I61" s="14">
        <f>SUM(D61:H61)</f>
        <v>0</v>
      </c>
      <c r="J61" s="15"/>
    </row>
    <row r="62" spans="1:10" x14ac:dyDescent="0.25">
      <c r="A62" s="2">
        <f>종합Sheet!A62</f>
        <v>59</v>
      </c>
      <c r="B62" s="2" t="str">
        <f>종합Sheet!B62</f>
        <v>안진혁</v>
      </c>
      <c r="C62" s="2">
        <f>((D62+E62+G62+H62)*0.2)+(F62*0.3)</f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>SUM(D62:H62)</f>
        <v>0</v>
      </c>
      <c r="J62" s="15"/>
    </row>
    <row r="63" spans="1:10" x14ac:dyDescent="0.25">
      <c r="A63" s="2">
        <f>종합Sheet!A63</f>
        <v>60</v>
      </c>
      <c r="B63" s="2" t="str">
        <f>종합Sheet!B63</f>
        <v>양진웅</v>
      </c>
      <c r="C63" s="2">
        <f>((D63+E63+G63+H63)*0.2)+(F63*0.3)</f>
        <v>0.5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1</v>
      </c>
      <c r="G63" s="14">
        <f>COUNTIF(경기기록Sheet!$Q:$U,B63)</f>
        <v>1</v>
      </c>
      <c r="H63" s="14">
        <f>COUNTIF(경기기록Sheet!$V:$V,B63)</f>
        <v>0</v>
      </c>
      <c r="I63" s="14">
        <f>SUM(D63:H63)</f>
        <v>2</v>
      </c>
      <c r="J63" s="15"/>
    </row>
    <row r="64" spans="1:10" x14ac:dyDescent="0.25">
      <c r="A64" s="2">
        <f>종합Sheet!A64</f>
        <v>61</v>
      </c>
      <c r="B64" s="2" t="str">
        <f>종합Sheet!B64</f>
        <v>오상준</v>
      </c>
      <c r="C64" s="2">
        <f>((D64+E64+G64+H64)*0.2)+(F64*0.3)</f>
        <v>2.1</v>
      </c>
      <c r="D64" s="14">
        <f>COUNTIF(경기기록Sheet!$E:$H,B64)</f>
        <v>2</v>
      </c>
      <c r="E64" s="14">
        <f>COUNTIF(경기기록Sheet!$I:$L,B64)</f>
        <v>1</v>
      </c>
      <c r="F64" s="14">
        <f>COUNTIF(경기기록Sheet!$M:$P,B64)</f>
        <v>5</v>
      </c>
      <c r="G64" s="14">
        <f>COUNTIF(경기기록Sheet!$Q:$U,B64)</f>
        <v>0</v>
      </c>
      <c r="H64" s="14">
        <f>COUNTIF(경기기록Sheet!$V:$V,B64)</f>
        <v>0</v>
      </c>
      <c r="I64" s="14">
        <f>SUM(D64:H64)</f>
        <v>8</v>
      </c>
      <c r="J64" s="15"/>
    </row>
    <row r="65" spans="1:10" x14ac:dyDescent="0.25">
      <c r="A65" s="2">
        <f>종합Sheet!A65</f>
        <v>62</v>
      </c>
      <c r="B65" s="2" t="str">
        <f>종합Sheet!B65</f>
        <v>오성찬</v>
      </c>
      <c r="C65" s="2">
        <f>((D65+E65+G65+H65)*0.2)+(F65*0.3)</f>
        <v>0.3</v>
      </c>
      <c r="D65" s="14">
        <f>COUNTIF(경기기록Sheet!$E:$H,B65)</f>
        <v>0</v>
      </c>
      <c r="E65" s="14">
        <f>COUNTIF(경기기록Sheet!$I:$L,B65)</f>
        <v>0</v>
      </c>
      <c r="F65" s="14">
        <f>COUNTIF(경기기록Sheet!$M:$P,B65)</f>
        <v>1</v>
      </c>
      <c r="G65" s="14">
        <f>COUNTIF(경기기록Sheet!$Q:$U,B65)</f>
        <v>0</v>
      </c>
      <c r="H65" s="14">
        <f>COUNTIF(경기기록Sheet!$V:$V,B65)</f>
        <v>0</v>
      </c>
      <c r="I65" s="14">
        <f>SUM(D65:H65)</f>
        <v>1</v>
      </c>
      <c r="J65" s="15"/>
    </row>
    <row r="66" spans="1:10" x14ac:dyDescent="0.25">
      <c r="A66" s="2">
        <f>종합Sheet!A66</f>
        <v>63</v>
      </c>
      <c r="B66" s="2" t="str">
        <f>종합Sheet!B66</f>
        <v>오우영</v>
      </c>
      <c r="C66" s="2">
        <f>((D66+E66+G66+H66)*0.2)+(F66*0.3)</f>
        <v>1.5</v>
      </c>
      <c r="D66" s="14">
        <f>COUNTIF(경기기록Sheet!$E:$H,B66)</f>
        <v>1</v>
      </c>
      <c r="E66" s="14">
        <f>COUNTIF(경기기록Sheet!$I:$L,B66)</f>
        <v>2</v>
      </c>
      <c r="F66" s="14">
        <f>COUNTIF(경기기록Sheet!$M:$P,B66)</f>
        <v>3</v>
      </c>
      <c r="G66" s="14">
        <f>COUNTIF(경기기록Sheet!$Q:$U,B66)</f>
        <v>0</v>
      </c>
      <c r="H66" s="14">
        <f>COUNTIF(경기기록Sheet!$V:$V,B66)</f>
        <v>0</v>
      </c>
      <c r="I66" s="14">
        <f>SUM(D66:H66)</f>
        <v>6</v>
      </c>
      <c r="J66" s="15"/>
    </row>
    <row r="67" spans="1:10" x14ac:dyDescent="0.25">
      <c r="A67" s="2">
        <f>종합Sheet!A67</f>
        <v>64</v>
      </c>
      <c r="B67" s="2" t="str">
        <f>종합Sheet!B67</f>
        <v>오운용</v>
      </c>
      <c r="C67" s="2">
        <f>((D67+E67+G67+H67)*0.2)+(F67*0.3)</f>
        <v>0</v>
      </c>
      <c r="D67" s="14">
        <f>COUNTIF(경기기록Sheet!$E:$H,B67)</f>
        <v>0</v>
      </c>
      <c r="E67" s="14">
        <f>COUNTIF(경기기록Sheet!$I:$L,B67)</f>
        <v>0</v>
      </c>
      <c r="F67" s="14">
        <f>COUNTIF(경기기록Sheet!$M:$P,B67)</f>
        <v>0</v>
      </c>
      <c r="G67" s="14">
        <f>COUNTIF(경기기록Sheet!$Q:$U,B67)</f>
        <v>0</v>
      </c>
      <c r="H67" s="14">
        <f>COUNTIF(경기기록Sheet!$V:$V,B67)</f>
        <v>0</v>
      </c>
      <c r="I67" s="14">
        <f>SUM(D67:H67)</f>
        <v>0</v>
      </c>
      <c r="J67" s="15"/>
    </row>
    <row r="68" spans="1:10" x14ac:dyDescent="0.25">
      <c r="A68" s="2">
        <f>종합Sheet!A68</f>
        <v>65</v>
      </c>
      <c r="B68" s="2" t="str">
        <f>종합Sheet!B68</f>
        <v>오진환</v>
      </c>
      <c r="C68" s="2">
        <f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>SUM(D68:H68)</f>
        <v>0</v>
      </c>
      <c r="J68" s="15"/>
    </row>
    <row r="69" spans="1:10" x14ac:dyDescent="0.25">
      <c r="A69" s="2">
        <f>종합Sheet!A69</f>
        <v>66</v>
      </c>
      <c r="B69" s="2" t="str">
        <f>종합Sheet!B69</f>
        <v>우보광</v>
      </c>
      <c r="C69" s="2">
        <f>((D69+E69+G69+H69)*0.2)+(F69*0.3)</f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>SUM(D69:H69)</f>
        <v>0</v>
      </c>
      <c r="J69" s="15"/>
    </row>
    <row r="70" spans="1:10" x14ac:dyDescent="0.25">
      <c r="A70" s="2">
        <f>종합Sheet!A70</f>
        <v>67</v>
      </c>
      <c r="B70" s="2" t="str">
        <f>종합Sheet!B70</f>
        <v>유상근</v>
      </c>
      <c r="C70" s="2">
        <f>((D70+E70+G70+H70)*0.2)+(F70*0.3)</f>
        <v>3.8000000000000003</v>
      </c>
      <c r="D70" s="14">
        <f>COUNTIF(경기기록Sheet!$E:$H,B70)</f>
        <v>0</v>
      </c>
      <c r="E70" s="14">
        <f>COUNTIF(경기기록Sheet!$I:$L,B70)</f>
        <v>1</v>
      </c>
      <c r="F70" s="14">
        <f>COUNTIF(경기기록Sheet!$M:$P,B70)</f>
        <v>0</v>
      </c>
      <c r="G70" s="14">
        <f>COUNTIF(경기기록Sheet!$Q:$U,B70)</f>
        <v>17</v>
      </c>
      <c r="H70" s="14">
        <f>COUNTIF(경기기록Sheet!$V:$V,B70)</f>
        <v>1</v>
      </c>
      <c r="I70" s="14">
        <f>SUM(D70:H70)</f>
        <v>19</v>
      </c>
      <c r="J70" s="15"/>
    </row>
    <row r="71" spans="1:10" x14ac:dyDescent="0.25">
      <c r="A71" s="2">
        <f>종합Sheet!A71</f>
        <v>68</v>
      </c>
      <c r="B71" s="2" t="str">
        <f>종합Sheet!B71</f>
        <v>유우진</v>
      </c>
      <c r="C71" s="2">
        <f>((D71+E71+G71+H71)*0.2)+(F71*0.3)</f>
        <v>0.4</v>
      </c>
      <c r="D71" s="14">
        <f>COUNTIF(경기기록Sheet!$E:$H,B71)</f>
        <v>0</v>
      </c>
      <c r="E71" s="14">
        <f>COUNTIF(경기기록Sheet!$I:$L,B71)</f>
        <v>0</v>
      </c>
      <c r="F71" s="14">
        <f>COUNTIF(경기기록Sheet!$M:$P,B71)</f>
        <v>0</v>
      </c>
      <c r="G71" s="14">
        <f>COUNTIF(경기기록Sheet!$Q:$U,B71)</f>
        <v>2</v>
      </c>
      <c r="H71" s="14">
        <f>COUNTIF(경기기록Sheet!$V:$V,B71)</f>
        <v>0</v>
      </c>
      <c r="I71" s="14">
        <f>SUM(D71:H71)</f>
        <v>2</v>
      </c>
      <c r="J71" s="15"/>
    </row>
    <row r="72" spans="1:10" x14ac:dyDescent="0.25">
      <c r="A72" s="2">
        <f>종합Sheet!A72</f>
        <v>69</v>
      </c>
      <c r="B72" s="2" t="str">
        <f>종합Sheet!B72</f>
        <v>유인상</v>
      </c>
      <c r="C72" s="2">
        <f>((D72+E72+G72+H72)*0.2)+(F72*0.3)</f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>SUM(D72:H72)</f>
        <v>0</v>
      </c>
      <c r="J72" s="15"/>
    </row>
    <row r="73" spans="1:10" x14ac:dyDescent="0.25">
      <c r="A73" s="2">
        <f>종합Sheet!A73</f>
        <v>70</v>
      </c>
      <c r="B73" s="2" t="str">
        <f>종합Sheet!B73</f>
        <v>유정훈</v>
      </c>
      <c r="C73" s="2">
        <f>((D73+E73+G73+H73)*0.2)+(F73*0.3)</f>
        <v>1.2000000000000002</v>
      </c>
      <c r="D73" s="14">
        <f>COUNTIF(경기기록Sheet!$E:$H,B73)</f>
        <v>0</v>
      </c>
      <c r="E73" s="14">
        <f>COUNTIF(경기기록Sheet!$I:$L,B73)</f>
        <v>3</v>
      </c>
      <c r="F73" s="14">
        <f>COUNTIF(경기기록Sheet!$M:$P,B73)</f>
        <v>2</v>
      </c>
      <c r="G73" s="14">
        <f>COUNTIF(경기기록Sheet!$Q:$U,B73)</f>
        <v>0</v>
      </c>
      <c r="H73" s="14">
        <f>COUNTIF(경기기록Sheet!$V:$V,B73)</f>
        <v>0</v>
      </c>
      <c r="I73" s="14">
        <f>SUM(D73:H73)</f>
        <v>5</v>
      </c>
      <c r="J73" s="15"/>
    </row>
    <row r="74" spans="1:10" x14ac:dyDescent="0.25">
      <c r="A74" s="2">
        <f>종합Sheet!A74</f>
        <v>71</v>
      </c>
      <c r="B74" s="2" t="str">
        <f>종합Sheet!B74</f>
        <v>유진효</v>
      </c>
      <c r="C74" s="2">
        <f>((D74+E74+G74+H74)*0.2)+(F74*0.3)</f>
        <v>0</v>
      </c>
      <c r="D74" s="14">
        <f>COUNTIF(경기기록Sheet!$E:$H,B74)</f>
        <v>0</v>
      </c>
      <c r="E74" s="14">
        <f>COUNTIF(경기기록Sheet!$I:$L,B74)</f>
        <v>0</v>
      </c>
      <c r="F74" s="14">
        <f>COUNTIF(경기기록Sheet!$M:$P,B74)</f>
        <v>0</v>
      </c>
      <c r="G74" s="14">
        <f>COUNTIF(경기기록Sheet!$Q:$U,B74)</f>
        <v>0</v>
      </c>
      <c r="H74" s="14">
        <f>COUNTIF(경기기록Sheet!$V:$V,B74)</f>
        <v>0</v>
      </c>
      <c r="I74" s="14">
        <f>SUM(D74:H74)</f>
        <v>0</v>
      </c>
      <c r="J74" s="15"/>
    </row>
    <row r="75" spans="1:10" x14ac:dyDescent="0.25">
      <c r="A75" s="2">
        <f>종합Sheet!A75</f>
        <v>72</v>
      </c>
      <c r="B75" s="2" t="str">
        <f>종합Sheet!B75</f>
        <v>윤원택</v>
      </c>
      <c r="C75" s="2">
        <f>((D75+E75+G75+H75)*0.2)+(F75*0.3)</f>
        <v>0.6</v>
      </c>
      <c r="D75" s="14">
        <f>COUNTIF(경기기록Sheet!$E:$H,B75)</f>
        <v>0</v>
      </c>
      <c r="E75" s="14">
        <f>COUNTIF(경기기록Sheet!$I:$L,B75)</f>
        <v>0</v>
      </c>
      <c r="F75" s="14">
        <f>COUNTIF(경기기록Sheet!$M:$P,B75)</f>
        <v>2</v>
      </c>
      <c r="G75" s="14">
        <f>COUNTIF(경기기록Sheet!$Q:$U,B75)</f>
        <v>0</v>
      </c>
      <c r="H75" s="14">
        <f>COUNTIF(경기기록Sheet!$V:$V,B75)</f>
        <v>0</v>
      </c>
      <c r="I75" s="14">
        <f>SUM(D75:H75)</f>
        <v>2</v>
      </c>
      <c r="J75" s="15"/>
    </row>
    <row r="76" spans="1:10" x14ac:dyDescent="0.25">
      <c r="A76" s="2">
        <f>종합Sheet!A76</f>
        <v>73</v>
      </c>
      <c r="B76" s="2" t="str">
        <f>종합Sheet!B76</f>
        <v>윤창현</v>
      </c>
      <c r="C76" s="2">
        <f>((D76+E76+G76+H76)*0.2)+(F76*0.3)</f>
        <v>1.6</v>
      </c>
      <c r="D76" s="14">
        <f>COUNTIF(경기기록Sheet!$E:$H,B76)</f>
        <v>0</v>
      </c>
      <c r="E76" s="14">
        <f>COUNTIF(경기기록Sheet!$I:$L,B76)</f>
        <v>2</v>
      </c>
      <c r="F76" s="14">
        <f>COUNTIF(경기기록Sheet!$M:$P,B76)</f>
        <v>0</v>
      </c>
      <c r="G76" s="14">
        <f>COUNTIF(경기기록Sheet!$Q:$U,B76)</f>
        <v>6</v>
      </c>
      <c r="H76" s="14">
        <f>COUNTIF(경기기록Sheet!$V:$V,B76)</f>
        <v>0</v>
      </c>
      <c r="I76" s="14">
        <f>SUM(D76:H76)</f>
        <v>8</v>
      </c>
      <c r="J76" s="15"/>
    </row>
    <row r="77" spans="1:10" x14ac:dyDescent="0.25">
      <c r="A77" s="2">
        <f>종합Sheet!A77</f>
        <v>74</v>
      </c>
      <c r="B77" s="2" t="str">
        <f>종합Sheet!B77</f>
        <v>윤현기</v>
      </c>
      <c r="C77" s="2">
        <f>((D77+E77+G77+H77)*0.2)+(F77*0.3)</f>
        <v>0.7</v>
      </c>
      <c r="D77" s="14">
        <f>COUNTIF(경기기록Sheet!$E:$H,B77)</f>
        <v>2</v>
      </c>
      <c r="E77" s="14">
        <f>COUNTIF(경기기록Sheet!$I:$L,B77)</f>
        <v>0</v>
      </c>
      <c r="F77" s="14">
        <f>COUNTIF(경기기록Sheet!$M:$P,B77)</f>
        <v>1</v>
      </c>
      <c r="G77" s="14">
        <f>COUNTIF(경기기록Sheet!$Q:$U,B77)</f>
        <v>0</v>
      </c>
      <c r="H77" s="14">
        <f>COUNTIF(경기기록Sheet!$V:$V,B77)</f>
        <v>0</v>
      </c>
      <c r="I77" s="14">
        <f>SUM(D77:H77)</f>
        <v>3</v>
      </c>
      <c r="J77" s="15"/>
    </row>
    <row r="78" spans="1:10" x14ac:dyDescent="0.25">
      <c r="A78" s="2">
        <f>종합Sheet!A78</f>
        <v>75</v>
      </c>
      <c r="B78" s="2" t="str">
        <f>종합Sheet!B78</f>
        <v>이경석</v>
      </c>
      <c r="C78" s="2">
        <f>((D78+E78+G78+H78)*0.2)+(F78*0.3)</f>
        <v>0</v>
      </c>
      <c r="D78" s="14">
        <f>COUNTIF(경기기록Sheet!$E:$H,B78)</f>
        <v>0</v>
      </c>
      <c r="E78" s="14">
        <f>COUNTIF(경기기록Sheet!$I:$L,B78)</f>
        <v>0</v>
      </c>
      <c r="F78" s="14">
        <f>COUNTIF(경기기록Sheet!$M:$P,B78)</f>
        <v>0</v>
      </c>
      <c r="G78" s="14">
        <f>COUNTIF(경기기록Sheet!$Q:$U,B78)</f>
        <v>0</v>
      </c>
      <c r="H78" s="14">
        <f>COUNTIF(경기기록Sheet!$V:$V,B78)</f>
        <v>0</v>
      </c>
      <c r="I78" s="14">
        <f>SUM(D78:H78)</f>
        <v>0</v>
      </c>
      <c r="J78" s="15"/>
    </row>
    <row r="79" spans="1:10" x14ac:dyDescent="0.25">
      <c r="A79" s="2">
        <f>종합Sheet!A79</f>
        <v>76</v>
      </c>
      <c r="B79" s="2" t="str">
        <f>종합Sheet!B79</f>
        <v>이민재</v>
      </c>
      <c r="C79" s="2">
        <f>((D79+E79+G79+H79)*0.2)+(F79*0.3)</f>
        <v>0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0</v>
      </c>
      <c r="H79" s="14">
        <f>COUNTIF(경기기록Sheet!$V:$V,B79)</f>
        <v>0</v>
      </c>
      <c r="I79" s="14">
        <f>SUM(D79:H79)</f>
        <v>0</v>
      </c>
      <c r="J79" s="15"/>
    </row>
    <row r="80" spans="1:10" x14ac:dyDescent="0.25">
      <c r="A80" s="2">
        <f>종합Sheet!A80</f>
        <v>77</v>
      </c>
      <c r="B80" s="2" t="str">
        <f>종합Sheet!B80</f>
        <v>이병현</v>
      </c>
      <c r="C80" s="2">
        <f>((D80+E80+G80+H80)*0.2)+(F80*0.3)</f>
        <v>0.60000000000000009</v>
      </c>
      <c r="D80" s="14">
        <f>COUNTIF(경기기록Sheet!$E:$H,B80)</f>
        <v>0</v>
      </c>
      <c r="E80" s="14">
        <f>COUNTIF(경기기록Sheet!$I:$L,B80)</f>
        <v>1</v>
      </c>
      <c r="F80" s="14">
        <f>COUNTIF(경기기록Sheet!$M:$P,B80)</f>
        <v>0</v>
      </c>
      <c r="G80" s="14">
        <f>COUNTIF(경기기록Sheet!$Q:$U,B80)</f>
        <v>2</v>
      </c>
      <c r="H80" s="14">
        <f>COUNTIF(경기기록Sheet!$V:$V,B80)</f>
        <v>0</v>
      </c>
      <c r="I80" s="14">
        <f>SUM(D80:H80)</f>
        <v>3</v>
      </c>
      <c r="J80" s="15"/>
    </row>
    <row r="81" spans="1:10" x14ac:dyDescent="0.25">
      <c r="A81" s="2">
        <f>종합Sheet!A81</f>
        <v>78</v>
      </c>
      <c r="B81" s="2" t="str">
        <f>종합Sheet!B81</f>
        <v>이상민</v>
      </c>
      <c r="C81" s="2">
        <f>((D81+E81+G81+H81)*0.2)+(F81*0.3)</f>
        <v>0.4</v>
      </c>
      <c r="D81" s="14">
        <f>COUNTIF(경기기록Sheet!$E:$H,B81)</f>
        <v>1</v>
      </c>
      <c r="E81" s="14">
        <f>COUNTIF(경기기록Sheet!$I:$L,B81)</f>
        <v>0</v>
      </c>
      <c r="F81" s="14">
        <f>COUNTIF(경기기록Sheet!$M:$P,B81)</f>
        <v>0</v>
      </c>
      <c r="G81" s="14">
        <f>COUNTIF(경기기록Sheet!$Q:$U,B81)</f>
        <v>1</v>
      </c>
      <c r="H81" s="14">
        <f>COUNTIF(경기기록Sheet!$V:$V,B81)</f>
        <v>0</v>
      </c>
      <c r="I81" s="14">
        <f>SUM(D81:H81)</f>
        <v>2</v>
      </c>
      <c r="J81" s="15"/>
    </row>
    <row r="82" spans="1:10" x14ac:dyDescent="0.25">
      <c r="A82" s="2">
        <f>종합Sheet!A82</f>
        <v>79</v>
      </c>
      <c r="B82" s="2" t="str">
        <f>종합Sheet!B82</f>
        <v>이상현</v>
      </c>
      <c r="C82" s="2">
        <f>((D82+E82+G82+H82)*0.2)+(F82*0.3)</f>
        <v>1.6</v>
      </c>
      <c r="D82" s="14">
        <f>COUNTIF(경기기록Sheet!$E:$H,B82)</f>
        <v>1</v>
      </c>
      <c r="E82" s="14">
        <f>COUNTIF(경기기록Sheet!$I:$L,B82)</f>
        <v>1</v>
      </c>
      <c r="F82" s="14">
        <f>COUNTIF(경기기록Sheet!$M:$P,B82)</f>
        <v>4</v>
      </c>
      <c r="G82" s="14">
        <f>COUNTIF(경기기록Sheet!$Q:$U,B82)</f>
        <v>0</v>
      </c>
      <c r="H82" s="14">
        <f>COUNTIF(경기기록Sheet!$V:$V,B82)</f>
        <v>0</v>
      </c>
      <c r="I82" s="14">
        <f>SUM(D82:H82)</f>
        <v>6</v>
      </c>
      <c r="J82" s="15"/>
    </row>
    <row r="83" spans="1:10" x14ac:dyDescent="0.25">
      <c r="A83" s="2">
        <f>종합Sheet!A83</f>
        <v>80</v>
      </c>
      <c r="B83" s="2" t="str">
        <f>종합Sheet!B83</f>
        <v>이새샘</v>
      </c>
      <c r="C83" s="2">
        <f>((D83+E83+G83+H83)*0.2)+(F83*0.3)</f>
        <v>1.4000000000000001</v>
      </c>
      <c r="D83" s="14">
        <f>COUNTIF(경기기록Sheet!$E:$H,B83)</f>
        <v>0</v>
      </c>
      <c r="E83" s="14">
        <f>COUNTIF(경기기록Sheet!$I:$L,B83)</f>
        <v>1</v>
      </c>
      <c r="F83" s="14">
        <f>COUNTIF(경기기록Sheet!$M:$P,B83)</f>
        <v>0</v>
      </c>
      <c r="G83" s="14">
        <f>COUNTIF(경기기록Sheet!$Q:$U,B83)</f>
        <v>5</v>
      </c>
      <c r="H83" s="14">
        <f>COUNTIF(경기기록Sheet!$V:$V,B83)</f>
        <v>1</v>
      </c>
      <c r="I83" s="14">
        <f>SUM(D83:H83)</f>
        <v>7</v>
      </c>
      <c r="J83" s="15"/>
    </row>
    <row r="84" spans="1:10" x14ac:dyDescent="0.25">
      <c r="A84" s="2">
        <f>종합Sheet!A84</f>
        <v>81</v>
      </c>
      <c r="B84" s="2" t="str">
        <f>종합Sheet!B84</f>
        <v>이성관</v>
      </c>
      <c r="C84" s="2">
        <f>((D84+E84+G84+H84)*0.2)+(F84*0.3)</f>
        <v>1.2000000000000002</v>
      </c>
      <c r="D84" s="14">
        <f>COUNTIF(경기기록Sheet!$E:$H,B84)</f>
        <v>0</v>
      </c>
      <c r="E84" s="14">
        <f>COUNTIF(경기기록Sheet!$I:$L,B84)</f>
        <v>0</v>
      </c>
      <c r="F84" s="14">
        <f>COUNTIF(경기기록Sheet!$M:$P,B84)</f>
        <v>0</v>
      </c>
      <c r="G84" s="14">
        <f>COUNTIF(경기기록Sheet!$Q:$U,B84)</f>
        <v>5</v>
      </c>
      <c r="H84" s="14">
        <f>COUNTIF(경기기록Sheet!$V:$V,B84)</f>
        <v>1</v>
      </c>
      <c r="I84" s="14">
        <f>SUM(D84:H84)</f>
        <v>6</v>
      </c>
      <c r="J84" s="15"/>
    </row>
    <row r="85" spans="1:10" x14ac:dyDescent="0.25">
      <c r="A85" s="2">
        <f>종합Sheet!A85</f>
        <v>82</v>
      </c>
      <c r="B85" s="2" t="str">
        <f>종합Sheet!B85</f>
        <v>이승윤</v>
      </c>
      <c r="C85" s="2">
        <f>((D85+E85+G85+H85)*0.2)+(F85*0.3)</f>
        <v>0.8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4</v>
      </c>
      <c r="H85" s="14">
        <f>COUNTIF(경기기록Sheet!$V:$V,B85)</f>
        <v>0</v>
      </c>
      <c r="I85" s="14">
        <f>SUM(D85:H85)</f>
        <v>4</v>
      </c>
      <c r="J85" s="15"/>
    </row>
    <row r="86" spans="1:10" x14ac:dyDescent="0.25">
      <c r="A86" s="2">
        <f>종합Sheet!A86</f>
        <v>83</v>
      </c>
      <c r="B86" s="2" t="str">
        <f>종합Sheet!B86</f>
        <v>이연길</v>
      </c>
      <c r="C86" s="2">
        <f>((D86+E86+G86+H86)*0.2)+(F86*0.3)</f>
        <v>0.4</v>
      </c>
      <c r="D86" s="14">
        <f>COUNTIF(경기기록Sheet!$E:$H,B86)</f>
        <v>1</v>
      </c>
      <c r="E86" s="14">
        <f>COUNTIF(경기기록Sheet!$I:$L,B86)</f>
        <v>1</v>
      </c>
      <c r="F86" s="14">
        <f>COUNTIF(경기기록Sheet!$M:$P,B86)</f>
        <v>0</v>
      </c>
      <c r="G86" s="14">
        <f>COUNTIF(경기기록Sheet!$Q:$U,B86)</f>
        <v>0</v>
      </c>
      <c r="H86" s="14">
        <f>COUNTIF(경기기록Sheet!$V:$V,B86)</f>
        <v>0</v>
      </c>
      <c r="I86" s="14">
        <f>SUM(D86:H86)</f>
        <v>2</v>
      </c>
      <c r="J86" s="15"/>
    </row>
    <row r="87" spans="1:10" x14ac:dyDescent="0.25">
      <c r="A87" s="2">
        <f>종합Sheet!A87</f>
        <v>84</v>
      </c>
      <c r="B87" s="2" t="str">
        <f>종합Sheet!B87</f>
        <v>이영준</v>
      </c>
      <c r="C87" s="2">
        <f>((D87+E87+G87+H87)*0.2)+(F87*0.3)</f>
        <v>0.7</v>
      </c>
      <c r="D87" s="14">
        <f>COUNTIF(경기기록Sheet!$E:$H,B87)</f>
        <v>1</v>
      </c>
      <c r="E87" s="14">
        <f>COUNTIF(경기기록Sheet!$I:$L,B87)</f>
        <v>0</v>
      </c>
      <c r="F87" s="14">
        <f>COUNTIF(경기기록Sheet!$M:$P,B87)</f>
        <v>1</v>
      </c>
      <c r="G87" s="14">
        <f>COUNTIF(경기기록Sheet!$Q:$U,B87)</f>
        <v>1</v>
      </c>
      <c r="H87" s="14">
        <f>COUNTIF(경기기록Sheet!$V:$V,B87)</f>
        <v>0</v>
      </c>
      <c r="I87" s="14">
        <f>SUM(D87:H87)</f>
        <v>3</v>
      </c>
      <c r="J87" s="15"/>
    </row>
    <row r="88" spans="1:10" x14ac:dyDescent="0.25">
      <c r="A88" s="2">
        <f>종합Sheet!A88</f>
        <v>85</v>
      </c>
      <c r="B88" s="2" t="str">
        <f>종합Sheet!B88</f>
        <v>이정범</v>
      </c>
      <c r="C88" s="2">
        <f>((D88+E88+G88+H88)*0.2)+(F88*0.3)</f>
        <v>0.4</v>
      </c>
      <c r="D88" s="14">
        <f>COUNTIF(경기기록Sheet!$E:$H,B88)</f>
        <v>0</v>
      </c>
      <c r="E88" s="14">
        <f>COUNTIF(경기기록Sheet!$I:$L,B88)</f>
        <v>0</v>
      </c>
      <c r="F88" s="14">
        <f>COUNTIF(경기기록Sheet!$M:$P,B88)</f>
        <v>0</v>
      </c>
      <c r="G88" s="14">
        <f>COUNTIF(경기기록Sheet!$Q:$U,B88)</f>
        <v>1</v>
      </c>
      <c r="H88" s="14">
        <f>COUNTIF(경기기록Sheet!$V:$V,B88)</f>
        <v>1</v>
      </c>
      <c r="I88" s="14">
        <f>SUM(D88:H88)</f>
        <v>2</v>
      </c>
      <c r="J88" s="15"/>
    </row>
    <row r="89" spans="1:10" x14ac:dyDescent="0.25">
      <c r="A89" s="2">
        <f>종합Sheet!A89</f>
        <v>86</v>
      </c>
      <c r="B89" s="2" t="str">
        <f>종합Sheet!B89</f>
        <v>이종수</v>
      </c>
      <c r="C89" s="2">
        <f>((D89+E89+G89+H89)*0.2)+(F89*0.3)</f>
        <v>0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0</v>
      </c>
      <c r="H89" s="14">
        <f>COUNTIF(경기기록Sheet!$V:$V,B89)</f>
        <v>0</v>
      </c>
      <c r="I89" s="14">
        <f>SUM(D89:H89)</f>
        <v>0</v>
      </c>
      <c r="J89" s="15"/>
    </row>
    <row r="90" spans="1:10" x14ac:dyDescent="0.25">
      <c r="A90" s="2">
        <f>종합Sheet!A90</f>
        <v>87</v>
      </c>
      <c r="B90" s="2" t="str">
        <f>종합Sheet!B90</f>
        <v>이지섭</v>
      </c>
      <c r="C90" s="2">
        <f>((D90+E90+G90+H90)*0.2)+(F90*0.3)</f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>SUM(D90:H90)</f>
        <v>0</v>
      </c>
      <c r="J90" s="15"/>
    </row>
    <row r="91" spans="1:10" x14ac:dyDescent="0.25">
      <c r="A91" s="2">
        <f>종합Sheet!A91</f>
        <v>88</v>
      </c>
      <c r="B91" s="2" t="str">
        <f>종합Sheet!B91</f>
        <v>이찬솔</v>
      </c>
      <c r="C91" s="2">
        <f>((D91+E91+G91+H91)*0.2)+(F91*0.3)</f>
        <v>1</v>
      </c>
      <c r="D91" s="14">
        <f>COUNTIF(경기기록Sheet!$E:$H,B91)</f>
        <v>0</v>
      </c>
      <c r="E91" s="14">
        <f>COUNTIF(경기기록Sheet!$I:$L,B91)</f>
        <v>2</v>
      </c>
      <c r="F91" s="14">
        <f>COUNTIF(경기기록Sheet!$M:$P,B91)</f>
        <v>0</v>
      </c>
      <c r="G91" s="14">
        <f>COUNTIF(경기기록Sheet!$Q:$U,B91)</f>
        <v>2</v>
      </c>
      <c r="H91" s="14">
        <f>COUNTIF(경기기록Sheet!$V:$V,B91)</f>
        <v>1</v>
      </c>
      <c r="I91" s="14">
        <f>SUM(D91:H91)</f>
        <v>5</v>
      </c>
      <c r="J91" s="15"/>
    </row>
    <row r="92" spans="1:10" x14ac:dyDescent="0.25">
      <c r="A92" s="2">
        <f>종합Sheet!A92</f>
        <v>89</v>
      </c>
      <c r="B92" s="2" t="str">
        <f>종합Sheet!B92</f>
        <v>이찬영</v>
      </c>
      <c r="C92" s="2">
        <f>((D92+E92+G92+H92)*0.2)+(F92*0.3)</f>
        <v>0.4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2</v>
      </c>
      <c r="H92" s="14">
        <f>COUNTIF(경기기록Sheet!$V:$V,B92)</f>
        <v>0</v>
      </c>
      <c r="I92" s="14">
        <f>SUM(D92:H92)</f>
        <v>2</v>
      </c>
      <c r="J92" s="15"/>
    </row>
    <row r="93" spans="1:10" x14ac:dyDescent="0.25">
      <c r="A93" s="2">
        <f>종합Sheet!A93</f>
        <v>90</v>
      </c>
      <c r="B93" s="2" t="str">
        <f>종합Sheet!B93</f>
        <v>이태한</v>
      </c>
      <c r="C93" s="2">
        <f>((D93+E93+G93+H93)*0.2)+(F93*0.3)</f>
        <v>0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0</v>
      </c>
      <c r="H93" s="14">
        <f>COUNTIF(경기기록Sheet!$V:$V,B93)</f>
        <v>0</v>
      </c>
      <c r="I93" s="14">
        <f>SUM(D93:H93)</f>
        <v>0</v>
      </c>
      <c r="J93" s="15"/>
    </row>
    <row r="94" spans="1:10" x14ac:dyDescent="0.25">
      <c r="A94" s="2">
        <f>종합Sheet!A94</f>
        <v>91</v>
      </c>
      <c r="B94" s="2" t="str">
        <f>종합Sheet!B94</f>
        <v>이호행</v>
      </c>
      <c r="C94" s="2">
        <f>((D94+E94+G94+H94)*0.2)+(F94*0.3)</f>
        <v>0.60000000000000009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3</v>
      </c>
      <c r="H94" s="14">
        <f>COUNTIF(경기기록Sheet!$V:$V,B94)</f>
        <v>0</v>
      </c>
      <c r="I94" s="14">
        <f>SUM(D94:H94)</f>
        <v>3</v>
      </c>
      <c r="J94" s="15"/>
    </row>
    <row r="95" spans="1:10" x14ac:dyDescent="0.25">
      <c r="A95" s="2">
        <f>종합Sheet!A95</f>
        <v>92</v>
      </c>
      <c r="B95" s="2" t="str">
        <f>종합Sheet!B95</f>
        <v>임수철</v>
      </c>
      <c r="C95" s="2">
        <f>((D95+E95+G95+H95)*0.2)+(F95*0.3)</f>
        <v>0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0</v>
      </c>
      <c r="H95" s="14">
        <f>COUNTIF(경기기록Sheet!$V:$V,B95)</f>
        <v>0</v>
      </c>
      <c r="I95" s="14">
        <f>SUM(D95:H95)</f>
        <v>0</v>
      </c>
      <c r="J95" s="15"/>
    </row>
    <row r="96" spans="1:10" x14ac:dyDescent="0.25">
      <c r="A96" s="2">
        <f>종합Sheet!A96</f>
        <v>93</v>
      </c>
      <c r="B96" s="2" t="str">
        <f>종합Sheet!B96</f>
        <v>임태환</v>
      </c>
      <c r="C96" s="2">
        <f>((D96+E96+G96+H96)*0.2)+(F96*0.3)</f>
        <v>1.8000000000000003</v>
      </c>
      <c r="D96" s="14">
        <f>COUNTIF(경기기록Sheet!$E:$H,B96)</f>
        <v>4</v>
      </c>
      <c r="E96" s="14">
        <f>COUNTIF(경기기록Sheet!$I:$L,B96)</f>
        <v>1</v>
      </c>
      <c r="F96" s="14">
        <f>COUNTIF(경기기록Sheet!$M:$P,B96)</f>
        <v>2</v>
      </c>
      <c r="G96" s="14">
        <f>COUNTIF(경기기록Sheet!$Q:$U,B96)</f>
        <v>0</v>
      </c>
      <c r="H96" s="14">
        <f>COUNTIF(경기기록Sheet!$V:$V,B96)</f>
        <v>1</v>
      </c>
      <c r="I96" s="14">
        <f>SUM(D96:H96)</f>
        <v>8</v>
      </c>
      <c r="J96" s="15"/>
    </row>
    <row r="97" spans="1:10" x14ac:dyDescent="0.25">
      <c r="A97" s="2">
        <f>종합Sheet!A97</f>
        <v>94</v>
      </c>
      <c r="B97" s="2" t="str">
        <f>종합Sheet!B97</f>
        <v>장희도</v>
      </c>
      <c r="C97" s="2">
        <f>((D97+E97+G97+H97)*0.2)+(F97*0.3)</f>
        <v>0</v>
      </c>
      <c r="D97" s="14">
        <f>COUNTIF(경기기록Sheet!$E:$H,B97)</f>
        <v>0</v>
      </c>
      <c r="E97" s="14">
        <f>COUNTIF(경기기록Sheet!$I:$L,B97)</f>
        <v>0</v>
      </c>
      <c r="F97" s="14">
        <f>COUNTIF(경기기록Sheet!$M:$P,B97)</f>
        <v>0</v>
      </c>
      <c r="G97" s="14">
        <f>COUNTIF(경기기록Sheet!$Q:$U,B97)</f>
        <v>0</v>
      </c>
      <c r="H97" s="14">
        <f>COUNTIF(경기기록Sheet!$V:$V,B97)</f>
        <v>0</v>
      </c>
      <c r="I97" s="14">
        <f>SUM(D97:H97)</f>
        <v>0</v>
      </c>
      <c r="J97" s="15"/>
    </row>
    <row r="98" spans="1:10" x14ac:dyDescent="0.25">
      <c r="A98" s="2">
        <f>종합Sheet!A98</f>
        <v>95</v>
      </c>
      <c r="B98" s="2" t="str">
        <f>종합Sheet!B98</f>
        <v>장희준</v>
      </c>
      <c r="C98" s="2">
        <f>((D98+E98+G98+H98)*0.2)+(F98*0.3)</f>
        <v>0</v>
      </c>
      <c r="D98" s="14">
        <f>COUNTIF(경기기록Sheet!$E:$H,B98)</f>
        <v>0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>SUM(D98:H98)</f>
        <v>0</v>
      </c>
      <c r="J98" s="15"/>
    </row>
    <row r="99" spans="1:10" x14ac:dyDescent="0.25">
      <c r="A99" s="2">
        <f>종합Sheet!A99</f>
        <v>96</v>
      </c>
      <c r="B99" s="2" t="str">
        <f>종합Sheet!B99</f>
        <v>전나현</v>
      </c>
      <c r="C99" s="2">
        <f>((D99+E99+G99+H99)*0.2)+(F99*0.3)</f>
        <v>1</v>
      </c>
      <c r="D99" s="14">
        <f>COUNTIF(경기기록Sheet!$E:$H,B99)</f>
        <v>0</v>
      </c>
      <c r="E99" s="14">
        <f>COUNTIF(경기기록Sheet!$I:$L,B99)</f>
        <v>2</v>
      </c>
      <c r="F99" s="14">
        <f>COUNTIF(경기기록Sheet!$M:$P,B99)</f>
        <v>2</v>
      </c>
      <c r="G99" s="14">
        <f>COUNTIF(경기기록Sheet!$Q:$U,B99)</f>
        <v>0</v>
      </c>
      <c r="H99" s="14">
        <f>COUNTIF(경기기록Sheet!$V:$V,B99)</f>
        <v>0</v>
      </c>
      <c r="I99" s="14">
        <f>SUM(D99:H99)</f>
        <v>4</v>
      </c>
      <c r="J99" s="15"/>
    </row>
    <row r="100" spans="1:10" x14ac:dyDescent="0.25">
      <c r="A100" s="2">
        <f>종합Sheet!A100</f>
        <v>97</v>
      </c>
      <c r="B100" s="2" t="str">
        <f>종합Sheet!B100</f>
        <v>전성환</v>
      </c>
      <c r="C100" s="2">
        <f>((D100+E100+G100+H100)*0.2)+(F100*0.3)</f>
        <v>0.2</v>
      </c>
      <c r="D100" s="14">
        <f>COUNTIF(경기기록Sheet!$E:$H,B100)</f>
        <v>1</v>
      </c>
      <c r="E100" s="14">
        <f>COUNTIF(경기기록Sheet!$I:$L,B100)</f>
        <v>0</v>
      </c>
      <c r="F100" s="14">
        <f>COUNTIF(경기기록Sheet!$M:$P,B100)</f>
        <v>0</v>
      </c>
      <c r="G100" s="14">
        <f>COUNTIF(경기기록Sheet!$Q:$U,B100)</f>
        <v>0</v>
      </c>
      <c r="H100" s="14">
        <f>COUNTIF(경기기록Sheet!$V:$V,B100)</f>
        <v>0</v>
      </c>
      <c r="I100" s="14">
        <f>SUM(D100:H100)</f>
        <v>1</v>
      </c>
      <c r="J100" s="15"/>
    </row>
    <row r="101" spans="1:10" x14ac:dyDescent="0.25">
      <c r="A101" s="2">
        <f>종합Sheet!A101</f>
        <v>98</v>
      </c>
      <c r="B101" s="2" t="str">
        <f>종합Sheet!B101</f>
        <v>전하늘</v>
      </c>
      <c r="C101" s="2">
        <f>((D101+E101+G101+H101)*0.2)+(F101*0.3)</f>
        <v>0.4</v>
      </c>
      <c r="D101" s="14">
        <f>COUNTIF(경기기록Sheet!$E:$H,B101)</f>
        <v>0</v>
      </c>
      <c r="E101" s="14">
        <f>COUNTIF(경기기록Sheet!$I:$L,B101)</f>
        <v>1</v>
      </c>
      <c r="F101" s="14">
        <f>COUNTIF(경기기록Sheet!$M:$P,B101)</f>
        <v>0</v>
      </c>
      <c r="G101" s="14">
        <f>COUNTIF(경기기록Sheet!$Q:$U,B101)</f>
        <v>1</v>
      </c>
      <c r="H101" s="14">
        <f>COUNTIF(경기기록Sheet!$V:$V,B101)</f>
        <v>0</v>
      </c>
      <c r="I101" s="14">
        <f>SUM(D101:H101)</f>
        <v>2</v>
      </c>
      <c r="J101" s="15"/>
    </row>
    <row r="102" spans="1:10" x14ac:dyDescent="0.25">
      <c r="A102" s="2">
        <f>종합Sheet!A102</f>
        <v>99</v>
      </c>
      <c r="B102" s="2" t="str">
        <f>종합Sheet!B102</f>
        <v>정민수</v>
      </c>
      <c r="C102" s="2">
        <f>((D102+E102+G102+H102)*0.2)+(F102*0.3)</f>
        <v>4</v>
      </c>
      <c r="D102" s="14">
        <f>COUNTIF(경기기록Sheet!$E:$H,B102)</f>
        <v>0</v>
      </c>
      <c r="E102" s="14">
        <f>COUNTIF(경기기록Sheet!$I:$L,B102)</f>
        <v>2</v>
      </c>
      <c r="F102" s="14">
        <f>COUNTIF(경기기록Sheet!$M:$P,B102)</f>
        <v>0</v>
      </c>
      <c r="G102" s="14">
        <f>COUNTIF(경기기록Sheet!$Q:$U,B102)</f>
        <v>18</v>
      </c>
      <c r="H102" s="14">
        <f>COUNTIF(경기기록Sheet!$V:$V,B102)</f>
        <v>0</v>
      </c>
      <c r="I102" s="14">
        <f>SUM(D102:H102)</f>
        <v>20</v>
      </c>
      <c r="J102" s="15"/>
    </row>
    <row r="103" spans="1:10" x14ac:dyDescent="0.25">
      <c r="A103" s="2">
        <f>종합Sheet!A103</f>
        <v>100</v>
      </c>
      <c r="B103" s="2" t="str">
        <f>종합Sheet!B103</f>
        <v>정재명</v>
      </c>
      <c r="C103" s="2">
        <f>((D103+E103+G103+H103)*0.2)+(F103*0.3)</f>
        <v>0.2</v>
      </c>
      <c r="D103" s="14">
        <f>COUNTIF(경기기록Sheet!$E:$H,B103)</f>
        <v>1</v>
      </c>
      <c r="E103" s="14">
        <f>COUNTIF(경기기록Sheet!$I:$L,B103)</f>
        <v>0</v>
      </c>
      <c r="F103" s="14">
        <f>COUNTIF(경기기록Sheet!$M:$P,B103)</f>
        <v>0</v>
      </c>
      <c r="G103" s="14">
        <f>COUNTIF(경기기록Sheet!$Q:$U,B103)</f>
        <v>0</v>
      </c>
      <c r="H103" s="14">
        <f>COUNTIF(경기기록Sheet!$V:$V,B103)</f>
        <v>0</v>
      </c>
      <c r="I103" s="14">
        <f>SUM(D103:H103)</f>
        <v>1</v>
      </c>
      <c r="J103" s="15"/>
    </row>
    <row r="104" spans="1:10" x14ac:dyDescent="0.25">
      <c r="A104" s="2">
        <f>종합Sheet!A104</f>
        <v>101</v>
      </c>
      <c r="B104" s="2" t="str">
        <f>종합Sheet!B104</f>
        <v>정진억</v>
      </c>
      <c r="C104" s="2">
        <f>((D104+E104+G104+H104)*0.2)+(F104*0.3)</f>
        <v>0</v>
      </c>
      <c r="D104" s="14">
        <f>COUNTIF(경기기록Sheet!$E:$H,B104)</f>
        <v>0</v>
      </c>
      <c r="E104" s="14">
        <f>COUNTIF(경기기록Sheet!$I:$L,B104)</f>
        <v>0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>SUM(D104:H104)</f>
        <v>0</v>
      </c>
      <c r="J104" s="15"/>
    </row>
    <row r="105" spans="1:10" x14ac:dyDescent="0.25">
      <c r="A105" s="2">
        <f>종합Sheet!A105</f>
        <v>102</v>
      </c>
      <c r="B105" s="2" t="str">
        <f>종합Sheet!B105</f>
        <v>정현서</v>
      </c>
      <c r="C105" s="2">
        <f>((D105+E105+G105+H105)*0.2)+(F105*0.3)</f>
        <v>0.90000000000000013</v>
      </c>
      <c r="D105" s="14">
        <f>COUNTIF(경기기록Sheet!$E:$H,B105)</f>
        <v>1</v>
      </c>
      <c r="E105" s="14">
        <f>COUNTIF(경기기록Sheet!$I:$L,B105)</f>
        <v>2</v>
      </c>
      <c r="F105" s="14">
        <f>COUNTIF(경기기록Sheet!$M:$P,B105)</f>
        <v>1</v>
      </c>
      <c r="G105" s="14">
        <f>COUNTIF(경기기록Sheet!$Q:$U,B105)</f>
        <v>0</v>
      </c>
      <c r="H105" s="14">
        <f>COUNTIF(경기기록Sheet!$V:$V,B105)</f>
        <v>0</v>
      </c>
      <c r="I105" s="14">
        <f>SUM(D105:H105)</f>
        <v>4</v>
      </c>
    </row>
    <row r="106" spans="1:10" x14ac:dyDescent="0.25">
      <c r="A106" s="2">
        <f>종합Sheet!A106</f>
        <v>103</v>
      </c>
      <c r="B106" s="2" t="str">
        <f>종합Sheet!B106</f>
        <v>조진한</v>
      </c>
      <c r="C106" s="2">
        <f>((D106+E106+G106+H106)*0.2)+(F106*0.3)</f>
        <v>4.2</v>
      </c>
      <c r="D106" s="14">
        <f>COUNTIF(경기기록Sheet!$E:$H,B106)</f>
        <v>5</v>
      </c>
      <c r="E106" s="14">
        <f>COUNTIF(경기기록Sheet!$I:$L,B106)</f>
        <v>1</v>
      </c>
      <c r="F106" s="14">
        <f>COUNTIF(경기기록Sheet!$M:$P,B106)</f>
        <v>10</v>
      </c>
      <c r="G106" s="14">
        <f>COUNTIF(경기기록Sheet!$Q:$U,B106)</f>
        <v>0</v>
      </c>
      <c r="H106" s="14">
        <f>COUNTIF(경기기록Sheet!$V:$V,B106)</f>
        <v>0</v>
      </c>
      <c r="I106" s="14">
        <f>SUM(D106:H106)</f>
        <v>16</v>
      </c>
    </row>
    <row r="107" spans="1:10" x14ac:dyDescent="0.25">
      <c r="A107" s="2">
        <f>종합Sheet!A107</f>
        <v>104</v>
      </c>
      <c r="B107" s="2" t="str">
        <f>종합Sheet!B107</f>
        <v>조현우</v>
      </c>
      <c r="C107" s="2">
        <f>((D107+E107+G107+H107)*0.2)+(F107*0.3)</f>
        <v>1.4000000000000001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7</v>
      </c>
      <c r="H107" s="14">
        <f>COUNTIF(경기기록Sheet!$V:$V,B107)</f>
        <v>0</v>
      </c>
      <c r="I107" s="14">
        <f>SUM(D107:H107)</f>
        <v>7</v>
      </c>
    </row>
    <row r="108" spans="1:10" x14ac:dyDescent="0.25">
      <c r="A108" s="2">
        <f>종합Sheet!A108</f>
        <v>105</v>
      </c>
      <c r="B108" s="2" t="str">
        <f>종합Sheet!B108</f>
        <v>차승원</v>
      </c>
      <c r="C108" s="2">
        <f>((D108+E108+G108+H108)*0.2)+(F108*0.3)</f>
        <v>1</v>
      </c>
      <c r="D108" s="14">
        <f>COUNTIF(경기기록Sheet!$E:$H,B108)</f>
        <v>0</v>
      </c>
      <c r="E108" s="14">
        <f>COUNTIF(경기기록Sheet!$I:$L,B108)</f>
        <v>1</v>
      </c>
      <c r="F108" s="14">
        <f>COUNTIF(경기기록Sheet!$M:$P,B108)</f>
        <v>0</v>
      </c>
      <c r="G108" s="14">
        <f>COUNTIF(경기기록Sheet!$Q:$U,B108)</f>
        <v>4</v>
      </c>
      <c r="H108" s="14">
        <f>COUNTIF(경기기록Sheet!$V:$V,B108)</f>
        <v>0</v>
      </c>
      <c r="I108" s="14">
        <f>SUM(D108:H108)</f>
        <v>5</v>
      </c>
    </row>
    <row r="109" spans="1:10" x14ac:dyDescent="0.25">
      <c r="A109" s="2">
        <f>종합Sheet!A109</f>
        <v>106</v>
      </c>
      <c r="B109" s="2" t="str">
        <f>종합Sheet!B109</f>
        <v>최령창</v>
      </c>
      <c r="C109" s="2">
        <f>((D109+E109+G109+H109)*0.2)+(F109*0.3)</f>
        <v>3</v>
      </c>
      <c r="D109" s="14">
        <f>COUNTIF(경기기록Sheet!$E:$H,B109)</f>
        <v>1</v>
      </c>
      <c r="E109" s="14">
        <f>COUNTIF(경기기록Sheet!$I:$L,B109)</f>
        <v>3</v>
      </c>
      <c r="F109" s="14">
        <f>COUNTIF(경기기록Sheet!$M:$P,B109)</f>
        <v>0</v>
      </c>
      <c r="G109" s="14">
        <f>COUNTIF(경기기록Sheet!$Q:$U,B109)</f>
        <v>10</v>
      </c>
      <c r="H109" s="14">
        <f>COUNTIF(경기기록Sheet!$V:$V,B109)</f>
        <v>1</v>
      </c>
      <c r="I109" s="14">
        <f>SUM(D109:H109)</f>
        <v>15</v>
      </c>
    </row>
    <row r="110" spans="1:10" x14ac:dyDescent="0.25">
      <c r="A110" s="2">
        <f>종합Sheet!A110</f>
        <v>107</v>
      </c>
      <c r="B110" s="2" t="str">
        <f>종합Sheet!B110</f>
        <v>최승훈</v>
      </c>
      <c r="C110" s="2">
        <f>((D110+E110+G110+H110)*0.2)+(F110*0.3)</f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>SUM(D110:H110)</f>
        <v>0</v>
      </c>
    </row>
    <row r="111" spans="1:10" x14ac:dyDescent="0.25">
      <c r="A111" s="2">
        <f>종합Sheet!A111</f>
        <v>108</v>
      </c>
      <c r="B111" s="2" t="str">
        <f>종합Sheet!B111</f>
        <v>한상규</v>
      </c>
      <c r="C111" s="2">
        <f>((D111+E111+G111+H111)*0.2)+(F111*0.3)</f>
        <v>1.4000000000000001</v>
      </c>
      <c r="D111" s="14">
        <f>COUNTIF(경기기록Sheet!$E:$H,B111)</f>
        <v>1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6</v>
      </c>
      <c r="H111" s="14">
        <f>COUNTIF(경기기록Sheet!$V:$V,B111)</f>
        <v>0</v>
      </c>
      <c r="I111" s="14">
        <f>SUM(D111:H111)</f>
        <v>7</v>
      </c>
    </row>
    <row r="112" spans="1:10" x14ac:dyDescent="0.25">
      <c r="A112" s="2">
        <f>종합Sheet!A112</f>
        <v>109</v>
      </c>
      <c r="B112" s="2" t="str">
        <f>종합Sheet!B112</f>
        <v>한의현</v>
      </c>
      <c r="C112" s="2">
        <f>((D112+E112+G112+H112)*0.2)+(F112*0.3)</f>
        <v>0.8</v>
      </c>
      <c r="D112" s="14">
        <f>COUNTIF(경기기록Sheet!$E:$H,B112)</f>
        <v>0</v>
      </c>
      <c r="E112" s="14">
        <f>COUNTIF(경기기록Sheet!$I:$L,B112)</f>
        <v>1</v>
      </c>
      <c r="F112" s="14">
        <f>COUNTIF(경기기록Sheet!$M:$P,B112)</f>
        <v>0</v>
      </c>
      <c r="G112" s="14">
        <f>COUNTIF(경기기록Sheet!$Q:$U,B112)</f>
        <v>3</v>
      </c>
      <c r="H112" s="14">
        <f>COUNTIF(경기기록Sheet!$V:$V,B112)</f>
        <v>0</v>
      </c>
      <c r="I112" s="14">
        <f>SUM(D112:H112)</f>
        <v>4</v>
      </c>
    </row>
    <row r="113" spans="1:9" x14ac:dyDescent="0.25">
      <c r="A113" s="2">
        <f>종합Sheet!A113</f>
        <v>110</v>
      </c>
      <c r="B113" s="2" t="str">
        <f>종합Sheet!B113</f>
        <v>한중희</v>
      </c>
      <c r="C113" s="2">
        <f>((D113+E113+G113+H113)*0.2)+(F113*0.3)</f>
        <v>1.4000000000000001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6</v>
      </c>
      <c r="H113" s="14">
        <f>COUNTIF(경기기록Sheet!$V:$V,B113)</f>
        <v>1</v>
      </c>
      <c r="I113" s="14">
        <f>SUM(D113:H113)</f>
        <v>7</v>
      </c>
    </row>
    <row r="114" spans="1:9" x14ac:dyDescent="0.25">
      <c r="A114" s="2">
        <f>종합Sheet!A114</f>
        <v>111</v>
      </c>
      <c r="B114" s="2" t="str">
        <f>종합Sheet!B114</f>
        <v>허동혁</v>
      </c>
      <c r="C114" s="2">
        <f>((D114+E114+G114+H114)*0.2)+(F114*0.3)</f>
        <v>0.4</v>
      </c>
      <c r="D114" s="14">
        <f>COUNTIF(경기기록Sheet!$E:$H,B114)</f>
        <v>1</v>
      </c>
      <c r="E114" s="14">
        <f>COUNTIF(경기기록Sheet!$I:$L,B114)</f>
        <v>1</v>
      </c>
      <c r="F114" s="14">
        <f>COUNTIF(경기기록Sheet!$M:$P,B114)</f>
        <v>0</v>
      </c>
      <c r="G114" s="14">
        <f>COUNTIF(경기기록Sheet!$Q:$U,B114)</f>
        <v>0</v>
      </c>
      <c r="H114" s="14">
        <f>COUNTIF(경기기록Sheet!$V:$V,B114)</f>
        <v>0</v>
      </c>
      <c r="I114" s="14">
        <f>SUM(D114:H114)</f>
        <v>2</v>
      </c>
    </row>
    <row r="115" spans="1:9" x14ac:dyDescent="0.25">
      <c r="A115" s="2">
        <f>종합Sheet!A115</f>
        <v>112</v>
      </c>
      <c r="B115" s="2" t="str">
        <f>종합Sheet!B115</f>
        <v>홍석준</v>
      </c>
      <c r="C115" s="2">
        <f>((D115+E115+G115+H115)*0.2)+(F115*0.3)</f>
        <v>0.90000000000000013</v>
      </c>
      <c r="D115" s="14">
        <f>COUNTIF(경기기록Sheet!$E:$H,B115)</f>
        <v>2</v>
      </c>
      <c r="E115" s="14">
        <f>COUNTIF(경기기록Sheet!$I:$L,B115)</f>
        <v>1</v>
      </c>
      <c r="F115" s="14">
        <f>COUNTIF(경기기록Sheet!$M:$P,B115)</f>
        <v>1</v>
      </c>
      <c r="G115" s="14">
        <f>COUNTIF(경기기록Sheet!$Q:$U,B115)</f>
        <v>0</v>
      </c>
      <c r="H115" s="14">
        <f>COUNTIF(경기기록Sheet!$V:$V,B115)</f>
        <v>0</v>
      </c>
      <c r="I115" s="14">
        <f>SUM(D115:H115)</f>
        <v>4</v>
      </c>
    </row>
    <row r="116" spans="1:9" x14ac:dyDescent="0.25">
      <c r="A116" s="2">
        <f>종합Sheet!A116</f>
        <v>113</v>
      </c>
      <c r="B116" s="2" t="str">
        <f>종합Sheet!B116</f>
        <v>홍현석</v>
      </c>
      <c r="C116" s="2">
        <f>((D116+E116+G116+H116)*0.2)+(F116*0.3)</f>
        <v>0.2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1</v>
      </c>
      <c r="H116" s="14">
        <f>COUNTIF(경기기록Sheet!$V:$V,B116)</f>
        <v>0</v>
      </c>
      <c r="I116" s="14">
        <f>SUM(D116:H116)</f>
        <v>1</v>
      </c>
    </row>
    <row r="117" spans="1:9" x14ac:dyDescent="0.25">
      <c r="A117" s="2">
        <f>종합Sheet!A117</f>
        <v>114</v>
      </c>
      <c r="B117" s="2" t="str">
        <f>종합Sheet!B117</f>
        <v>황건호</v>
      </c>
      <c r="C117" s="2">
        <f>((D117+E117+G117+H117)*0.2)+(F117*0.3)</f>
        <v>2.5</v>
      </c>
      <c r="D117" s="14">
        <f>COUNTIF(경기기록Sheet!$E:$H,B117)</f>
        <v>4</v>
      </c>
      <c r="E117" s="14">
        <f>COUNTIF(경기기록Sheet!$I:$L,B117)</f>
        <v>1</v>
      </c>
      <c r="F117" s="14">
        <f>COUNTIF(경기기록Sheet!$M:$P,B117)</f>
        <v>5</v>
      </c>
      <c r="G117" s="14">
        <f>COUNTIF(경기기록Sheet!$Q:$U,B117)</f>
        <v>0</v>
      </c>
      <c r="H117" s="14">
        <f>COUNTIF(경기기록Sheet!$V:$V,B117)</f>
        <v>0</v>
      </c>
      <c r="I117" s="14">
        <f>SUM(D117:H117)</f>
        <v>10</v>
      </c>
    </row>
    <row r="118" spans="1:9" x14ac:dyDescent="0.25">
      <c r="A118" s="2">
        <f>종합Sheet!A118</f>
        <v>115</v>
      </c>
      <c r="B118" s="2" t="str">
        <f>종합Sheet!B118</f>
        <v>황석원</v>
      </c>
      <c r="C118" s="2">
        <f>((D118+E118+G118+H118)*0.2)+(F118*0.3)</f>
        <v>2.1</v>
      </c>
      <c r="D118" s="14">
        <f>COUNTIF(경기기록Sheet!$E:$H,B118)</f>
        <v>0</v>
      </c>
      <c r="E118" s="14">
        <f>COUNTIF(경기기록Sheet!$I:$L,B118)</f>
        <v>0</v>
      </c>
      <c r="F118" s="14">
        <f>COUNTIF(경기기록Sheet!$M:$P,B118)</f>
        <v>1</v>
      </c>
      <c r="G118" s="14">
        <f>COUNTIF(경기기록Sheet!$Q:$U,B118)</f>
        <v>8</v>
      </c>
      <c r="H118" s="14">
        <f>COUNTIF(경기기록Sheet!$V:$V,B118)</f>
        <v>1</v>
      </c>
      <c r="I118" s="14">
        <f>SUM(D118:H118)</f>
        <v>10</v>
      </c>
    </row>
    <row r="119" spans="1:9" x14ac:dyDescent="0.25">
      <c r="A119" s="2">
        <f>종합Sheet!A119</f>
        <v>116</v>
      </c>
      <c r="B119" s="2" t="str">
        <f>종합Sheet!B119</f>
        <v>황재순</v>
      </c>
      <c r="C119" s="2">
        <f>((D119+E119+G119+H119)*0.2)+(F119*0.3)</f>
        <v>0</v>
      </c>
      <c r="D119" s="14">
        <f>COUNTIF(경기기록Sheet!$E:$H,B119)</f>
        <v>0</v>
      </c>
      <c r="E119" s="14">
        <f>COUNTIF(경기기록Sheet!$I:$L,B119)</f>
        <v>0</v>
      </c>
      <c r="F119" s="14">
        <f>COUNTIF(경기기록Sheet!$M:$P,B119)</f>
        <v>0</v>
      </c>
      <c r="G119" s="14">
        <f>COUNTIF(경기기록Sheet!$Q:$U,B119)</f>
        <v>0</v>
      </c>
      <c r="H119" s="14">
        <f>COUNTIF(경기기록Sheet!$V:$V,B119)</f>
        <v>0</v>
      </c>
      <c r="I119" s="14">
        <f>SUM(D119:H119)</f>
        <v>0</v>
      </c>
    </row>
    <row r="120" spans="1:9" x14ac:dyDescent="0.25">
      <c r="A120" s="2">
        <f>종합Sheet!A120</f>
        <v>117</v>
      </c>
      <c r="B120" s="2" t="str">
        <f>종합Sheet!B120</f>
        <v>황철우</v>
      </c>
      <c r="C120" s="2">
        <f>((D120+E120+G120+H120)*0.2)+(F120*0.3)</f>
        <v>0.4</v>
      </c>
      <c r="D120" s="14">
        <f>COUNTIF(경기기록Sheet!$E:$H,B120)</f>
        <v>2</v>
      </c>
      <c r="E120" s="14">
        <f>COUNTIF(경기기록Sheet!$I:$L,B120)</f>
        <v>0</v>
      </c>
      <c r="F120" s="14">
        <f>COUNTIF(경기기록Sheet!$M:$P,B120)</f>
        <v>0</v>
      </c>
      <c r="G120" s="14">
        <f>COUNTIF(경기기록Sheet!$Q:$U,B120)</f>
        <v>0</v>
      </c>
      <c r="H120" s="14">
        <f>COUNTIF(경기기록Sheet!$V:$V,B120)</f>
        <v>0</v>
      </c>
      <c r="I120" s="14">
        <f>SUM(D120:H120)</f>
        <v>2</v>
      </c>
    </row>
    <row r="121" spans="1:9" x14ac:dyDescent="0.25">
      <c r="A121" s="2">
        <f>종합Sheet!A121</f>
        <v>118</v>
      </c>
      <c r="B121" s="2" t="str">
        <f>종합Sheet!B121</f>
        <v>김민성</v>
      </c>
      <c r="C121" s="2">
        <f>((D121+E121+G121+H121)*0.2)+(F121*0.3)</f>
        <v>0</v>
      </c>
      <c r="D121" s="14">
        <f>COUNTIF(경기기록Sheet!$E:$H,B121)</f>
        <v>0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>SUM(D121:H121)</f>
        <v>0</v>
      </c>
    </row>
    <row r="122" spans="1:9" x14ac:dyDescent="0.25">
      <c r="A122" s="2">
        <f>종합Sheet!A122</f>
        <v>119</v>
      </c>
      <c r="B122" s="2" t="str">
        <f>종합Sheet!B122</f>
        <v>송명섭</v>
      </c>
      <c r="C122" s="2">
        <f>((D122+E122+G122+H122)*0.2)+(F122*0.3)</f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>SUM(D122:H122)</f>
        <v>0</v>
      </c>
    </row>
    <row r="123" spans="1:9" x14ac:dyDescent="0.25">
      <c r="A123" s="2">
        <f>종합Sheet!A123</f>
        <v>120</v>
      </c>
      <c r="B123" s="2" t="str">
        <f>종합Sheet!B123</f>
        <v>최경영</v>
      </c>
      <c r="C123" s="2">
        <f>((D123+E123+G123+H123)*0.2)+(F123*0.3)</f>
        <v>2.2000000000000002</v>
      </c>
      <c r="D123" s="14">
        <f>COUNTIF(경기기록Sheet!$E:$H,B123)</f>
        <v>2</v>
      </c>
      <c r="E123" s="14">
        <f>COUNTIF(경기기록Sheet!$I:$L,B123)</f>
        <v>1</v>
      </c>
      <c r="F123" s="14">
        <f>COUNTIF(경기기록Sheet!$M:$P,B123)</f>
        <v>0</v>
      </c>
      <c r="G123" s="14">
        <f>COUNTIF(경기기록Sheet!$Q:$U,B123)</f>
        <v>3</v>
      </c>
      <c r="H123" s="14">
        <f>COUNTIF(경기기록Sheet!$V:$V,B123)</f>
        <v>5</v>
      </c>
      <c r="I123" s="14">
        <f>SUM(D123:H123)</f>
        <v>11</v>
      </c>
    </row>
  </sheetData>
  <autoFilter ref="A3:I3" xr:uid="{00000000-0001-0000-0200-000000000000}">
    <sortState xmlns:xlrd2="http://schemas.microsoft.com/office/spreadsheetml/2017/richdata2" ref="A4:I123">
      <sortCondition ref="A3"/>
    </sortState>
  </autoFilter>
  <phoneticPr fontId="2" type="noConversion"/>
  <conditionalFormatting sqref="D4:D123">
    <cfRule type="top10" dxfId="9" priority="862" rank="7"/>
  </conditionalFormatting>
  <conditionalFormatting sqref="E4:E123">
    <cfRule type="top10" dxfId="8" priority="863" rank="7"/>
  </conditionalFormatting>
  <conditionalFormatting sqref="F4:F123">
    <cfRule type="top10" dxfId="7" priority="864" rank="7"/>
  </conditionalFormatting>
  <conditionalFormatting sqref="G4:G123">
    <cfRule type="top10" dxfId="6" priority="865" rank="7"/>
  </conditionalFormatting>
  <conditionalFormatting sqref="H4:H123">
    <cfRule type="top10" dxfId="5" priority="866" rank="3"/>
    <cfRule type="top10" priority="867" rank="5"/>
  </conditionalFormatting>
  <conditionalFormatting sqref="I4:I123">
    <cfRule type="top10" dxfId="4" priority="868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146</v>
      </c>
      <c r="C3" s="2" t="s">
        <v>147</v>
      </c>
      <c r="D3" s="2" t="s">
        <v>153</v>
      </c>
      <c r="E3" s="2" t="s">
        <v>185</v>
      </c>
      <c r="F3" s="2"/>
      <c r="G3" s="2" t="s">
        <v>186</v>
      </c>
      <c r="H3" s="2"/>
      <c r="I3" s="2" t="s">
        <v>187</v>
      </c>
      <c r="J3" s="2"/>
      <c r="K3" s="2" t="s">
        <v>188</v>
      </c>
      <c r="L3" s="2"/>
      <c r="M3" s="2" t="s">
        <v>189</v>
      </c>
      <c r="N3" s="2"/>
      <c r="P3" s="39" t="s">
        <v>274</v>
      </c>
      <c r="Q3" s="40" t="s">
        <v>253</v>
      </c>
      <c r="R3" s="41" t="s">
        <v>273</v>
      </c>
    </row>
    <row r="4" spans="1:18" x14ac:dyDescent="0.25">
      <c r="A4" s="2">
        <v>1</v>
      </c>
      <c r="B4" s="2" t="s">
        <v>152</v>
      </c>
      <c r="C4" s="2" t="s">
        <v>184</v>
      </c>
      <c r="D4" s="2" t="s">
        <v>181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255</v>
      </c>
      <c r="R4" s="43" t="s">
        <v>268</v>
      </c>
    </row>
    <row r="5" spans="1:18" x14ac:dyDescent="0.25">
      <c r="A5" s="2">
        <v>2</v>
      </c>
      <c r="B5" s="2" t="s">
        <v>141</v>
      </c>
      <c r="C5" s="2" t="s">
        <v>148</v>
      </c>
      <c r="D5" s="2" t="s">
        <v>191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135</v>
      </c>
      <c r="L5" s="2">
        <v>12</v>
      </c>
      <c r="M5" s="2" t="s">
        <v>131</v>
      </c>
      <c r="N5" s="2">
        <v>10</v>
      </c>
      <c r="P5" s="42">
        <v>2</v>
      </c>
      <c r="Q5" s="2" t="s">
        <v>256</v>
      </c>
      <c r="R5" s="43" t="s">
        <v>269</v>
      </c>
    </row>
    <row r="6" spans="1:18" x14ac:dyDescent="0.25">
      <c r="A6" s="2">
        <v>3</v>
      </c>
      <c r="B6" s="2" t="s">
        <v>142</v>
      </c>
      <c r="C6" s="2" t="s">
        <v>149</v>
      </c>
      <c r="D6" s="2" t="s">
        <v>191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135</v>
      </c>
      <c r="N6" s="2">
        <v>8</v>
      </c>
      <c r="P6" s="42">
        <v>3</v>
      </c>
      <c r="Q6" s="2" t="s">
        <v>257</v>
      </c>
      <c r="R6" s="43" t="s">
        <v>267</v>
      </c>
    </row>
    <row r="7" spans="1:18" x14ac:dyDescent="0.25">
      <c r="A7" s="2">
        <v>4</v>
      </c>
      <c r="B7" s="2" t="s">
        <v>144</v>
      </c>
      <c r="C7" s="2" t="s">
        <v>150</v>
      </c>
      <c r="D7" s="2" t="s">
        <v>191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135</v>
      </c>
      <c r="L7" s="2">
        <v>19</v>
      </c>
      <c r="M7" s="2" t="s">
        <v>103</v>
      </c>
      <c r="N7" s="2">
        <v>17</v>
      </c>
      <c r="P7" s="42">
        <v>4</v>
      </c>
      <c r="Q7" s="2" t="s">
        <v>258</v>
      </c>
      <c r="R7" s="43" t="s">
        <v>270</v>
      </c>
    </row>
    <row r="8" spans="1:18" x14ac:dyDescent="0.25">
      <c r="A8" s="2">
        <v>5</v>
      </c>
      <c r="B8" s="2" t="s">
        <v>143</v>
      </c>
      <c r="C8" s="2" t="s">
        <v>151</v>
      </c>
      <c r="D8" s="2" t="s">
        <v>192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134</v>
      </c>
      <c r="N8" s="2">
        <v>24</v>
      </c>
      <c r="P8" s="42">
        <v>5</v>
      </c>
      <c r="Q8" s="2" t="s">
        <v>254</v>
      </c>
      <c r="R8" s="43" t="s">
        <v>270</v>
      </c>
    </row>
    <row r="9" spans="1:18" x14ac:dyDescent="0.25">
      <c r="A9" s="2">
        <v>6</v>
      </c>
      <c r="B9" s="2" t="s">
        <v>145</v>
      </c>
      <c r="C9" s="2" t="s">
        <v>151</v>
      </c>
      <c r="D9" s="2" t="s">
        <v>191</v>
      </c>
      <c r="E9" s="29" t="s">
        <v>108</v>
      </c>
      <c r="F9" s="29">
        <v>34</v>
      </c>
      <c r="G9" s="2" t="s">
        <v>162</v>
      </c>
      <c r="H9" s="2">
        <v>15</v>
      </c>
      <c r="I9" s="2" t="s">
        <v>190</v>
      </c>
      <c r="J9" s="2">
        <v>8</v>
      </c>
      <c r="K9" s="2"/>
      <c r="L9" s="2"/>
      <c r="M9" s="2"/>
      <c r="N9" s="2"/>
      <c r="P9" s="42">
        <v>6</v>
      </c>
      <c r="Q9" s="2" t="s">
        <v>259</v>
      </c>
      <c r="R9" s="43" t="s">
        <v>271</v>
      </c>
    </row>
    <row r="10" spans="1:18" x14ac:dyDescent="0.25">
      <c r="A10" s="81">
        <v>7</v>
      </c>
      <c r="B10" s="81" t="s">
        <v>157</v>
      </c>
      <c r="C10" s="81" t="s">
        <v>158</v>
      </c>
      <c r="D10" s="81" t="s">
        <v>193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260</v>
      </c>
      <c r="R10" s="43"/>
    </row>
    <row r="11" spans="1:18" x14ac:dyDescent="0.25">
      <c r="A11" s="82"/>
      <c r="B11" s="82"/>
      <c r="C11" s="82"/>
      <c r="D11" s="82"/>
      <c r="E11" s="26" t="s">
        <v>109</v>
      </c>
      <c r="F11" s="26">
        <v>34.200000000000003</v>
      </c>
      <c r="G11" s="29" t="s">
        <v>135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261</v>
      </c>
      <c r="R11" s="43"/>
    </row>
    <row r="12" spans="1:18" x14ac:dyDescent="0.25">
      <c r="A12" s="2">
        <v>8</v>
      </c>
      <c r="B12" s="2" t="s">
        <v>154</v>
      </c>
      <c r="C12" s="2" t="s">
        <v>160</v>
      </c>
      <c r="D12" s="2" t="s">
        <v>161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136</v>
      </c>
      <c r="L12" s="2">
        <v>23</v>
      </c>
      <c r="M12" s="2" t="s">
        <v>131</v>
      </c>
      <c r="N12" s="2">
        <v>23</v>
      </c>
      <c r="P12" s="42">
        <v>9</v>
      </c>
      <c r="Q12" s="2" t="s">
        <v>262</v>
      </c>
      <c r="R12" s="43"/>
    </row>
    <row r="13" spans="1:18" x14ac:dyDescent="0.25">
      <c r="A13" s="2">
        <v>9</v>
      </c>
      <c r="B13" s="2" t="s">
        <v>155</v>
      </c>
      <c r="C13" s="2" t="s">
        <v>159</v>
      </c>
      <c r="D13" s="2" t="s">
        <v>161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244</v>
      </c>
      <c r="R13" s="43"/>
    </row>
    <row r="14" spans="1:18" x14ac:dyDescent="0.25">
      <c r="A14" s="2">
        <v>10</v>
      </c>
      <c r="B14" s="2" t="s">
        <v>156</v>
      </c>
      <c r="C14" s="2" t="s">
        <v>176</v>
      </c>
      <c r="D14" s="2" t="s">
        <v>161</v>
      </c>
      <c r="E14" s="29" t="s">
        <v>136</v>
      </c>
      <c r="F14" s="29">
        <v>23</v>
      </c>
      <c r="G14" s="29" t="s">
        <v>131</v>
      </c>
      <c r="H14" s="29">
        <v>23</v>
      </c>
      <c r="I14" s="26" t="s">
        <v>135</v>
      </c>
      <c r="J14" s="26">
        <v>22</v>
      </c>
      <c r="K14" s="2" t="s">
        <v>126</v>
      </c>
      <c r="L14" s="2">
        <v>20</v>
      </c>
      <c r="M14" s="2" t="s">
        <v>134</v>
      </c>
      <c r="N14" s="2">
        <v>19</v>
      </c>
      <c r="P14" s="42">
        <v>11</v>
      </c>
      <c r="Q14" s="2" t="s">
        <v>263</v>
      </c>
      <c r="R14" s="43"/>
    </row>
    <row r="15" spans="1:18" x14ac:dyDescent="0.25">
      <c r="A15" s="2">
        <v>11</v>
      </c>
      <c r="B15" s="2" t="s">
        <v>177</v>
      </c>
      <c r="C15" s="2" t="s">
        <v>178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264</v>
      </c>
      <c r="R15" s="43" t="s">
        <v>272</v>
      </c>
    </row>
    <row r="16" spans="1:18" x14ac:dyDescent="0.25">
      <c r="P16" s="42">
        <v>13</v>
      </c>
      <c r="Q16" s="2" t="s">
        <v>265</v>
      </c>
      <c r="R16" s="43" t="s">
        <v>272</v>
      </c>
    </row>
    <row r="17" spans="1:18" x14ac:dyDescent="0.25">
      <c r="A17" s="30" t="s">
        <v>194</v>
      </c>
      <c r="P17" s="42">
        <v>14</v>
      </c>
      <c r="Q17" s="2" t="s">
        <v>243</v>
      </c>
      <c r="R17" s="43" t="s">
        <v>272</v>
      </c>
    </row>
    <row r="18" spans="1:18" ht="16.2" thickBot="1" x14ac:dyDescent="0.3">
      <c r="A18" s="30" t="s">
        <v>195</v>
      </c>
      <c r="P18" s="44">
        <v>15</v>
      </c>
      <c r="Q18" s="45" t="s">
        <v>266</v>
      </c>
      <c r="R18" s="46" t="s">
        <v>272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1" t="s">
        <v>185</v>
      </c>
      <c r="E2" s="91"/>
      <c r="F2" s="91"/>
      <c r="G2" s="91"/>
      <c r="H2" s="91"/>
      <c r="J2" s="83" t="s">
        <v>186</v>
      </c>
      <c r="K2" s="83"/>
      <c r="L2" s="83"/>
      <c r="M2" s="83"/>
      <c r="N2" s="83"/>
      <c r="P2" s="83" t="s">
        <v>187</v>
      </c>
      <c r="Q2" s="83"/>
      <c r="R2" s="83"/>
      <c r="S2" s="83"/>
      <c r="T2" s="83"/>
      <c r="U2" s="83"/>
      <c r="V2" s="83"/>
    </row>
    <row r="3" spans="1:22" x14ac:dyDescent="0.25">
      <c r="A3" s="1" t="s">
        <v>249</v>
      </c>
      <c r="B3" s="1" t="s">
        <v>227</v>
      </c>
      <c r="D3" s="91" t="s">
        <v>249</v>
      </c>
      <c r="E3" s="91"/>
      <c r="F3" s="47" t="s">
        <v>227</v>
      </c>
      <c r="G3" s="47" t="s">
        <v>276</v>
      </c>
      <c r="H3" s="47"/>
      <c r="J3" s="83" t="s">
        <v>249</v>
      </c>
      <c r="K3" s="83"/>
      <c r="L3" s="50" t="s">
        <v>227</v>
      </c>
      <c r="M3" s="50" t="s">
        <v>277</v>
      </c>
      <c r="N3" s="50" t="s">
        <v>278</v>
      </c>
      <c r="P3" s="83" t="s">
        <v>249</v>
      </c>
      <c r="Q3" s="83"/>
      <c r="R3" s="50" t="s">
        <v>227</v>
      </c>
      <c r="S3" s="50" t="s">
        <v>277</v>
      </c>
      <c r="T3" s="50" t="s">
        <v>278</v>
      </c>
      <c r="U3" s="50" t="s">
        <v>278</v>
      </c>
      <c r="V3" s="50" t="s">
        <v>278</v>
      </c>
    </row>
    <row r="4" spans="1:22" ht="15.6" customHeight="1" x14ac:dyDescent="0.25">
      <c r="A4" s="1" t="s">
        <v>152</v>
      </c>
      <c r="B4" s="1" t="s">
        <v>131</v>
      </c>
      <c r="D4" s="84" t="s">
        <v>246</v>
      </c>
      <c r="E4" s="48">
        <v>1</v>
      </c>
      <c r="F4" s="47" t="s">
        <v>279</v>
      </c>
      <c r="G4" s="47"/>
      <c r="H4" s="47"/>
      <c r="J4" s="87" t="s">
        <v>251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0" t="s">
        <v>252</v>
      </c>
      <c r="Q4" s="51">
        <v>1</v>
      </c>
      <c r="R4" s="50" t="s">
        <v>221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250</v>
      </c>
      <c r="B5" s="1" t="s">
        <v>97</v>
      </c>
      <c r="D5" s="85"/>
      <c r="E5" s="48">
        <v>2</v>
      </c>
      <c r="F5" s="49" t="s">
        <v>280</v>
      </c>
      <c r="G5" s="47" t="s">
        <v>152</v>
      </c>
      <c r="H5" s="47" t="s">
        <v>247</v>
      </c>
      <c r="J5" s="88"/>
      <c r="K5" s="51">
        <v>2</v>
      </c>
      <c r="L5" s="50" t="s">
        <v>221</v>
      </c>
      <c r="M5" s="51">
        <v>30</v>
      </c>
      <c r="N5" s="50" t="str">
        <f t="shared" ref="N5:N19" si="0">IF(1=COUNTIF($F$5:$F$15,L5),"수상","미수상")</f>
        <v>수상</v>
      </c>
      <c r="P5" s="90"/>
      <c r="Q5" s="51">
        <v>2</v>
      </c>
      <c r="R5" s="50" t="s">
        <v>229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245</v>
      </c>
      <c r="B6" s="1" t="s">
        <v>135</v>
      </c>
      <c r="D6" s="85"/>
      <c r="E6" s="48">
        <v>3</v>
      </c>
      <c r="F6" s="49" t="s">
        <v>281</v>
      </c>
      <c r="G6" s="47" t="s">
        <v>248</v>
      </c>
      <c r="H6" s="47"/>
      <c r="J6" s="88"/>
      <c r="K6" s="51">
        <v>3</v>
      </c>
      <c r="L6" s="50" t="s">
        <v>225</v>
      </c>
      <c r="M6" s="51">
        <v>30</v>
      </c>
      <c r="N6" s="50" t="str">
        <f t="shared" si="0"/>
        <v>수상</v>
      </c>
      <c r="P6" s="90"/>
      <c r="Q6" s="51">
        <v>3</v>
      </c>
      <c r="R6" s="50" t="s">
        <v>242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236</v>
      </c>
      <c r="B7" s="38" t="s">
        <v>135</v>
      </c>
      <c r="D7" s="85"/>
      <c r="E7" s="48">
        <v>4</v>
      </c>
      <c r="F7" s="49" t="s">
        <v>282</v>
      </c>
      <c r="G7" s="47" t="s">
        <v>248</v>
      </c>
      <c r="H7" s="47"/>
      <c r="J7" s="88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0"/>
      <c r="Q7" s="51">
        <v>4</v>
      </c>
      <c r="R7" s="50" t="s">
        <v>232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247</v>
      </c>
      <c r="B8" s="1" t="s">
        <v>97</v>
      </c>
      <c r="D8" s="85"/>
      <c r="E8" s="48">
        <v>5</v>
      </c>
      <c r="F8" s="49" t="s">
        <v>283</v>
      </c>
      <c r="G8" s="47"/>
      <c r="H8" s="47"/>
      <c r="J8" s="88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0"/>
      <c r="Q8" s="51">
        <v>5</v>
      </c>
      <c r="R8" s="50" t="s">
        <v>222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248</v>
      </c>
      <c r="B9" s="1" t="s">
        <v>118</v>
      </c>
      <c r="D9" s="85"/>
      <c r="E9" s="48">
        <v>6</v>
      </c>
      <c r="F9" s="49" t="s">
        <v>284</v>
      </c>
      <c r="G9" s="47"/>
      <c r="H9" s="47"/>
      <c r="J9" s="88"/>
      <c r="K9" s="51">
        <v>6</v>
      </c>
      <c r="L9" s="50" t="s">
        <v>224</v>
      </c>
      <c r="M9" s="51">
        <v>27</v>
      </c>
      <c r="N9" s="50" t="str">
        <f t="shared" si="0"/>
        <v>수상</v>
      </c>
      <c r="P9" s="90"/>
      <c r="Q9" s="51">
        <v>6</v>
      </c>
      <c r="R9" s="50" t="s">
        <v>287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248</v>
      </c>
      <c r="B10" s="1" t="s">
        <v>108</v>
      </c>
      <c r="D10" s="85"/>
      <c r="E10" s="48">
        <v>7</v>
      </c>
      <c r="F10" s="49" t="s">
        <v>285</v>
      </c>
      <c r="G10" s="47" t="s">
        <v>152</v>
      </c>
      <c r="H10" s="47"/>
      <c r="J10" s="88"/>
      <c r="K10" s="51">
        <v>7</v>
      </c>
      <c r="L10" s="50" t="s">
        <v>233</v>
      </c>
      <c r="M10" s="51">
        <v>27</v>
      </c>
      <c r="N10" s="50" t="str">
        <f t="shared" si="0"/>
        <v>수상</v>
      </c>
      <c r="P10" s="90"/>
      <c r="Q10" s="51">
        <v>7</v>
      </c>
      <c r="R10" s="52" t="s">
        <v>294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5"/>
      <c r="E11" s="48">
        <v>8</v>
      </c>
      <c r="F11" s="49" t="s">
        <v>286</v>
      </c>
      <c r="G11" s="47"/>
      <c r="H11" s="47"/>
      <c r="J11" s="88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0"/>
      <c r="Q11" s="51">
        <v>8</v>
      </c>
      <c r="R11" s="52" t="s">
        <v>230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5"/>
      <c r="E12" s="48">
        <v>9</v>
      </c>
      <c r="F12" s="49" t="s">
        <v>287</v>
      </c>
      <c r="G12" s="47" t="s">
        <v>245</v>
      </c>
      <c r="H12" s="47" t="s">
        <v>236</v>
      </c>
      <c r="J12" s="88"/>
      <c r="K12" s="51">
        <v>9</v>
      </c>
      <c r="L12" s="50" t="s">
        <v>229</v>
      </c>
      <c r="M12" s="51">
        <v>26</v>
      </c>
      <c r="N12" s="50" t="str">
        <f t="shared" si="0"/>
        <v>수상</v>
      </c>
      <c r="P12" s="90"/>
      <c r="Q12" s="51">
        <v>9</v>
      </c>
      <c r="R12" s="52" t="s">
        <v>213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5"/>
      <c r="E13" s="48">
        <v>10</v>
      </c>
      <c r="F13" s="49" t="s">
        <v>288</v>
      </c>
      <c r="G13" s="47"/>
      <c r="H13" s="47"/>
      <c r="J13" s="88"/>
      <c r="K13" s="51">
        <v>10</v>
      </c>
      <c r="L13" s="52" t="s">
        <v>242</v>
      </c>
      <c r="M13" s="51">
        <v>25</v>
      </c>
      <c r="N13" s="50" t="str">
        <f t="shared" si="0"/>
        <v>미수상</v>
      </c>
      <c r="P13" s="90"/>
      <c r="Q13" s="51">
        <v>10</v>
      </c>
      <c r="R13" s="52" t="s">
        <v>231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5"/>
      <c r="E14" s="48">
        <v>11</v>
      </c>
      <c r="F14" s="49" t="s">
        <v>289</v>
      </c>
      <c r="G14" s="47"/>
      <c r="H14" s="47"/>
      <c r="J14" s="88"/>
      <c r="K14" s="51">
        <v>11</v>
      </c>
      <c r="L14" s="52" t="s">
        <v>232</v>
      </c>
      <c r="M14" s="51">
        <v>25</v>
      </c>
      <c r="N14" s="50" t="str">
        <f t="shared" si="0"/>
        <v>미수상</v>
      </c>
      <c r="P14" s="90"/>
      <c r="Q14" s="51">
        <v>11</v>
      </c>
      <c r="R14" s="50" t="s">
        <v>228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5"/>
      <c r="E15" s="48">
        <v>12</v>
      </c>
      <c r="F15" s="49" t="s">
        <v>290</v>
      </c>
      <c r="G15" s="47"/>
      <c r="H15" s="47"/>
      <c r="J15" s="88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0"/>
      <c r="Q15" s="51">
        <v>12</v>
      </c>
      <c r="R15" s="50" t="s">
        <v>275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5"/>
      <c r="E16" s="48">
        <v>13</v>
      </c>
      <c r="F16" s="47" t="s">
        <v>291</v>
      </c>
      <c r="G16" s="47"/>
      <c r="H16" s="47"/>
      <c r="J16" s="88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0"/>
      <c r="Q16" s="51">
        <v>13</v>
      </c>
      <c r="R16" s="50" t="s">
        <v>295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5"/>
      <c r="E17" s="48">
        <v>14</v>
      </c>
      <c r="F17" s="47" t="s">
        <v>292</v>
      </c>
      <c r="G17" s="47"/>
      <c r="H17" s="47"/>
      <c r="J17" s="88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6"/>
      <c r="E18" s="48">
        <v>15</v>
      </c>
      <c r="F18" s="47" t="s">
        <v>293</v>
      </c>
      <c r="G18" s="47"/>
      <c r="H18" s="47"/>
      <c r="J18" s="88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89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1" t="s">
        <v>249</v>
      </c>
      <c r="C2" s="91"/>
      <c r="D2" s="47" t="s">
        <v>277</v>
      </c>
      <c r="E2" s="47" t="s">
        <v>332</v>
      </c>
      <c r="F2" s="47" t="s">
        <v>331</v>
      </c>
      <c r="G2" s="47" t="s">
        <v>332</v>
      </c>
      <c r="I2" s="98" t="s">
        <v>249</v>
      </c>
      <c r="J2" s="98"/>
      <c r="K2" s="65" t="s">
        <v>277</v>
      </c>
      <c r="L2" s="65" t="s">
        <v>332</v>
      </c>
      <c r="N2" s="91" t="s">
        <v>249</v>
      </c>
      <c r="O2" s="91"/>
      <c r="P2" s="47" t="s">
        <v>277</v>
      </c>
      <c r="Q2" s="47" t="s">
        <v>332</v>
      </c>
      <c r="R2" s="47" t="s">
        <v>331</v>
      </c>
      <c r="S2" s="47" t="s">
        <v>332</v>
      </c>
    </row>
    <row r="3" spans="2:19" x14ac:dyDescent="0.25">
      <c r="B3" s="99" t="s">
        <v>338</v>
      </c>
      <c r="C3" s="72">
        <v>1</v>
      </c>
      <c r="D3" s="70" t="s">
        <v>299</v>
      </c>
      <c r="E3" s="70">
        <f>VLOOKUP(D3,종합Sheet!$B$3:$I$123,8,0)</f>
        <v>10</v>
      </c>
      <c r="F3" s="70" t="s">
        <v>299</v>
      </c>
      <c r="G3" s="61">
        <f>VLOOKUP(F3,종합Sheet!$B$3:$I$123,7,0)</f>
        <v>13.1</v>
      </c>
      <c r="I3" s="94" t="s">
        <v>333</v>
      </c>
      <c r="J3" s="68">
        <v>1</v>
      </c>
      <c r="K3" s="69" t="s">
        <v>300</v>
      </c>
      <c r="L3" s="69">
        <v>16</v>
      </c>
      <c r="N3" s="84" t="s">
        <v>252</v>
      </c>
      <c r="O3" s="48">
        <v>1</v>
      </c>
      <c r="P3" s="62" t="s">
        <v>299</v>
      </c>
      <c r="Q3" s="62">
        <f>VLOOKUP(P3,종합Sheet!$B$3:$I$123,8,0)</f>
        <v>10</v>
      </c>
      <c r="R3" s="62" t="s">
        <v>299</v>
      </c>
      <c r="S3" s="63">
        <f>VLOOKUP(R3,종합Sheet!$B$3:$I$123,7,0)</f>
        <v>13.1</v>
      </c>
    </row>
    <row r="4" spans="2:19" x14ac:dyDescent="0.25">
      <c r="B4" s="85"/>
      <c r="C4" s="48">
        <v>2</v>
      </c>
      <c r="D4" s="62" t="s">
        <v>50</v>
      </c>
      <c r="E4" s="62">
        <f>VLOOKUP(D4,종합Sheet!$B$3:$I$123,8,0)</f>
        <v>16</v>
      </c>
      <c r="F4" s="70" t="s">
        <v>225</v>
      </c>
      <c r="G4" s="61">
        <f>VLOOKUP(F4,종합Sheet!$B$3:$I$123,7,0)</f>
        <v>5.2</v>
      </c>
      <c r="I4" s="95"/>
      <c r="J4" s="66">
        <v>2</v>
      </c>
      <c r="K4" s="65" t="s">
        <v>224</v>
      </c>
      <c r="L4" s="65">
        <v>15</v>
      </c>
      <c r="N4" s="85"/>
      <c r="O4" s="48">
        <v>2</v>
      </c>
      <c r="P4" s="62" t="s">
        <v>222</v>
      </c>
      <c r="Q4" s="62">
        <f>VLOOKUP(P4,종합Sheet!$B$3:$I$123,8,0)</f>
        <v>15</v>
      </c>
      <c r="R4" s="62" t="s">
        <v>222</v>
      </c>
      <c r="S4" s="63">
        <f>VLOOKUP(R4,종합Sheet!$B$3:$I$123,7,0)</f>
        <v>22.6</v>
      </c>
    </row>
    <row r="5" spans="2:19" x14ac:dyDescent="0.25">
      <c r="B5" s="85"/>
      <c r="C5" s="48">
        <v>3</v>
      </c>
      <c r="D5" s="47" t="s">
        <v>222</v>
      </c>
      <c r="E5" s="47">
        <f>VLOOKUP(D5,종합Sheet!$B$3:$I$123,8,0)</f>
        <v>15</v>
      </c>
      <c r="F5" s="70" t="s">
        <v>222</v>
      </c>
      <c r="G5" s="61">
        <f>VLOOKUP(F5,종합Sheet!$B$3:$I$123,7,0)</f>
        <v>22.6</v>
      </c>
      <c r="I5" s="95"/>
      <c r="J5" s="66">
        <v>3</v>
      </c>
      <c r="K5" s="65" t="s">
        <v>242</v>
      </c>
      <c r="L5" s="65">
        <v>12</v>
      </c>
      <c r="N5" s="85"/>
      <c r="O5" s="48">
        <v>3</v>
      </c>
      <c r="P5" s="62" t="s">
        <v>305</v>
      </c>
      <c r="Q5" s="62">
        <f>VLOOKUP(P5,종합Sheet!$B$3:$I$123,8,0)</f>
        <v>15</v>
      </c>
      <c r="R5" s="62" t="s">
        <v>305</v>
      </c>
      <c r="S5" s="63">
        <f>VLOOKUP(R5,종합Sheet!$B$3:$I$123,7,0)</f>
        <v>19.2</v>
      </c>
    </row>
    <row r="6" spans="2:19" x14ac:dyDescent="0.25">
      <c r="B6" s="85"/>
      <c r="C6" s="48">
        <v>4</v>
      </c>
      <c r="D6" s="47" t="s">
        <v>305</v>
      </c>
      <c r="E6" s="47">
        <f>VLOOKUP(D6,종합Sheet!$B$3:$I$123,8,0)</f>
        <v>15</v>
      </c>
      <c r="F6" s="70" t="s">
        <v>233</v>
      </c>
      <c r="G6" s="61">
        <f>VLOOKUP(F6,종합Sheet!$B$3:$I$123,7,0)</f>
        <v>10.8</v>
      </c>
      <c r="I6" s="95"/>
      <c r="J6" s="66">
        <v>4</v>
      </c>
      <c r="K6" s="65" t="s">
        <v>310</v>
      </c>
      <c r="L6" s="65">
        <v>12</v>
      </c>
      <c r="N6" s="85"/>
      <c r="O6" s="48">
        <v>4</v>
      </c>
      <c r="P6" s="69" t="s">
        <v>231</v>
      </c>
      <c r="Q6" s="69">
        <f>VLOOKUP(P6,종합Sheet!$B$3:$I$123,8,0)</f>
        <v>10</v>
      </c>
      <c r="R6" s="65" t="s">
        <v>231</v>
      </c>
      <c r="S6" s="71">
        <f>VLOOKUP(R6,종합Sheet!$B$3:$I$123,7,0)</f>
        <v>14</v>
      </c>
    </row>
    <row r="7" spans="2:19" x14ac:dyDescent="0.25">
      <c r="B7" s="85"/>
      <c r="C7" s="48">
        <v>5</v>
      </c>
      <c r="D7" s="47" t="s">
        <v>233</v>
      </c>
      <c r="E7" s="47">
        <f>VLOOKUP(D7,종합Sheet!$B$3:$I$123,8,0)</f>
        <v>9</v>
      </c>
      <c r="F7" s="70" t="s">
        <v>305</v>
      </c>
      <c r="G7" s="61">
        <f>VLOOKUP(F7,종합Sheet!$B$3:$I$123,7,0)</f>
        <v>19.2</v>
      </c>
      <c r="I7" s="96"/>
      <c r="J7" s="66">
        <v>5</v>
      </c>
      <c r="K7" s="65" t="s">
        <v>229</v>
      </c>
      <c r="L7" s="65">
        <v>11</v>
      </c>
      <c r="N7" s="85"/>
      <c r="O7" s="48">
        <v>5</v>
      </c>
      <c r="P7" s="69" t="s">
        <v>325</v>
      </c>
      <c r="Q7" s="69">
        <f>VLOOKUP(P7,종합Sheet!$B$3:$I$123,8,0)</f>
        <v>11</v>
      </c>
      <c r="R7" s="65" t="s">
        <v>325</v>
      </c>
      <c r="S7" s="71">
        <f>VLOOKUP(R7,종합Sheet!$B$3:$I$123,7,0)</f>
        <v>14.8</v>
      </c>
    </row>
    <row r="8" spans="2:19" x14ac:dyDescent="0.25">
      <c r="B8" s="85"/>
      <c r="C8" s="48">
        <v>6</v>
      </c>
      <c r="D8" s="47" t="s">
        <v>225</v>
      </c>
      <c r="E8" s="47">
        <f>VLOOKUP(D8,종합Sheet!$B$3:$I$123,8,0)</f>
        <v>4</v>
      </c>
      <c r="F8" s="62" t="s">
        <v>50</v>
      </c>
      <c r="G8" s="63">
        <f>VLOOKUP(F8,종합Sheet!$B$3:$I$123,7,0)</f>
        <v>17.600000000000001</v>
      </c>
      <c r="N8" s="85"/>
      <c r="O8" s="48">
        <v>6</v>
      </c>
      <c r="P8" s="69" t="s">
        <v>319</v>
      </c>
      <c r="Q8" s="69">
        <f>VLOOKUP(P8,종합Sheet!$B$3:$I$123,8,0)</f>
        <v>6</v>
      </c>
      <c r="R8" s="65" t="s">
        <v>319</v>
      </c>
      <c r="S8" s="71">
        <f>VLOOKUP(R8,종합Sheet!$B$3:$I$123,7,0)</f>
        <v>6.5</v>
      </c>
    </row>
    <row r="9" spans="2:19" x14ac:dyDescent="0.25">
      <c r="B9" s="85"/>
      <c r="C9" s="48">
        <v>7</v>
      </c>
      <c r="D9" s="65" t="s">
        <v>48</v>
      </c>
      <c r="E9" s="65">
        <f>VLOOKUP(D9,종합Sheet!$B$3:$I$123,8,0)</f>
        <v>5</v>
      </c>
      <c r="F9" s="70" t="s">
        <v>7</v>
      </c>
      <c r="G9" s="61">
        <f>VLOOKUP(F9,종합Sheet!$B$3:$I$123,7,0)</f>
        <v>6.6</v>
      </c>
      <c r="I9" s="98" t="s">
        <v>249</v>
      </c>
      <c r="J9" s="98"/>
      <c r="K9" s="65" t="s">
        <v>277</v>
      </c>
      <c r="L9" s="65" t="s">
        <v>332</v>
      </c>
      <c r="N9" s="85"/>
      <c r="O9" s="48">
        <v>7</v>
      </c>
      <c r="P9" s="69" t="s">
        <v>309</v>
      </c>
      <c r="Q9" s="69">
        <f>VLOOKUP(P9,종합Sheet!$B$3:$I$123,8,0)</f>
        <v>4</v>
      </c>
      <c r="R9" s="65" t="s">
        <v>310</v>
      </c>
      <c r="S9" s="71">
        <f>VLOOKUP(R9,종합Sheet!$B$3:$I$123,7,0)</f>
        <v>0</v>
      </c>
    </row>
    <row r="10" spans="2:19" x14ac:dyDescent="0.25">
      <c r="B10" s="85"/>
      <c r="C10" s="48">
        <v>8</v>
      </c>
      <c r="D10" s="64" t="s">
        <v>55</v>
      </c>
      <c r="E10" s="64">
        <f>VLOOKUP(D10,종합Sheet!$B$3:$I$123,8,0)</f>
        <v>7</v>
      </c>
      <c r="F10" s="70" t="s">
        <v>53</v>
      </c>
      <c r="G10" s="61">
        <f>VLOOKUP(F10,종합Sheet!$B$3:$I$123,7,0)</f>
        <v>10.9</v>
      </c>
      <c r="I10" s="94" t="s">
        <v>334</v>
      </c>
      <c r="J10" s="66">
        <v>1</v>
      </c>
      <c r="K10" s="69" t="s">
        <v>225</v>
      </c>
      <c r="L10" s="69">
        <v>11</v>
      </c>
      <c r="N10" s="85"/>
      <c r="O10" s="48">
        <v>8</v>
      </c>
      <c r="P10" s="65" t="s">
        <v>310</v>
      </c>
      <c r="Q10" s="65">
        <f>VLOOKUP(P10,종합Sheet!$B$3:$I$123,8,0)</f>
        <v>0</v>
      </c>
      <c r="R10" s="65" t="s">
        <v>309</v>
      </c>
      <c r="S10" s="71">
        <f>VLOOKUP(R10,종합Sheet!$B$3:$I$123,7,0)</f>
        <v>4.8</v>
      </c>
    </row>
    <row r="11" spans="2:19" x14ac:dyDescent="0.25">
      <c r="B11" s="85"/>
      <c r="C11" s="48">
        <v>9</v>
      </c>
      <c r="D11" s="65" t="s">
        <v>7</v>
      </c>
      <c r="E11" s="65">
        <f>VLOOKUP(D11,종합Sheet!$B$3:$I$123,8,0)</f>
        <v>5</v>
      </c>
      <c r="F11" s="70" t="s">
        <v>48</v>
      </c>
      <c r="G11" s="61">
        <f>VLOOKUP(F11,종합Sheet!$B$3:$I$123,7,0)</f>
        <v>5.4</v>
      </c>
      <c r="I11" s="95"/>
      <c r="J11" s="66">
        <v>2</v>
      </c>
      <c r="K11" s="65" t="s">
        <v>7</v>
      </c>
      <c r="L11" s="65">
        <v>10</v>
      </c>
      <c r="N11" s="85"/>
      <c r="O11" s="48">
        <v>9</v>
      </c>
      <c r="P11" s="65" t="s">
        <v>315</v>
      </c>
      <c r="Q11" s="65">
        <f>VLOOKUP(P11,종합Sheet!$B$3:$I$123,8,0)</f>
        <v>3</v>
      </c>
      <c r="R11" s="65" t="s">
        <v>315</v>
      </c>
      <c r="S11" s="71">
        <f>VLOOKUP(R11,종합Sheet!$B$3:$I$123,7,0)</f>
        <v>3.4</v>
      </c>
    </row>
    <row r="12" spans="2:19" x14ac:dyDescent="0.25">
      <c r="B12" s="85"/>
      <c r="C12" s="48">
        <v>10</v>
      </c>
      <c r="D12" s="65" t="s">
        <v>224</v>
      </c>
      <c r="E12" s="65">
        <f>VLOOKUP(D12,종합Sheet!$B$3:$I$123,8,0)</f>
        <v>10</v>
      </c>
      <c r="F12" s="70" t="s">
        <v>224</v>
      </c>
      <c r="G12" s="61">
        <f>VLOOKUP(F12,종합Sheet!$B$3:$I$123,7,0)</f>
        <v>14.5</v>
      </c>
      <c r="I12" s="95"/>
      <c r="J12" s="66">
        <v>3</v>
      </c>
      <c r="K12" s="65" t="s">
        <v>224</v>
      </c>
      <c r="L12" s="65">
        <v>8</v>
      </c>
      <c r="N12" s="97"/>
      <c r="O12" s="48">
        <v>10</v>
      </c>
      <c r="P12" s="65" t="s">
        <v>337</v>
      </c>
      <c r="Q12" s="65" t="e">
        <f>VLOOKUP(P12,종합Sheet!$B$3:$I$123,8,0)</f>
        <v>#N/A</v>
      </c>
      <c r="R12" s="65" t="s">
        <v>337</v>
      </c>
      <c r="S12" s="71" t="e">
        <f>VLOOKUP(R12,종합Sheet!$B$3:$I$123,7,0)</f>
        <v>#N/A</v>
      </c>
    </row>
    <row r="13" spans="2:19" x14ac:dyDescent="0.25">
      <c r="B13" s="85"/>
      <c r="C13" s="48">
        <v>11</v>
      </c>
      <c r="D13" s="65" t="s">
        <v>53</v>
      </c>
      <c r="E13" s="65">
        <f>VLOOKUP(D13,종합Sheet!$B$3:$I$123,8,0)</f>
        <v>8</v>
      </c>
      <c r="F13" s="70" t="s">
        <v>242</v>
      </c>
      <c r="G13" s="61">
        <f>VLOOKUP(F13,종합Sheet!$B$3:$I$123,7,0)</f>
        <v>10.8</v>
      </c>
      <c r="I13" s="95"/>
      <c r="J13" s="66">
        <v>4</v>
      </c>
      <c r="K13" s="65" t="s">
        <v>242</v>
      </c>
      <c r="L13" s="65">
        <v>7</v>
      </c>
      <c r="N13"/>
      <c r="O13"/>
      <c r="P13"/>
      <c r="Q13"/>
      <c r="R13"/>
      <c r="S13"/>
    </row>
    <row r="14" spans="2:19" x14ac:dyDescent="0.25">
      <c r="B14" s="85"/>
      <c r="C14" s="48">
        <v>12</v>
      </c>
      <c r="D14" s="65" t="s">
        <v>229</v>
      </c>
      <c r="E14" s="65">
        <f>VLOOKUP(D14,종합Sheet!$B$3:$I$123,8,0)</f>
        <v>13</v>
      </c>
      <c r="F14" s="70" t="s">
        <v>229</v>
      </c>
      <c r="G14" s="61">
        <f>VLOOKUP(F14,종합Sheet!$B$3:$I$123,7,0)</f>
        <v>15.6</v>
      </c>
      <c r="I14" s="96"/>
      <c r="J14" s="66">
        <v>5</v>
      </c>
      <c r="K14" s="65" t="s">
        <v>314</v>
      </c>
      <c r="L14" s="65">
        <v>6</v>
      </c>
      <c r="N14"/>
      <c r="O14"/>
      <c r="P14"/>
      <c r="Q14"/>
      <c r="R14"/>
      <c r="S14"/>
    </row>
    <row r="15" spans="2:19" x14ac:dyDescent="0.25">
      <c r="B15" s="85"/>
      <c r="C15" s="48">
        <v>13</v>
      </c>
      <c r="D15" s="65" t="s">
        <v>242</v>
      </c>
      <c r="E15" s="65">
        <f>VLOOKUP(D15,종합Sheet!$B$3:$I$123,8,0)</f>
        <v>9</v>
      </c>
      <c r="F15" s="62" t="s">
        <v>300</v>
      </c>
      <c r="G15" s="63">
        <f>VLOOKUP(F15,종합Sheet!$B$3:$I$123,7,0)</f>
        <v>6.4</v>
      </c>
      <c r="N15"/>
      <c r="O15"/>
      <c r="P15"/>
      <c r="Q15"/>
      <c r="R15"/>
      <c r="S15"/>
    </row>
    <row r="16" spans="2:19" s="1" customFormat="1" x14ac:dyDescent="0.25">
      <c r="B16" s="85"/>
      <c r="C16" s="48">
        <v>14</v>
      </c>
      <c r="D16" s="65" t="s">
        <v>231</v>
      </c>
      <c r="E16" s="65">
        <f>VLOOKUP(D16,종합Sheet!$B$3:$I$123,8,0)</f>
        <v>10</v>
      </c>
      <c r="F16" s="62" t="s">
        <v>231</v>
      </c>
      <c r="G16" s="63">
        <f>VLOOKUP(F16,종합Sheet!$B$3:$I$123,7,0)</f>
        <v>14</v>
      </c>
      <c r="H16" s="37"/>
      <c r="I16" s="98" t="s">
        <v>249</v>
      </c>
      <c r="J16" s="98"/>
      <c r="K16" s="65" t="s">
        <v>277</v>
      </c>
      <c r="L16" s="65" t="s">
        <v>332</v>
      </c>
      <c r="M16"/>
      <c r="N16"/>
      <c r="O16"/>
    </row>
    <row r="17" spans="2:21" s="1" customFormat="1" ht="15.6" customHeight="1" x14ac:dyDescent="0.25">
      <c r="B17" s="86"/>
      <c r="C17" s="48">
        <v>15</v>
      </c>
      <c r="D17" s="62"/>
      <c r="E17" s="62"/>
      <c r="F17" s="62" t="s">
        <v>230</v>
      </c>
      <c r="G17" s="63">
        <f>VLOOKUP(F17,종합Sheet!$B$3:$I$123,7,0)</f>
        <v>5.8</v>
      </c>
      <c r="H17" s="37"/>
      <c r="I17" s="94" t="s">
        <v>335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5"/>
      <c r="J18" s="66">
        <v>2</v>
      </c>
      <c r="K18" s="65" t="s">
        <v>299</v>
      </c>
      <c r="L18" s="65">
        <v>18</v>
      </c>
      <c r="M18"/>
      <c r="O18" s="37"/>
      <c r="T18"/>
      <c r="U18"/>
    </row>
    <row r="19" spans="2:21" x14ac:dyDescent="0.25">
      <c r="B19" s="98" t="s">
        <v>249</v>
      </c>
      <c r="C19" s="98"/>
      <c r="D19" s="65" t="s">
        <v>277</v>
      </c>
      <c r="E19" s="65"/>
      <c r="I19" s="95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4" t="s">
        <v>339</v>
      </c>
      <c r="C20" s="68">
        <v>1</v>
      </c>
      <c r="D20" s="69" t="s">
        <v>212</v>
      </c>
      <c r="E20" s="69" t="s">
        <v>340</v>
      </c>
      <c r="I20" s="95"/>
      <c r="J20" s="66">
        <v>4</v>
      </c>
      <c r="K20" s="65" t="s">
        <v>225</v>
      </c>
      <c r="L20" s="65">
        <v>17</v>
      </c>
    </row>
    <row r="21" spans="2:21" x14ac:dyDescent="0.25">
      <c r="B21" s="95"/>
      <c r="C21" s="66">
        <v>2</v>
      </c>
      <c r="D21" s="65" t="s">
        <v>93</v>
      </c>
      <c r="E21" s="65" t="s">
        <v>341</v>
      </c>
      <c r="I21" s="96"/>
      <c r="J21" s="66">
        <v>5</v>
      </c>
      <c r="K21" s="65" t="s">
        <v>319</v>
      </c>
      <c r="L21" s="65">
        <v>16</v>
      </c>
    </row>
    <row r="22" spans="2:21" x14ac:dyDescent="0.25">
      <c r="B22" s="100"/>
      <c r="C22" s="66">
        <v>3</v>
      </c>
      <c r="D22" s="65" t="s">
        <v>342</v>
      </c>
      <c r="E22" s="65" t="s">
        <v>343</v>
      </c>
    </row>
    <row r="23" spans="2:21" x14ac:dyDescent="0.25">
      <c r="I23" s="92" t="s">
        <v>249</v>
      </c>
      <c r="J23" s="93"/>
      <c r="K23" s="65" t="s">
        <v>277</v>
      </c>
      <c r="L23" s="65" t="s">
        <v>332</v>
      </c>
    </row>
    <row r="24" spans="2:21" x14ac:dyDescent="0.25">
      <c r="I24" s="94" t="s">
        <v>336</v>
      </c>
      <c r="J24" s="66">
        <v>1</v>
      </c>
      <c r="K24" s="69" t="s">
        <v>233</v>
      </c>
      <c r="L24" s="69">
        <v>38</v>
      </c>
    </row>
    <row r="25" spans="2:21" x14ac:dyDescent="0.25">
      <c r="I25" s="95"/>
      <c r="J25" s="66">
        <v>2</v>
      </c>
      <c r="K25" s="69" t="s">
        <v>230</v>
      </c>
      <c r="L25" s="69">
        <v>34</v>
      </c>
    </row>
    <row r="26" spans="2:21" x14ac:dyDescent="0.25">
      <c r="I26" s="95"/>
      <c r="J26" s="66">
        <v>3</v>
      </c>
      <c r="K26" s="65" t="s">
        <v>75</v>
      </c>
      <c r="L26" s="65">
        <v>30</v>
      </c>
    </row>
    <row r="27" spans="2:21" x14ac:dyDescent="0.25">
      <c r="I27" s="95"/>
      <c r="J27" s="66">
        <v>4</v>
      </c>
      <c r="K27" s="65" t="s">
        <v>324</v>
      </c>
      <c r="L27" s="65">
        <v>29</v>
      </c>
    </row>
    <row r="28" spans="2:21" x14ac:dyDescent="0.25">
      <c r="I28" s="95"/>
      <c r="J28" s="66">
        <v>5</v>
      </c>
      <c r="K28" s="65" t="s">
        <v>325</v>
      </c>
      <c r="L28" s="65">
        <v>28</v>
      </c>
    </row>
    <row r="29" spans="2:21" x14ac:dyDescent="0.25">
      <c r="I29" s="95"/>
      <c r="J29" s="66">
        <v>6</v>
      </c>
      <c r="K29" s="65" t="s">
        <v>303</v>
      </c>
      <c r="L29" s="65">
        <v>28</v>
      </c>
    </row>
    <row r="30" spans="2:21" x14ac:dyDescent="0.25">
      <c r="I30" s="96"/>
      <c r="J30" s="66">
        <v>7</v>
      </c>
      <c r="K30" s="65" t="s">
        <v>48</v>
      </c>
      <c r="L30" s="65">
        <v>25</v>
      </c>
    </row>
  </sheetData>
  <mergeCells count="14">
    <mergeCell ref="B3:B17"/>
    <mergeCell ref="B2:C2"/>
    <mergeCell ref="B19:C19"/>
    <mergeCell ref="B20:B22"/>
    <mergeCell ref="I16:J16"/>
    <mergeCell ref="I17:I21"/>
    <mergeCell ref="I23:J23"/>
    <mergeCell ref="I24:I30"/>
    <mergeCell ref="N2:O2"/>
    <mergeCell ref="N3:N12"/>
    <mergeCell ref="I2:J2"/>
    <mergeCell ref="I3:I7"/>
    <mergeCell ref="I9:J9"/>
    <mergeCell ref="I10:I1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208</v>
      </c>
      <c r="J1" s="19" t="s">
        <v>207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1">
        <f>COUNTIF(D4:D55,"지급")</f>
        <v>24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197</v>
      </c>
      <c r="D3" s="2" t="s">
        <v>116</v>
      </c>
      <c r="E3" s="2" t="s">
        <v>127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VLOOKUP(B4,종합Sheet!$B$4:$F$135,2,0)</f>
        <v>Origin</v>
      </c>
      <c r="D4" s="2" t="str">
        <f>VLOOKUP(B4,종합Sheet!$B$4:$F$135,3,0)</f>
        <v>지급</v>
      </c>
      <c r="E4" s="2">
        <f>VLOOKUP(B4,종합Sheet!$B$4:$F$135,4,0)</f>
        <v>0</v>
      </c>
      <c r="F4" s="2" t="s">
        <v>37</v>
      </c>
      <c r="G4" s="2">
        <f t="shared" ref="G4:G37" si="2">RANK(H4,$H$4:$H$37,0)</f>
        <v>12</v>
      </c>
      <c r="H4" s="6">
        <f>I4+개인기록Sheet!C4</f>
        <v>4.5999999999999996</v>
      </c>
      <c r="I4" s="6">
        <f t="shared" ref="I4:I28" si="3">(COUNTIF(J4:CD4,"출전")*1)</f>
        <v>3</v>
      </c>
      <c r="J4" s="2" t="s">
        <v>205</v>
      </c>
      <c r="K4" s="2" t="s">
        <v>205</v>
      </c>
      <c r="L4" s="2" t="s">
        <v>205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VLOOKUP(B5,종합Sheet!$B$4:$F$135,2,0)</f>
        <v>2021</v>
      </c>
      <c r="D5" s="2" t="str">
        <f>VLOOKUP(B5,종합Sheet!$B$4:$F$135,3,0)</f>
        <v>발주</v>
      </c>
      <c r="E5" s="2">
        <f>VLOOKUP(B5,종합Sheet!$B$4:$F$135,4,0)</f>
        <v>0</v>
      </c>
      <c r="F5" s="2" t="s">
        <v>37</v>
      </c>
      <c r="G5" s="2">
        <f t="shared" si="2"/>
        <v>7</v>
      </c>
      <c r="H5" s="6">
        <f>I5+개인기록Sheet!C5</f>
        <v>5.7</v>
      </c>
      <c r="I5" s="6">
        <f t="shared" si="3"/>
        <v>5</v>
      </c>
      <c r="J5" s="2" t="s">
        <v>205</v>
      </c>
      <c r="K5" s="2" t="s">
        <v>205</v>
      </c>
      <c r="L5" s="2" t="s">
        <v>205</v>
      </c>
      <c r="M5" s="2" t="s">
        <v>205</v>
      </c>
      <c r="N5" s="2"/>
      <c r="O5" s="2" t="s">
        <v>205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VLOOKUP(B6,종합Sheet!$B$4:$F$135,2,0)</f>
        <v>Origin</v>
      </c>
      <c r="D6" s="2" t="str">
        <f>VLOOKUP(B6,종합Sheet!$B$4:$F$135,3,0)</f>
        <v>발주</v>
      </c>
      <c r="E6" s="2">
        <f>VLOOKUP(B6,종합Sheet!$B$4:$F$135,4,0)</f>
        <v>0</v>
      </c>
      <c r="F6" s="2" t="s">
        <v>37</v>
      </c>
      <c r="G6" s="2">
        <f t="shared" si="2"/>
        <v>25</v>
      </c>
      <c r="H6" s="6">
        <f>I6+개인기록Sheet!C6</f>
        <v>2</v>
      </c>
      <c r="I6" s="6">
        <f t="shared" si="3"/>
        <v>2</v>
      </c>
      <c r="J6" s="2"/>
      <c r="K6" s="2" t="s">
        <v>205</v>
      </c>
      <c r="L6" s="2"/>
      <c r="M6" s="2"/>
      <c r="N6" s="2" t="s">
        <v>205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VLOOKUP(B7,종합Sheet!$B$4:$F$135,2,0)</f>
        <v>Origin</v>
      </c>
      <c r="D7" s="2" t="str">
        <f>VLOOKUP(B7,종합Sheet!$B$4:$F$135,3,0)</f>
        <v>지급</v>
      </c>
      <c r="E7" s="2">
        <f>VLOOKUP(B7,종합Sheet!$B$4:$F$135,4,0)</f>
        <v>0</v>
      </c>
      <c r="F7" s="2" t="s">
        <v>37</v>
      </c>
      <c r="G7" s="2">
        <f t="shared" si="2"/>
        <v>32</v>
      </c>
      <c r="H7" s="6">
        <f>I7+개인기록Sheet!C9</f>
        <v>0.4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VLOOKUP(B8,종합Sheet!$B$4:$F$135,2,0)</f>
        <v>2022</v>
      </c>
      <c r="D8" s="2" t="str">
        <f>VLOOKUP(B8,종합Sheet!$B$4:$F$135,3,0)</f>
        <v>지급</v>
      </c>
      <c r="E8" s="2">
        <f>VLOOKUP(B8,종합Sheet!$B$4:$F$135,4,0)</f>
        <v>0</v>
      </c>
      <c r="F8" s="2" t="s">
        <v>37</v>
      </c>
      <c r="G8" s="2">
        <f t="shared" si="2"/>
        <v>1</v>
      </c>
      <c r="H8" s="6">
        <f>I8+개인기록Sheet!C10</f>
        <v>8.1</v>
      </c>
      <c r="I8" s="6">
        <f t="shared" si="3"/>
        <v>5</v>
      </c>
      <c r="J8" s="2" t="s">
        <v>205</v>
      </c>
      <c r="K8" s="2" t="s">
        <v>205</v>
      </c>
      <c r="L8" s="2" t="s">
        <v>205</v>
      </c>
      <c r="M8" s="2" t="s">
        <v>205</v>
      </c>
      <c r="N8" s="2" t="s">
        <v>205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VLOOKUP(B9,종합Sheet!$B$4:$F$135,2,0)</f>
        <v>2022</v>
      </c>
      <c r="D9" s="2" t="str">
        <f>VLOOKUP(B9,종합Sheet!$B$4:$F$135,3,0)</f>
        <v>지급</v>
      </c>
      <c r="E9" s="2">
        <f>VLOOKUP(B9,종합Sheet!$B$4:$F$135,4,0)</f>
        <v>0</v>
      </c>
      <c r="F9" s="2" t="s">
        <v>37</v>
      </c>
      <c r="G9" s="2">
        <f t="shared" si="2"/>
        <v>19</v>
      </c>
      <c r="H9" s="6">
        <f>I9+개인기록Sheet!C15</f>
        <v>3</v>
      </c>
      <c r="I9" s="6">
        <f t="shared" si="3"/>
        <v>3</v>
      </c>
      <c r="J9" s="2" t="s">
        <v>205</v>
      </c>
      <c r="K9" s="2" t="s">
        <v>205</v>
      </c>
      <c r="L9" s="2" t="s">
        <v>205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VLOOKUP(B10,종합Sheet!$B$4:$F$135,2,0)</f>
        <v>#N/A</v>
      </c>
      <c r="D10" s="2" t="e">
        <f>VLOOKUP(B10,종합Sheet!$B$4:$F$135,3,0)</f>
        <v>#N/A</v>
      </c>
      <c r="E10" s="2" t="e">
        <f>VLOOKUP(B10,종합Sheet!$B$4:$F$135,4,0)</f>
        <v>#N/A</v>
      </c>
      <c r="F10" s="2" t="s">
        <v>37</v>
      </c>
      <c r="G10" s="2">
        <f t="shared" si="2"/>
        <v>13</v>
      </c>
      <c r="H10" s="6">
        <f>I10+개인기록Sheet!C16</f>
        <v>4.4000000000000004</v>
      </c>
      <c r="I10" s="6">
        <f t="shared" si="3"/>
        <v>3</v>
      </c>
      <c r="J10" s="2"/>
      <c r="K10" s="2" t="s">
        <v>205</v>
      </c>
      <c r="L10" s="2" t="s">
        <v>205</v>
      </c>
      <c r="M10" s="2" t="s">
        <v>205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134</v>
      </c>
      <c r="C11" s="31">
        <f>VLOOKUP(B11,종합Sheet!$B$4:$F$135,2,0)</f>
        <v>2023</v>
      </c>
      <c r="D11" s="2" t="str">
        <f>VLOOKUP(B11,종합Sheet!$B$4:$F$135,3,0)</f>
        <v>발주</v>
      </c>
      <c r="E11" s="2">
        <f>VLOOKUP(B11,종합Sheet!$B$4:$F$135,4,0)</f>
        <v>0</v>
      </c>
      <c r="F11" s="2" t="s">
        <v>37</v>
      </c>
      <c r="G11" s="2">
        <f t="shared" si="2"/>
        <v>2</v>
      </c>
      <c r="H11" s="6">
        <f>I11+개인기록Sheet!C17</f>
        <v>7</v>
      </c>
      <c r="I11" s="6">
        <f t="shared" si="3"/>
        <v>4</v>
      </c>
      <c r="J11" s="2"/>
      <c r="K11" s="2" t="s">
        <v>205</v>
      </c>
      <c r="L11" s="2" t="s">
        <v>205</v>
      </c>
      <c r="M11" s="2"/>
      <c r="N11" s="2" t="s">
        <v>205</v>
      </c>
      <c r="O11" s="2" t="s">
        <v>205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VLOOKUP(B12,종합Sheet!$B$4:$F$135,2,0)</f>
        <v>2022</v>
      </c>
      <c r="D12" s="2" t="str">
        <f>VLOOKUP(B12,종합Sheet!$B$4:$F$135,3,0)</f>
        <v>지급</v>
      </c>
      <c r="E12" s="2">
        <f>VLOOKUP(B12,종합Sheet!$B$4:$F$135,4,0)</f>
        <v>0</v>
      </c>
      <c r="F12" s="2" t="s">
        <v>37</v>
      </c>
      <c r="G12" s="2">
        <f t="shared" si="2"/>
        <v>19</v>
      </c>
      <c r="H12" s="6">
        <f>I12+개인기록Sheet!C18</f>
        <v>3</v>
      </c>
      <c r="I12" s="6">
        <f t="shared" si="3"/>
        <v>3</v>
      </c>
      <c r="J12" s="2"/>
      <c r="K12" s="2" t="s">
        <v>205</v>
      </c>
      <c r="L12" s="2" t="s">
        <v>205</v>
      </c>
      <c r="M12" s="2"/>
      <c r="N12" s="2"/>
      <c r="O12" s="2" t="s">
        <v>205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VLOOKUP(B13,종합Sheet!$B$4:$F$135,2,0)</f>
        <v>Origin</v>
      </c>
      <c r="D13" s="2" t="str">
        <f>VLOOKUP(B13,종합Sheet!$B$4:$F$135,3,0)</f>
        <v>지급</v>
      </c>
      <c r="E13" s="2">
        <f>VLOOKUP(B13,종합Sheet!$B$4:$F$135,4,0)</f>
        <v>0</v>
      </c>
      <c r="F13" s="2" t="s">
        <v>37</v>
      </c>
      <c r="G13" s="2">
        <f t="shared" si="2"/>
        <v>25</v>
      </c>
      <c r="H13" s="6">
        <f>I13+개인기록Sheet!C22</f>
        <v>2</v>
      </c>
      <c r="I13" s="6">
        <f t="shared" si="3"/>
        <v>2</v>
      </c>
      <c r="J13" s="2"/>
      <c r="K13" s="2" t="s">
        <v>205</v>
      </c>
      <c r="L13" s="2"/>
      <c r="M13" s="2"/>
      <c r="N13" s="2" t="s">
        <v>205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135</v>
      </c>
      <c r="C14" s="31">
        <f>VLOOKUP(B14,종합Sheet!$B$4:$F$135,2,0)</f>
        <v>2023</v>
      </c>
      <c r="D14" s="2" t="str">
        <f>VLOOKUP(B14,종합Sheet!$B$4:$F$135,3,0)</f>
        <v>지급</v>
      </c>
      <c r="E14" s="2">
        <f>VLOOKUP(B14,종합Sheet!$B$4:$F$135,4,0)</f>
        <v>0</v>
      </c>
      <c r="F14" s="2" t="s">
        <v>37</v>
      </c>
      <c r="G14" s="2">
        <f t="shared" si="2"/>
        <v>29</v>
      </c>
      <c r="H14" s="6">
        <f>I14+개인기록Sheet!C23</f>
        <v>1</v>
      </c>
      <c r="I14" s="6">
        <f t="shared" si="3"/>
        <v>1</v>
      </c>
      <c r="J14" s="2" t="s">
        <v>205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202</v>
      </c>
      <c r="C15" s="31">
        <f>VLOOKUP(B15,종합Sheet!$B$4:$F$135,2,0)</f>
        <v>2024</v>
      </c>
      <c r="D15" s="2" t="str">
        <f>VLOOKUP(B15,종합Sheet!$B$4:$F$135,3,0)</f>
        <v>지급</v>
      </c>
      <c r="E15" s="2">
        <f>VLOOKUP(B15,종합Sheet!$B$4:$F$135,4,0)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VLOOKUP(B16,종합Sheet!$B$4:$F$135,2,0)</f>
        <v>Origin</v>
      </c>
      <c r="D16" s="2" t="str">
        <f>VLOOKUP(B16,종합Sheet!$B$4:$F$135,3,0)</f>
        <v>지급</v>
      </c>
      <c r="E16" s="2">
        <f>VLOOKUP(B16,종합Sheet!$B$4:$F$135,4,0)</f>
        <v>0</v>
      </c>
      <c r="F16" s="2" t="s">
        <v>37</v>
      </c>
      <c r="G16" s="2">
        <f t="shared" si="2"/>
        <v>6</v>
      </c>
      <c r="H16" s="6">
        <f>I16+개인기록Sheet!C25</f>
        <v>5.8</v>
      </c>
      <c r="I16" s="6">
        <f t="shared" si="3"/>
        <v>5</v>
      </c>
      <c r="J16" s="2" t="s">
        <v>205</v>
      </c>
      <c r="K16" s="2" t="s">
        <v>205</v>
      </c>
      <c r="L16" s="2" t="s">
        <v>205</v>
      </c>
      <c r="M16" s="2"/>
      <c r="N16" s="2" t="s">
        <v>205</v>
      </c>
      <c r="O16" s="2" t="s">
        <v>205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162</v>
      </c>
      <c r="C17" s="31">
        <f>VLOOKUP(B17,종합Sheet!$B$4:$F$135,2,0)</f>
        <v>2023</v>
      </c>
      <c r="D17" s="2">
        <f>VLOOKUP(B17,종합Sheet!$B$4:$F$135,3,0)</f>
        <v>0</v>
      </c>
      <c r="E17" s="2">
        <f>VLOOKUP(B17,종합Sheet!$B$4:$F$135,4,0)</f>
        <v>0</v>
      </c>
      <c r="F17" s="2" t="s">
        <v>37</v>
      </c>
      <c r="G17" s="2">
        <f t="shared" si="2"/>
        <v>23</v>
      </c>
      <c r="H17" s="6">
        <f>I17+개인기록Sheet!C26</f>
        <v>2.8</v>
      </c>
      <c r="I17" s="6">
        <f t="shared" si="3"/>
        <v>1</v>
      </c>
      <c r="J17" s="2"/>
      <c r="K17" s="2"/>
      <c r="L17" s="2"/>
      <c r="M17" s="2" t="s">
        <v>205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VLOOKUP(B18,종합Sheet!$B$4:$F$135,2,0)</f>
        <v>Origin</v>
      </c>
      <c r="D18" s="2" t="str">
        <f>VLOOKUP(B18,종합Sheet!$B$4:$F$135,3,0)</f>
        <v>지급</v>
      </c>
      <c r="E18" s="2">
        <f>VLOOKUP(B18,종합Sheet!$B$4:$F$135,4,0)</f>
        <v>0</v>
      </c>
      <c r="F18" s="2" t="s">
        <v>37</v>
      </c>
      <c r="G18" s="2">
        <f t="shared" si="2"/>
        <v>9</v>
      </c>
      <c r="H18" s="6">
        <f>I18+개인기록Sheet!C29</f>
        <v>5</v>
      </c>
      <c r="I18" s="6">
        <f t="shared" si="3"/>
        <v>5</v>
      </c>
      <c r="J18" s="2" t="s">
        <v>205</v>
      </c>
      <c r="K18" s="2"/>
      <c r="L18" s="2" t="s">
        <v>205</v>
      </c>
      <c r="M18" s="2" t="s">
        <v>205</v>
      </c>
      <c r="N18" s="2" t="s">
        <v>205</v>
      </c>
      <c r="O18" s="2" t="s">
        <v>205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VLOOKUP(B19,종합Sheet!$B$4:$F$135,2,0)</f>
        <v>Origin</v>
      </c>
      <c r="D19" s="2" t="str">
        <f>VLOOKUP(B19,종합Sheet!$B$4:$F$135,3,0)</f>
        <v>지급</v>
      </c>
      <c r="E19" s="2">
        <f>VLOOKUP(B19,종합Sheet!$B$4:$F$135,4,0)</f>
        <v>0</v>
      </c>
      <c r="F19" s="2" t="s">
        <v>37</v>
      </c>
      <c r="G19" s="2">
        <f t="shared" si="2"/>
        <v>4</v>
      </c>
      <c r="H19" s="6">
        <f>I19+개인기록Sheet!C34</f>
        <v>6.2</v>
      </c>
      <c r="I19" s="6">
        <f t="shared" si="3"/>
        <v>5</v>
      </c>
      <c r="J19" s="2" t="s">
        <v>205</v>
      </c>
      <c r="K19" s="2" t="s">
        <v>205</v>
      </c>
      <c r="L19" s="2" t="s">
        <v>205</v>
      </c>
      <c r="M19" s="2" t="s">
        <v>205</v>
      </c>
      <c r="N19" s="2"/>
      <c r="O19" s="2" t="s">
        <v>205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VLOOKUP(B20,종합Sheet!$B$4:$F$135,2,0)</f>
        <v>2022</v>
      </c>
      <c r="D20" s="2" t="str">
        <f>VLOOKUP(B20,종합Sheet!$B$4:$F$135,3,0)</f>
        <v>지급</v>
      </c>
      <c r="E20" s="2">
        <f>VLOOKUP(B20,종합Sheet!$B$4:$F$135,4,0)</f>
        <v>0</v>
      </c>
      <c r="F20" s="2" t="s">
        <v>37</v>
      </c>
      <c r="G20" s="2">
        <f t="shared" si="2"/>
        <v>25</v>
      </c>
      <c r="H20" s="6">
        <f>I20+개인기록Sheet!C40</f>
        <v>2</v>
      </c>
      <c r="I20" s="6">
        <f t="shared" si="3"/>
        <v>2</v>
      </c>
      <c r="J20" s="2" t="s">
        <v>205</v>
      </c>
      <c r="K20" s="2"/>
      <c r="L20" s="2"/>
      <c r="M20" s="2"/>
      <c r="N20" s="2"/>
      <c r="O20" s="2" t="s">
        <v>205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VLOOKUP(B21,종합Sheet!$B$4:$F$135,2,0)</f>
        <v>2022</v>
      </c>
      <c r="D21" s="2" t="str">
        <f>VLOOKUP(B21,종합Sheet!$B$4:$F$135,3,0)</f>
        <v>지급</v>
      </c>
      <c r="E21" s="2">
        <f>VLOOKUP(B21,종합Sheet!$B$4:$F$135,4,0)</f>
        <v>0</v>
      </c>
      <c r="F21" s="2" t="s">
        <v>37</v>
      </c>
      <c r="G21" s="2">
        <f t="shared" si="2"/>
        <v>8</v>
      </c>
      <c r="H21" s="6">
        <f>I21+개인기록Sheet!C44</f>
        <v>5.2</v>
      </c>
      <c r="I21" s="6">
        <f t="shared" si="3"/>
        <v>2</v>
      </c>
      <c r="J21" s="2"/>
      <c r="K21" s="2"/>
      <c r="L21" s="2"/>
      <c r="M21" s="2" t="s">
        <v>205</v>
      </c>
      <c r="N21" s="2"/>
      <c r="O21" s="2" t="s">
        <v>205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VLOOKUP(B22,종합Sheet!$B$4:$F$135,2,0)</f>
        <v>2022</v>
      </c>
      <c r="D22" s="2">
        <f>VLOOKUP(B22,종합Sheet!$B$4:$F$135,3,0)</f>
        <v>0</v>
      </c>
      <c r="E22" s="2">
        <f>VLOOKUP(B22,종합Sheet!$B$4:$F$135,4,0)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136</v>
      </c>
      <c r="C23" s="31">
        <f>VLOOKUP(B23,종합Sheet!$B$4:$F$135,2,0)</f>
        <v>2023</v>
      </c>
      <c r="D23" s="2" t="str">
        <f>VLOOKUP(B23,종합Sheet!$B$4:$F$135,3,0)</f>
        <v>지급</v>
      </c>
      <c r="E23" s="2">
        <f>VLOOKUP(B23,종합Sheet!$B$4:$F$135,4,0)</f>
        <v>0</v>
      </c>
      <c r="F23" s="2" t="s">
        <v>37</v>
      </c>
      <c r="G23" s="2">
        <f t="shared" si="2"/>
        <v>14</v>
      </c>
      <c r="H23" s="6">
        <f>I23+개인기록Sheet!C49</f>
        <v>4</v>
      </c>
      <c r="I23" s="6">
        <f t="shared" si="3"/>
        <v>4</v>
      </c>
      <c r="J23" s="2"/>
      <c r="K23" s="2" t="s">
        <v>205</v>
      </c>
      <c r="L23" s="2" t="s">
        <v>205</v>
      </c>
      <c r="M23" s="2"/>
      <c r="N23" s="2" t="s">
        <v>205</v>
      </c>
      <c r="O23" s="2" t="s">
        <v>205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VLOOKUP(B24,종합Sheet!$B$4:$F$135,2,0)</f>
        <v>2022</v>
      </c>
      <c r="D24" s="2" t="str">
        <f>VLOOKUP(B24,종합Sheet!$B$4:$F$135,3,0)</f>
        <v>지급</v>
      </c>
      <c r="E24" s="2">
        <f>VLOOKUP(B24,종합Sheet!$B$4:$F$135,4,0)</f>
        <v>0</v>
      </c>
      <c r="F24" s="2" t="s">
        <v>37</v>
      </c>
      <c r="G24" s="2">
        <f t="shared" si="2"/>
        <v>25</v>
      </c>
      <c r="H24" s="6">
        <f>I24+개인기록Sheet!C57</f>
        <v>2</v>
      </c>
      <c r="I24" s="6">
        <f t="shared" si="3"/>
        <v>2</v>
      </c>
      <c r="J24" s="2"/>
      <c r="K24" s="2"/>
      <c r="L24" s="2"/>
      <c r="M24" s="2" t="s">
        <v>205</v>
      </c>
      <c r="N24" s="2" t="s">
        <v>205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126</v>
      </c>
      <c r="C25" s="31">
        <f>VLOOKUP(B25,종합Sheet!$B$4:$F$135,2,0)</f>
        <v>2023</v>
      </c>
      <c r="D25" s="2" t="str">
        <f>VLOOKUP(B25,종합Sheet!$B$4:$F$135,3,0)</f>
        <v>지급</v>
      </c>
      <c r="E25" s="2">
        <f>VLOOKUP(B25,종합Sheet!$B$4:$F$135,4,0)</f>
        <v>0</v>
      </c>
      <c r="F25" s="2" t="s">
        <v>37</v>
      </c>
      <c r="G25" s="2">
        <f t="shared" si="2"/>
        <v>16</v>
      </c>
      <c r="H25" s="6">
        <f>I25+개인기록Sheet!C59</f>
        <v>3.6</v>
      </c>
      <c r="I25" s="6">
        <f t="shared" si="3"/>
        <v>3</v>
      </c>
      <c r="J25" s="2" t="s">
        <v>205</v>
      </c>
      <c r="K25" s="2"/>
      <c r="L25" s="2"/>
      <c r="M25" s="2"/>
      <c r="N25" s="2" t="s">
        <v>205</v>
      </c>
      <c r="O25" s="2" t="s">
        <v>205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VLOOKUP(B26,종합Sheet!$B$4:$F$135,2,0)</f>
        <v>2021</v>
      </c>
      <c r="D26" s="2" t="str">
        <f>VLOOKUP(B26,종합Sheet!$B$4:$F$135,3,0)</f>
        <v>지급</v>
      </c>
      <c r="E26" s="2">
        <f>VLOOKUP(B26,종합Sheet!$B$4:$F$135,4,0)</f>
        <v>0</v>
      </c>
      <c r="F26" s="2" t="s">
        <v>37</v>
      </c>
      <c r="G26" s="2">
        <f t="shared" si="2"/>
        <v>5</v>
      </c>
      <c r="H26" s="6">
        <f>I26+개인기록Sheet!C60</f>
        <v>5.9</v>
      </c>
      <c r="I26" s="6">
        <f t="shared" si="3"/>
        <v>4</v>
      </c>
      <c r="J26" s="2" t="s">
        <v>205</v>
      </c>
      <c r="K26" s="2" t="s">
        <v>205</v>
      </c>
      <c r="L26" s="2"/>
      <c r="M26" s="2" t="s">
        <v>205</v>
      </c>
      <c r="N26" s="2" t="s">
        <v>205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VLOOKUP(B27,종합Sheet!$B$4:$F$135,2,0)</f>
        <v>#N/A</v>
      </c>
      <c r="D27" s="2" t="e">
        <f>VLOOKUP(B27,종합Sheet!$B$4:$F$135,3,0)</f>
        <v>#N/A</v>
      </c>
      <c r="E27" s="2" t="e">
        <f>VLOOKUP(B27,종합Sheet!$B$4:$F$135,4,0)</f>
        <v>#N/A</v>
      </c>
      <c r="F27" s="2" t="s">
        <v>37</v>
      </c>
      <c r="G27" s="2">
        <f t="shared" si="2"/>
        <v>19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205</v>
      </c>
      <c r="M27" s="2" t="s">
        <v>205</v>
      </c>
      <c r="N27" s="2"/>
      <c r="O27" s="2" t="s">
        <v>205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VLOOKUP(B28,종합Sheet!$B$4:$F$135,2,0)</f>
        <v>Origin</v>
      </c>
      <c r="D28" s="2" t="str">
        <f>VLOOKUP(B28,종합Sheet!$B$4:$F$135,3,0)</f>
        <v>지급</v>
      </c>
      <c r="E28" s="2">
        <f>VLOOKUP(B28,종합Sheet!$B$4:$F$135,4,0)</f>
        <v>0</v>
      </c>
      <c r="F28" s="2" t="s">
        <v>37</v>
      </c>
      <c r="G28" s="2">
        <f t="shared" si="2"/>
        <v>17</v>
      </c>
      <c r="H28" s="6">
        <f>I28+개인기록Sheet!C63</f>
        <v>3.5</v>
      </c>
      <c r="I28" s="6">
        <f t="shared" si="3"/>
        <v>3</v>
      </c>
      <c r="J28" s="2"/>
      <c r="K28" s="2" t="s">
        <v>205</v>
      </c>
      <c r="L28" s="2"/>
      <c r="M28" s="2" t="s">
        <v>205</v>
      </c>
      <c r="N28" s="2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179</v>
      </c>
      <c r="C29" s="31">
        <f>VLOOKUP(B29,종합Sheet!$B$4:$F$135,2,0)</f>
        <v>2023</v>
      </c>
      <c r="D29" s="2" t="str">
        <f>VLOOKUP(B29,종합Sheet!$B$4:$F$135,3,0)</f>
        <v>지급</v>
      </c>
      <c r="E29" s="2">
        <f>VLOOKUP(B29,종합Sheet!$B$4:$F$135,4,0)</f>
        <v>0</v>
      </c>
      <c r="F29" s="2" t="s">
        <v>37</v>
      </c>
      <c r="G29" s="2">
        <f t="shared" ref="G29" si="4">RANK(H29,$H$4:$H$37,0)</f>
        <v>18</v>
      </c>
      <c r="H29" s="6">
        <f>I29+개인기록Sheet!C64</f>
        <v>3.1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VLOOKUP(B30,종합Sheet!$B$4:$F$135,2,0)</f>
        <v>Origin</v>
      </c>
      <c r="D30" s="2" t="str">
        <f>VLOOKUP(B30,종합Sheet!$B$4:$F$135,3,0)</f>
        <v>지급</v>
      </c>
      <c r="E30" s="2">
        <f>VLOOKUP(B30,종합Sheet!$B$4:$F$135,4,0)</f>
        <v>0</v>
      </c>
      <c r="F30" s="2" t="s">
        <v>37</v>
      </c>
      <c r="G30" s="2">
        <f t="shared" si="2"/>
        <v>19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205</v>
      </c>
      <c r="M30" s="2" t="s">
        <v>205</v>
      </c>
      <c r="N30" s="2" t="s">
        <v>205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VLOOKUP(B31,종합Sheet!$B$4:$F$135,2,0)</f>
        <v>Origin</v>
      </c>
      <c r="D31" s="2" t="str">
        <f>VLOOKUP(B31,종합Sheet!$B$4:$F$135,3,0)</f>
        <v>지급</v>
      </c>
      <c r="E31" s="2">
        <f>VLOOKUP(B31,종합Sheet!$B$4:$F$135,4,0)</f>
        <v>0</v>
      </c>
      <c r="F31" s="2" t="s">
        <v>37</v>
      </c>
      <c r="G31" s="2">
        <f t="shared" si="2"/>
        <v>29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VLOOKUP(B32,종합Sheet!$B$4:$F$135,2,0)</f>
        <v>#N/A</v>
      </c>
      <c r="D32" s="2" t="e">
        <f>VLOOKUP(B32,종합Sheet!$B$4:$F$135,3,0)</f>
        <v>#N/A</v>
      </c>
      <c r="E32" s="2" t="e">
        <f>VLOOKUP(B32,종합Sheet!$B$4:$F$135,4,0)</f>
        <v>#N/A</v>
      </c>
      <c r="F32" s="2" t="s">
        <v>37</v>
      </c>
      <c r="G32" s="2">
        <f t="shared" si="2"/>
        <v>14</v>
      </c>
      <c r="H32" s="6">
        <f>I32+개인기록Sheet!C79</f>
        <v>4</v>
      </c>
      <c r="I32" s="6">
        <f t="shared" si="6"/>
        <v>4</v>
      </c>
      <c r="J32" s="2" t="s">
        <v>205</v>
      </c>
      <c r="K32" s="2" t="s">
        <v>205</v>
      </c>
      <c r="L32" s="2" t="s">
        <v>205</v>
      </c>
      <c r="M32" s="2"/>
      <c r="N32" s="2"/>
      <c r="O32" s="2" t="s">
        <v>205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VLOOKUP(B33,종합Sheet!$B$4:$F$135,2,0)</f>
        <v>2022</v>
      </c>
      <c r="D33" s="2">
        <f>VLOOKUP(B33,종합Sheet!$B$4:$F$135,3,0)</f>
        <v>1</v>
      </c>
      <c r="E33" s="2">
        <f>VLOOKUP(B33,종합Sheet!$B$4:$F$135,4,0)</f>
        <v>0</v>
      </c>
      <c r="F33" s="2" t="s">
        <v>37</v>
      </c>
      <c r="G33" s="2">
        <f t="shared" si="2"/>
        <v>24</v>
      </c>
      <c r="H33" s="6">
        <f>I33+개인기록Sheet!C83</f>
        <v>2.4000000000000004</v>
      </c>
      <c r="I33" s="6">
        <f t="shared" si="6"/>
        <v>1</v>
      </c>
      <c r="J33" s="2"/>
      <c r="K33" s="2"/>
      <c r="L33" s="2"/>
      <c r="M33" s="2" t="s">
        <v>205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137</v>
      </c>
      <c r="C34" s="31">
        <f>VLOOKUP(B34,종합Sheet!$B$4:$F$135,2,0)</f>
        <v>2023</v>
      </c>
      <c r="D34" s="2" t="str">
        <f>VLOOKUP(B34,종합Sheet!$B$4:$F$135,3,0)</f>
        <v>지급</v>
      </c>
      <c r="E34" s="2">
        <f>VLOOKUP(B34,종합Sheet!$B$4:$F$135,4,0)</f>
        <v>0</v>
      </c>
      <c r="F34" s="2" t="s">
        <v>37</v>
      </c>
      <c r="G34" s="2">
        <f t="shared" si="2"/>
        <v>29</v>
      </c>
      <c r="H34" s="6">
        <f>I34+개인기록Sheet!C90</f>
        <v>1</v>
      </c>
      <c r="I34" s="6">
        <f t="shared" si="6"/>
        <v>1</v>
      </c>
      <c r="J34" s="2"/>
      <c r="K34" s="2" t="s">
        <v>205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VLOOKUP(B35,종합Sheet!$B$4:$F$135,2,0)</f>
        <v>2023</v>
      </c>
      <c r="D35" s="2" t="str">
        <f>VLOOKUP(B35,종합Sheet!$B$4:$F$135,3,0)</f>
        <v>지급</v>
      </c>
      <c r="E35" s="2">
        <f>VLOOKUP(B35,종합Sheet!$B$4:$F$135,4,0)</f>
        <v>0</v>
      </c>
      <c r="F35" s="2" t="s">
        <v>37</v>
      </c>
      <c r="G35" s="2">
        <f t="shared" si="2"/>
        <v>9</v>
      </c>
      <c r="H35" s="6">
        <f>I35+개인기록Sheet!C97</f>
        <v>5</v>
      </c>
      <c r="I35" s="6">
        <f t="shared" si="6"/>
        <v>5</v>
      </c>
      <c r="J35" s="2" t="s">
        <v>205</v>
      </c>
      <c r="K35" s="2" t="s">
        <v>205</v>
      </c>
      <c r="L35" s="2" t="s">
        <v>205</v>
      </c>
      <c r="M35" s="2" t="s">
        <v>205</v>
      </c>
      <c r="N35" s="2"/>
      <c r="O35" s="2" t="s">
        <v>205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VLOOKUP(B36,종합Sheet!$B$4:$F$135,2,0)</f>
        <v>Origin</v>
      </c>
      <c r="D36" s="2" t="str">
        <f>VLOOKUP(B36,종합Sheet!$B$4:$F$135,3,0)</f>
        <v>대상</v>
      </c>
      <c r="E36" s="2">
        <f>VLOOKUP(B36,종합Sheet!$B$4:$F$135,4,0)</f>
        <v>0</v>
      </c>
      <c r="F36" s="2" t="s">
        <v>37</v>
      </c>
      <c r="G36" s="2">
        <f t="shared" si="2"/>
        <v>2</v>
      </c>
      <c r="H36" s="6">
        <f>I36+개인기록Sheet!C102</f>
        <v>7</v>
      </c>
      <c r="I36" s="6">
        <f t="shared" si="6"/>
        <v>3</v>
      </c>
      <c r="J36" s="2" t="s">
        <v>205</v>
      </c>
      <c r="K36" s="2" t="s">
        <v>205</v>
      </c>
      <c r="L36" s="2" t="s">
        <v>205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VLOOKUP(B37,종합Sheet!$B$4:$F$135,2,0)</f>
        <v>Origin</v>
      </c>
      <c r="D37" s="2" t="str">
        <f>VLOOKUP(B37,종합Sheet!$B$4:$F$135,3,0)</f>
        <v>지급</v>
      </c>
      <c r="E37" s="2">
        <f>VLOOKUP(B37,종합Sheet!$B$4:$F$135,4,0)</f>
        <v>0</v>
      </c>
      <c r="F37" s="2" t="s">
        <v>37</v>
      </c>
      <c r="G37" s="2">
        <f t="shared" si="2"/>
        <v>9</v>
      </c>
      <c r="H37" s="6">
        <f>I37+개인기록Sheet!C104</f>
        <v>5</v>
      </c>
      <c r="I37" s="6">
        <f t="shared" si="6"/>
        <v>5</v>
      </c>
      <c r="J37" s="2" t="s">
        <v>205</v>
      </c>
      <c r="K37" s="2" t="s">
        <v>205</v>
      </c>
      <c r="L37" s="2" t="s">
        <v>205</v>
      </c>
      <c r="M37" s="2"/>
      <c r="N37" s="2" t="s">
        <v>205</v>
      </c>
      <c r="O37" s="2" t="s">
        <v>205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206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209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134</v>
      </c>
      <c r="R5" s="9" t="s">
        <v>124</v>
      </c>
      <c r="S5" s="9" t="s">
        <v>212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210</v>
      </c>
      <c r="F6" s="7" t="s">
        <v>211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134</v>
      </c>
      <c r="R8" s="9" t="s">
        <v>124</v>
      </c>
      <c r="S8" s="9" t="s">
        <v>137</v>
      </c>
      <c r="T8" s="9" t="s">
        <v>136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209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225</v>
      </c>
      <c r="O13" s="20" t="s">
        <v>7</v>
      </c>
      <c r="P13" s="20"/>
      <c r="Q13" s="9" t="s">
        <v>118</v>
      </c>
      <c r="R13" s="9" t="s">
        <v>124</v>
      </c>
      <c r="S13" s="9" t="s">
        <v>216</v>
      </c>
      <c r="T13" s="9" t="s">
        <v>215</v>
      </c>
      <c r="U13" s="9"/>
      <c r="V13" s="13" t="s">
        <v>162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217</v>
      </c>
      <c r="R14" s="9" t="s">
        <v>216</v>
      </c>
      <c r="S14" s="9" t="s">
        <v>212</v>
      </c>
      <c r="T14" s="9" t="s">
        <v>215</v>
      </c>
      <c r="U14" s="9"/>
      <c r="V14" s="13" t="s">
        <v>162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212</v>
      </c>
      <c r="T15" s="9" t="s">
        <v>215</v>
      </c>
      <c r="U15" s="9"/>
      <c r="V15" s="13" t="s">
        <v>162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218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126</v>
      </c>
      <c r="N21" s="20" t="s">
        <v>107</v>
      </c>
      <c r="O21" s="20" t="s">
        <v>97</v>
      </c>
      <c r="P21" s="20"/>
      <c r="Q21" s="9" t="s">
        <v>134</v>
      </c>
      <c r="R21" s="9" t="s">
        <v>102</v>
      </c>
      <c r="S21" s="9" t="s">
        <v>223</v>
      </c>
      <c r="T21" s="9" t="s">
        <v>215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214</v>
      </c>
      <c r="K22" s="8" t="s">
        <v>97</v>
      </c>
      <c r="L22" s="8"/>
      <c r="M22" s="20" t="s">
        <v>214</v>
      </c>
      <c r="N22" s="20" t="s">
        <v>103</v>
      </c>
      <c r="O22" s="20" t="s">
        <v>97</v>
      </c>
      <c r="P22" s="20"/>
      <c r="Q22" s="9" t="s">
        <v>179</v>
      </c>
      <c r="R22" s="9" t="s">
        <v>102</v>
      </c>
      <c r="S22" s="9" t="s">
        <v>223</v>
      </c>
      <c r="T22" s="9" t="s">
        <v>215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214</v>
      </c>
      <c r="F23" s="7" t="s">
        <v>179</v>
      </c>
      <c r="G23" s="7" t="s">
        <v>214</v>
      </c>
      <c r="H23" s="7" t="s">
        <v>126</v>
      </c>
      <c r="I23" s="8" t="s">
        <v>179</v>
      </c>
      <c r="J23" s="8" t="s">
        <v>215</v>
      </c>
      <c r="K23" s="8" t="s">
        <v>179</v>
      </c>
      <c r="L23" s="8" t="s">
        <v>215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179</v>
      </c>
      <c r="F24" s="7" t="s">
        <v>179</v>
      </c>
      <c r="G24" s="7"/>
      <c r="H24" s="7"/>
      <c r="I24" s="8" t="s">
        <v>214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2026-06-18T15:36:29Z</dcterms:modified>
</cp:coreProperties>
</file>