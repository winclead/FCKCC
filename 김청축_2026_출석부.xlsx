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986" documentId="13_ncr:1_{DC8612FD-A52F-4EAD-BD68-700165C8B081}" xr6:coauthVersionLast="47" xr6:coauthVersionMax="47" xr10:uidLastSave="{94AD0FD4-1BC1-4C96-9C14-CAA408460C5F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종합Sheet!$A$3:$CT$124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" i="3" l="1"/>
  <c r="D276" i="2"/>
  <c r="C276" i="2"/>
  <c r="D266" i="2"/>
  <c r="C266" i="2"/>
  <c r="A5" i="3"/>
  <c r="B5" i="3"/>
  <c r="D5" i="3" s="1"/>
  <c r="F5" i="3"/>
  <c r="G5" i="3"/>
  <c r="H5" i="3"/>
  <c r="A6" i="3"/>
  <c r="B6" i="3"/>
  <c r="A7" i="3"/>
  <c r="B7" i="3"/>
  <c r="D7" i="3" s="1"/>
  <c r="A8" i="3"/>
  <c r="B8" i="3"/>
  <c r="E8" i="3" s="1"/>
  <c r="H8" i="3"/>
  <c r="A9" i="3"/>
  <c r="B9" i="3"/>
  <c r="D9" i="3" s="1"/>
  <c r="A10" i="3"/>
  <c r="B10" i="3"/>
  <c r="G10" i="3" s="1"/>
  <c r="A11" i="3"/>
  <c r="B11" i="3"/>
  <c r="D11" i="3" s="1"/>
  <c r="A12" i="3"/>
  <c r="B12" i="3"/>
  <c r="D12" i="3" s="1"/>
  <c r="A13" i="3"/>
  <c r="B13" i="3"/>
  <c r="F13" i="3" s="1"/>
  <c r="A14" i="3"/>
  <c r="B14" i="3"/>
  <c r="F14" i="3" s="1"/>
  <c r="A15" i="3"/>
  <c r="B15" i="3"/>
  <c r="D15" i="3" s="1"/>
  <c r="A16" i="3"/>
  <c r="B16" i="3"/>
  <c r="D16" i="3" s="1"/>
  <c r="A17" i="3"/>
  <c r="B17" i="3"/>
  <c r="G17" i="3" s="1"/>
  <c r="A18" i="3"/>
  <c r="B18" i="3"/>
  <c r="A19" i="3"/>
  <c r="B19" i="3"/>
  <c r="E19" i="3" s="1"/>
  <c r="A20" i="3"/>
  <c r="B20" i="3"/>
  <c r="F20" i="3" s="1"/>
  <c r="A21" i="3"/>
  <c r="B21" i="3"/>
  <c r="G21" i="3" s="1"/>
  <c r="D21" i="3"/>
  <c r="A22" i="3"/>
  <c r="B22" i="3"/>
  <c r="F22" i="3" s="1"/>
  <c r="A23" i="3"/>
  <c r="B23" i="3"/>
  <c r="F23" i="3" s="1"/>
  <c r="A24" i="3"/>
  <c r="B24" i="3"/>
  <c r="D24" i="3" s="1"/>
  <c r="A25" i="3"/>
  <c r="B25" i="3"/>
  <c r="D25" i="3" s="1"/>
  <c r="A26" i="3"/>
  <c r="B26" i="3"/>
  <c r="H26" i="3" s="1"/>
  <c r="A27" i="3"/>
  <c r="B27" i="3"/>
  <c r="D27" i="3" s="1"/>
  <c r="A28" i="3"/>
  <c r="B28" i="3"/>
  <c r="F28" i="3" s="1"/>
  <c r="A29" i="3"/>
  <c r="B29" i="3"/>
  <c r="G29" i="3" s="1"/>
  <c r="A30" i="3"/>
  <c r="B30" i="3"/>
  <c r="A31" i="3"/>
  <c r="B31" i="3"/>
  <c r="G31" i="3" s="1"/>
  <c r="A32" i="3"/>
  <c r="B32" i="3"/>
  <c r="D32" i="3" s="1"/>
  <c r="A33" i="3"/>
  <c r="B33" i="3"/>
  <c r="H33" i="3" s="1"/>
  <c r="A34" i="3"/>
  <c r="B34" i="3"/>
  <c r="E34" i="3" s="1"/>
  <c r="A35" i="3"/>
  <c r="B35" i="3"/>
  <c r="G35" i="3" s="1"/>
  <c r="A36" i="3"/>
  <c r="B36" i="3"/>
  <c r="G36" i="3" s="1"/>
  <c r="A37" i="3"/>
  <c r="B37" i="3"/>
  <c r="D37" i="3" s="1"/>
  <c r="A38" i="3"/>
  <c r="B38" i="3"/>
  <c r="D38" i="3" s="1"/>
  <c r="A39" i="3"/>
  <c r="B39" i="3"/>
  <c r="G39" i="3" s="1"/>
  <c r="A40" i="3"/>
  <c r="B40" i="3"/>
  <c r="D40" i="3" s="1"/>
  <c r="A41" i="3"/>
  <c r="B41" i="3"/>
  <c r="H41" i="3" s="1"/>
  <c r="A42" i="3"/>
  <c r="B42" i="3"/>
  <c r="D42" i="3" s="1"/>
  <c r="A43" i="3"/>
  <c r="B43" i="3"/>
  <c r="H43" i="3" s="1"/>
  <c r="A44" i="3"/>
  <c r="B44" i="3"/>
  <c r="D44" i="3" s="1"/>
  <c r="A45" i="3"/>
  <c r="B45" i="3"/>
  <c r="D45" i="3" s="1"/>
  <c r="A46" i="3"/>
  <c r="B46" i="3"/>
  <c r="D46" i="3" s="1"/>
  <c r="A47" i="3"/>
  <c r="B47" i="3"/>
  <c r="D47" i="3" s="1"/>
  <c r="A48" i="3"/>
  <c r="B48" i="3"/>
  <c r="H48" i="3" s="1"/>
  <c r="A49" i="3"/>
  <c r="B49" i="3"/>
  <c r="E49" i="3" s="1"/>
  <c r="A50" i="3"/>
  <c r="B50" i="3"/>
  <c r="H50" i="3" s="1"/>
  <c r="A51" i="3"/>
  <c r="B51" i="3"/>
  <c r="F51" i="3" s="1"/>
  <c r="A52" i="3"/>
  <c r="B52" i="3"/>
  <c r="G52" i="3" s="1"/>
  <c r="A53" i="3"/>
  <c r="B53" i="3"/>
  <c r="F53" i="3" s="1"/>
  <c r="A54" i="3"/>
  <c r="B54" i="3"/>
  <c r="E54" i="3" s="1"/>
  <c r="A55" i="3"/>
  <c r="B55" i="3"/>
  <c r="G55" i="3" s="1"/>
  <c r="A56" i="3"/>
  <c r="B56" i="3"/>
  <c r="E56" i="3" s="1"/>
  <c r="A57" i="3"/>
  <c r="B57" i="3"/>
  <c r="H57" i="3" s="1"/>
  <c r="A58" i="3"/>
  <c r="B58" i="3"/>
  <c r="F58" i="3" s="1"/>
  <c r="A59" i="3"/>
  <c r="B59" i="3"/>
  <c r="G59" i="3" s="1"/>
  <c r="A60" i="3"/>
  <c r="B60" i="3"/>
  <c r="G60" i="3" s="1"/>
  <c r="A61" i="3"/>
  <c r="B61" i="3"/>
  <c r="D61" i="3" s="1"/>
  <c r="A62" i="3"/>
  <c r="B62" i="3"/>
  <c r="D62" i="3" s="1"/>
  <c r="F62" i="3"/>
  <c r="A63" i="3"/>
  <c r="B63" i="3"/>
  <c r="G63" i="3" s="1"/>
  <c r="A64" i="3"/>
  <c r="B64" i="3"/>
  <c r="D64" i="3" s="1"/>
  <c r="A65" i="3"/>
  <c r="B65" i="3"/>
  <c r="H65" i="3" s="1"/>
  <c r="A66" i="3"/>
  <c r="B66" i="3"/>
  <c r="D66" i="3" s="1"/>
  <c r="A67" i="3"/>
  <c r="B67" i="3"/>
  <c r="H67" i="3" s="1"/>
  <c r="A68" i="3"/>
  <c r="B68" i="3"/>
  <c r="F68" i="3" s="1"/>
  <c r="A69" i="3"/>
  <c r="B69" i="3"/>
  <c r="D69" i="3" s="1"/>
  <c r="A70" i="3"/>
  <c r="B70" i="3"/>
  <c r="D70" i="3" s="1"/>
  <c r="A71" i="3"/>
  <c r="B71" i="3"/>
  <c r="D71" i="3" s="1"/>
  <c r="A72" i="3"/>
  <c r="B72" i="3"/>
  <c r="G72" i="3" s="1"/>
  <c r="A73" i="3"/>
  <c r="B73" i="3"/>
  <c r="E73" i="3" s="1"/>
  <c r="D73" i="3"/>
  <c r="A74" i="3"/>
  <c r="B74" i="3"/>
  <c r="A75" i="3"/>
  <c r="B75" i="3"/>
  <c r="E75" i="3" s="1"/>
  <c r="A76" i="3"/>
  <c r="B76" i="3"/>
  <c r="D76" i="3" s="1"/>
  <c r="A77" i="3"/>
  <c r="B77" i="3"/>
  <c r="G77" i="3" s="1"/>
  <c r="E77" i="3"/>
  <c r="A78" i="3"/>
  <c r="B78" i="3"/>
  <c r="E78" i="3" s="1"/>
  <c r="A79" i="3"/>
  <c r="B79" i="3"/>
  <c r="G79" i="3" s="1"/>
  <c r="A80" i="3"/>
  <c r="B80" i="3"/>
  <c r="G80" i="3" s="1"/>
  <c r="A81" i="3"/>
  <c r="B81" i="3"/>
  <c r="A82" i="3"/>
  <c r="B82" i="3"/>
  <c r="F82" i="3" s="1"/>
  <c r="A83" i="3"/>
  <c r="B83" i="3"/>
  <c r="G83" i="3" s="1"/>
  <c r="F83" i="3"/>
  <c r="A84" i="3"/>
  <c r="B84" i="3"/>
  <c r="G84" i="3" s="1"/>
  <c r="A85" i="3"/>
  <c r="B85" i="3"/>
  <c r="A86" i="3"/>
  <c r="B86" i="3"/>
  <c r="D86" i="3" s="1"/>
  <c r="A87" i="3"/>
  <c r="B87" i="3"/>
  <c r="G87" i="3" s="1"/>
  <c r="A88" i="3"/>
  <c r="B88" i="3"/>
  <c r="D88" i="3" s="1"/>
  <c r="A89" i="3"/>
  <c r="B89" i="3"/>
  <c r="H89" i="3" s="1"/>
  <c r="A90" i="3"/>
  <c r="B90" i="3"/>
  <c r="D90" i="3" s="1"/>
  <c r="A91" i="3"/>
  <c r="B91" i="3"/>
  <c r="H91" i="3" s="1"/>
  <c r="A92" i="3"/>
  <c r="B92" i="3"/>
  <c r="D92" i="3" s="1"/>
  <c r="A93" i="3"/>
  <c r="B93" i="3"/>
  <c r="F93" i="3" s="1"/>
  <c r="A94" i="3"/>
  <c r="B94" i="3"/>
  <c r="D94" i="3" s="1"/>
  <c r="A95" i="3"/>
  <c r="B95" i="3"/>
  <c r="D95" i="3" s="1"/>
  <c r="A96" i="3"/>
  <c r="B96" i="3"/>
  <c r="F96" i="3" s="1"/>
  <c r="A97" i="3"/>
  <c r="B97" i="3"/>
  <c r="F97" i="3" s="1"/>
  <c r="A98" i="3"/>
  <c r="B98" i="3"/>
  <c r="H98" i="3" s="1"/>
  <c r="A99" i="3"/>
  <c r="B99" i="3"/>
  <c r="D99" i="3" s="1"/>
  <c r="A100" i="3"/>
  <c r="B100" i="3"/>
  <c r="D100" i="3" s="1"/>
  <c r="A101" i="3"/>
  <c r="B101" i="3"/>
  <c r="F101" i="3" s="1"/>
  <c r="D101" i="3"/>
  <c r="E101" i="3"/>
  <c r="A102" i="3"/>
  <c r="B102" i="3"/>
  <c r="E102" i="3" s="1"/>
  <c r="A103" i="3"/>
  <c r="B103" i="3"/>
  <c r="G103" i="3" s="1"/>
  <c r="A104" i="3"/>
  <c r="B104" i="3"/>
  <c r="G104" i="3" s="1"/>
  <c r="A105" i="3"/>
  <c r="B105" i="3"/>
  <c r="G105" i="3" s="1"/>
  <c r="A106" i="3"/>
  <c r="B106" i="3"/>
  <c r="F106" i="3" s="1"/>
  <c r="G106" i="3"/>
  <c r="A107" i="3"/>
  <c r="B107" i="3"/>
  <c r="G107" i="3" s="1"/>
  <c r="A108" i="3"/>
  <c r="B108" i="3"/>
  <c r="H108" i="3" s="1"/>
  <c r="A109" i="3"/>
  <c r="B109" i="3"/>
  <c r="E109" i="3" s="1"/>
  <c r="A110" i="3"/>
  <c r="B110" i="3"/>
  <c r="D110" i="3" s="1"/>
  <c r="A111" i="3"/>
  <c r="B111" i="3"/>
  <c r="G111" i="3" s="1"/>
  <c r="D111" i="3"/>
  <c r="A112" i="3"/>
  <c r="B112" i="3"/>
  <c r="A113" i="3"/>
  <c r="B113" i="3"/>
  <c r="H113" i="3" s="1"/>
  <c r="A114" i="3"/>
  <c r="B114" i="3"/>
  <c r="D114" i="3" s="1"/>
  <c r="A115" i="3"/>
  <c r="B115" i="3"/>
  <c r="H115" i="3" s="1"/>
  <c r="A116" i="3"/>
  <c r="B116" i="3"/>
  <c r="D116" i="3" s="1"/>
  <c r="A117" i="3"/>
  <c r="B117" i="3"/>
  <c r="G117" i="3" s="1"/>
  <c r="E117" i="3"/>
  <c r="A118" i="3"/>
  <c r="B118" i="3"/>
  <c r="D118" i="3" s="1"/>
  <c r="A119" i="3"/>
  <c r="B119" i="3"/>
  <c r="A120" i="3"/>
  <c r="B120" i="3"/>
  <c r="G120" i="3" s="1"/>
  <c r="A121" i="3"/>
  <c r="B121" i="3"/>
  <c r="E121" i="3" s="1"/>
  <c r="A122" i="3"/>
  <c r="B122" i="3"/>
  <c r="G122" i="3" s="1"/>
  <c r="A123" i="3"/>
  <c r="B123" i="3"/>
  <c r="E123" i="3" s="1"/>
  <c r="A124" i="3"/>
  <c r="B124" i="3"/>
  <c r="F124" i="3" s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D21" i="1"/>
  <c r="D254" i="2"/>
  <c r="C254" i="2"/>
  <c r="D124" i="1"/>
  <c r="D122" i="1"/>
  <c r="D120" i="1"/>
  <c r="D110" i="1"/>
  <c r="D101" i="1"/>
  <c r="D99" i="1"/>
  <c r="D94" i="1"/>
  <c r="D93" i="1"/>
  <c r="D91" i="1"/>
  <c r="D80" i="1"/>
  <c r="D79" i="1"/>
  <c r="D75" i="1"/>
  <c r="D72" i="1"/>
  <c r="D70" i="1"/>
  <c r="D68" i="1"/>
  <c r="D66" i="1"/>
  <c r="D62" i="1"/>
  <c r="D58" i="1"/>
  <c r="D57" i="1"/>
  <c r="D56" i="1"/>
  <c r="D55" i="1"/>
  <c r="D54" i="1"/>
  <c r="D52" i="1"/>
  <c r="D51" i="1"/>
  <c r="D50" i="1"/>
  <c r="D48" i="1"/>
  <c r="D43" i="1"/>
  <c r="D42" i="1"/>
  <c r="D40" i="1"/>
  <c r="D37" i="1"/>
  <c r="D36" i="1"/>
  <c r="D30" i="1"/>
  <c r="D24" i="1"/>
  <c r="D23" i="1"/>
  <c r="D15" i="1"/>
  <c r="D14" i="1"/>
  <c r="D13" i="1"/>
  <c r="D12" i="1"/>
  <c r="D7" i="1"/>
  <c r="D242" i="2"/>
  <c r="C242" i="2"/>
  <c r="D230" i="2"/>
  <c r="C230" i="2"/>
  <c r="I4" i="1"/>
  <c r="D218" i="2"/>
  <c r="C218" i="2"/>
  <c r="D208" i="2"/>
  <c r="C208" i="2"/>
  <c r="D192" i="2"/>
  <c r="C192" i="2"/>
  <c r="D180" i="2"/>
  <c r="C180" i="2"/>
  <c r="D168" i="2"/>
  <c r="C168" i="2"/>
  <c r="D156" i="2"/>
  <c r="C156" i="2"/>
  <c r="D144" i="2"/>
  <c r="C144" i="2"/>
  <c r="D132" i="2"/>
  <c r="C132" i="2"/>
  <c r="G48" i="3" l="1"/>
  <c r="D13" i="3"/>
  <c r="G8" i="3"/>
  <c r="D109" i="3"/>
  <c r="E29" i="3"/>
  <c r="E80" i="3"/>
  <c r="D23" i="3"/>
  <c r="E28" i="3"/>
  <c r="D77" i="3"/>
  <c r="F26" i="3"/>
  <c r="F21" i="3"/>
  <c r="E42" i="3"/>
  <c r="E21" i="3"/>
  <c r="G113" i="3"/>
  <c r="D93" i="3"/>
  <c r="F72" i="3"/>
  <c r="E113" i="3"/>
  <c r="D72" i="3"/>
  <c r="F55" i="3"/>
  <c r="F117" i="3"/>
  <c r="D121" i="3"/>
  <c r="D107" i="3"/>
  <c r="E92" i="3"/>
  <c r="F32" i="3"/>
  <c r="F116" i="3"/>
  <c r="E120" i="3"/>
  <c r="F111" i="3"/>
  <c r="D48" i="3"/>
  <c r="H31" i="3"/>
  <c r="E52" i="3"/>
  <c r="F31" i="3"/>
  <c r="H101" i="3"/>
  <c r="G101" i="3"/>
  <c r="G26" i="3"/>
  <c r="D17" i="3"/>
  <c r="F104" i="3"/>
  <c r="E104" i="3"/>
  <c r="F70" i="3"/>
  <c r="F38" i="3"/>
  <c r="D28" i="3"/>
  <c r="D123" i="3"/>
  <c r="E114" i="3"/>
  <c r="E106" i="3"/>
  <c r="E72" i="3"/>
  <c r="E62" i="3"/>
  <c r="F8" i="3"/>
  <c r="D35" i="3"/>
  <c r="E55" i="3"/>
  <c r="E38" i="3"/>
  <c r="G34" i="3"/>
  <c r="D117" i="3"/>
  <c r="F113" i="3"/>
  <c r="D104" i="3"/>
  <c r="F80" i="3"/>
  <c r="D55" i="3"/>
  <c r="D51" i="3"/>
  <c r="E23" i="3"/>
  <c r="F10" i="3"/>
  <c r="D120" i="3"/>
  <c r="D113" i="3"/>
  <c r="D80" i="3"/>
  <c r="E37" i="3"/>
  <c r="F29" i="3"/>
  <c r="G62" i="3"/>
  <c r="G22" i="3"/>
  <c r="H25" i="3"/>
  <c r="H122" i="3"/>
  <c r="H39" i="3"/>
  <c r="F17" i="3"/>
  <c r="G108" i="3"/>
  <c r="H105" i="3"/>
  <c r="G66" i="3"/>
  <c r="G25" i="3"/>
  <c r="E118" i="3"/>
  <c r="H111" i="3"/>
  <c r="F108" i="3"/>
  <c r="G70" i="3"/>
  <c r="F66" i="3"/>
  <c r="D56" i="3"/>
  <c r="F52" i="3"/>
  <c r="F39" i="3"/>
  <c r="F25" i="3"/>
  <c r="E17" i="3"/>
  <c r="E12" i="3"/>
  <c r="E111" i="3"/>
  <c r="E97" i="3"/>
  <c r="F92" i="3"/>
  <c r="F77" i="3"/>
  <c r="E70" i="3"/>
  <c r="D52" i="3"/>
  <c r="D8" i="3"/>
  <c r="E31" i="3"/>
  <c r="H118" i="3"/>
  <c r="G118" i="3"/>
  <c r="G94" i="3"/>
  <c r="F118" i="3"/>
  <c r="F115" i="3"/>
  <c r="F94" i="3"/>
  <c r="E58" i="3"/>
  <c r="E46" i="3"/>
  <c r="F11" i="3"/>
  <c r="D96" i="3"/>
  <c r="E83" i="3"/>
  <c r="H79" i="3"/>
  <c r="E68" i="3"/>
  <c r="D53" i="3"/>
  <c r="E5" i="3"/>
  <c r="I5" i="3" s="1"/>
  <c r="F79" i="3"/>
  <c r="D75" i="3"/>
  <c r="D68" i="3"/>
  <c r="F16" i="3"/>
  <c r="H46" i="3"/>
  <c r="E63" i="3"/>
  <c r="H60" i="3"/>
  <c r="H52" i="3"/>
  <c r="G46" i="3"/>
  <c r="H42" i="3"/>
  <c r="D39" i="3"/>
  <c r="E32" i="3"/>
  <c r="D29" i="3"/>
  <c r="D19" i="3"/>
  <c r="F120" i="3"/>
  <c r="F114" i="3"/>
  <c r="D63" i="3"/>
  <c r="D49" i="3"/>
  <c r="F46" i="3"/>
  <c r="G42" i="3"/>
  <c r="E35" i="3"/>
  <c r="D97" i="3"/>
  <c r="E94" i="3"/>
  <c r="D83" i="3"/>
  <c r="E66" i="3"/>
  <c r="H59" i="3"/>
  <c r="H56" i="3"/>
  <c r="F48" i="3"/>
  <c r="F42" i="3"/>
  <c r="D31" i="3"/>
  <c r="E25" i="3"/>
  <c r="F59" i="3"/>
  <c r="G56" i="3"/>
  <c r="E103" i="3"/>
  <c r="E59" i="3"/>
  <c r="F56" i="3"/>
  <c r="G86" i="3"/>
  <c r="F86" i="3"/>
  <c r="F75" i="3"/>
  <c r="H38" i="3"/>
  <c r="H35" i="3"/>
  <c r="H32" i="3"/>
  <c r="H21" i="3"/>
  <c r="D124" i="3"/>
  <c r="D103" i="3"/>
  <c r="E96" i="3"/>
  <c r="E93" i="3"/>
  <c r="E90" i="3"/>
  <c r="E86" i="3"/>
  <c r="E82" i="3"/>
  <c r="D59" i="3"/>
  <c r="E53" i="3"/>
  <c r="E44" i="3"/>
  <c r="G38" i="3"/>
  <c r="F35" i="3"/>
  <c r="G32" i="3"/>
  <c r="H14" i="3"/>
  <c r="E116" i="3"/>
  <c r="H84" i="3"/>
  <c r="E79" i="3"/>
  <c r="H76" i="3"/>
  <c r="E20" i="3"/>
  <c r="G14" i="3"/>
  <c r="E124" i="3"/>
  <c r="D87" i="3"/>
  <c r="D79" i="3"/>
  <c r="G76" i="3"/>
  <c r="E51" i="3"/>
  <c r="E48" i="3"/>
  <c r="E39" i="3"/>
  <c r="D20" i="3"/>
  <c r="F99" i="3"/>
  <c r="H93" i="3"/>
  <c r="F76" i="3"/>
  <c r="F110" i="3"/>
  <c r="G93" i="3"/>
  <c r="H80" i="3"/>
  <c r="E76" i="3"/>
  <c r="H63" i="3"/>
  <c r="G58" i="3"/>
  <c r="H16" i="3"/>
  <c r="H10" i="3"/>
  <c r="H120" i="3"/>
  <c r="H104" i="3"/>
  <c r="E99" i="3"/>
  <c r="E110" i="3"/>
  <c r="H86" i="3"/>
  <c r="H83" i="3"/>
  <c r="H66" i="3"/>
  <c r="F63" i="3"/>
  <c r="F44" i="3"/>
  <c r="G16" i="3"/>
  <c r="E13" i="3"/>
  <c r="H107" i="3"/>
  <c r="H90" i="3"/>
  <c r="H87" i="3"/>
  <c r="H53" i="3"/>
  <c r="G49" i="3"/>
  <c r="F34" i="3"/>
  <c r="H20" i="3"/>
  <c r="E16" i="3"/>
  <c r="H13" i="3"/>
  <c r="E11" i="3"/>
  <c r="F9" i="3"/>
  <c r="F7" i="3"/>
  <c r="H121" i="3"/>
  <c r="H73" i="3"/>
  <c r="H49" i="3"/>
  <c r="G121" i="3"/>
  <c r="H114" i="3"/>
  <c r="F107" i="3"/>
  <c r="G97" i="3"/>
  <c r="F73" i="3"/>
  <c r="G53" i="3"/>
  <c r="F49" i="3"/>
  <c r="H36" i="3"/>
  <c r="H29" i="3"/>
  <c r="G20" i="3"/>
  <c r="H17" i="3"/>
  <c r="G13" i="3"/>
  <c r="E9" i="3"/>
  <c r="E7" i="3"/>
  <c r="H9" i="3"/>
  <c r="G9" i="3"/>
  <c r="H97" i="3"/>
  <c r="G73" i="3"/>
  <c r="F123" i="3"/>
  <c r="F121" i="3"/>
  <c r="G90" i="3"/>
  <c r="F87" i="3"/>
  <c r="G82" i="3"/>
  <c r="H77" i="3"/>
  <c r="G114" i="3"/>
  <c r="E107" i="3"/>
  <c r="H94" i="3"/>
  <c r="F90" i="3"/>
  <c r="E87" i="3"/>
  <c r="H70" i="3"/>
  <c r="H62" i="3"/>
  <c r="H55" i="3"/>
  <c r="D41" i="3"/>
  <c r="G119" i="3"/>
  <c r="E119" i="3"/>
  <c r="F119" i="3"/>
  <c r="H119" i="3"/>
  <c r="D119" i="3"/>
  <c r="E112" i="3"/>
  <c r="F112" i="3"/>
  <c r="G112" i="3"/>
  <c r="D112" i="3"/>
  <c r="H112" i="3"/>
  <c r="D74" i="3"/>
  <c r="E74" i="3"/>
  <c r="F74" i="3"/>
  <c r="G74" i="3"/>
  <c r="F85" i="3"/>
  <c r="H85" i="3"/>
  <c r="G85" i="3"/>
  <c r="D81" i="3"/>
  <c r="F81" i="3"/>
  <c r="G81" i="3"/>
  <c r="E81" i="3"/>
  <c r="D50" i="3"/>
  <c r="E50" i="3"/>
  <c r="F50" i="3"/>
  <c r="G50" i="3"/>
  <c r="D122" i="3"/>
  <c r="E122" i="3"/>
  <c r="F122" i="3"/>
  <c r="F61" i="3"/>
  <c r="G61" i="3"/>
  <c r="H61" i="3"/>
  <c r="D57" i="3"/>
  <c r="E57" i="3"/>
  <c r="F57" i="3"/>
  <c r="G57" i="3"/>
  <c r="F24" i="3"/>
  <c r="G24" i="3"/>
  <c r="H24" i="3"/>
  <c r="D6" i="3"/>
  <c r="E6" i="3"/>
  <c r="F6" i="3"/>
  <c r="G6" i="3"/>
  <c r="H6" i="3"/>
  <c r="G115" i="3"/>
  <c r="D115" i="3"/>
  <c r="E115" i="3"/>
  <c r="D108" i="3"/>
  <c r="E108" i="3"/>
  <c r="F37" i="3"/>
  <c r="G37" i="3"/>
  <c r="H37" i="3"/>
  <c r="D33" i="3"/>
  <c r="E33" i="3"/>
  <c r="F33" i="3"/>
  <c r="G33" i="3"/>
  <c r="D22" i="3"/>
  <c r="E22" i="3"/>
  <c r="G19" i="3"/>
  <c r="H19" i="3"/>
  <c r="G15" i="3"/>
  <c r="H15" i="3"/>
  <c r="E15" i="3"/>
  <c r="F15" i="3"/>
  <c r="D106" i="3"/>
  <c r="H106" i="3"/>
  <c r="G92" i="3"/>
  <c r="H92" i="3"/>
  <c r="E88" i="3"/>
  <c r="F88" i="3"/>
  <c r="G88" i="3"/>
  <c r="H88" i="3"/>
  <c r="E84" i="3"/>
  <c r="D84" i="3"/>
  <c r="F84" i="3"/>
  <c r="H69" i="3"/>
  <c r="G68" i="3"/>
  <c r="H68" i="3"/>
  <c r="E64" i="3"/>
  <c r="F64" i="3"/>
  <c r="H64" i="3"/>
  <c r="G64" i="3"/>
  <c r="D18" i="3"/>
  <c r="E18" i="3"/>
  <c r="F18" i="3"/>
  <c r="H18" i="3"/>
  <c r="G18" i="3"/>
  <c r="H100" i="3"/>
  <c r="G99" i="3"/>
  <c r="H99" i="3"/>
  <c r="G95" i="3"/>
  <c r="E95" i="3"/>
  <c r="H95" i="3"/>
  <c r="F95" i="3"/>
  <c r="G89" i="3"/>
  <c r="G69" i="3"/>
  <c r="D60" i="3"/>
  <c r="F60" i="3"/>
  <c r="E60" i="3"/>
  <c r="H45" i="3"/>
  <c r="G44" i="3"/>
  <c r="H44" i="3"/>
  <c r="E40" i="3"/>
  <c r="G40" i="3"/>
  <c r="F40" i="3"/>
  <c r="H40" i="3"/>
  <c r="G27" i="3"/>
  <c r="H27" i="3"/>
  <c r="E27" i="3"/>
  <c r="F27" i="3"/>
  <c r="D102" i="3"/>
  <c r="F102" i="3"/>
  <c r="G102" i="3"/>
  <c r="H102" i="3"/>
  <c r="G100" i="3"/>
  <c r="F89" i="3"/>
  <c r="D82" i="3"/>
  <c r="H82" i="3"/>
  <c r="G75" i="3"/>
  <c r="H75" i="3"/>
  <c r="G71" i="3"/>
  <c r="E71" i="3"/>
  <c r="F71" i="3"/>
  <c r="H71" i="3"/>
  <c r="F69" i="3"/>
  <c r="G65" i="3"/>
  <c r="G45" i="3"/>
  <c r="D36" i="3"/>
  <c r="E36" i="3"/>
  <c r="F36" i="3"/>
  <c r="H124" i="3"/>
  <c r="G123" i="3"/>
  <c r="H123" i="3"/>
  <c r="F109" i="3"/>
  <c r="G109" i="3"/>
  <c r="H109" i="3"/>
  <c r="F100" i="3"/>
  <c r="H96" i="3"/>
  <c r="G91" i="3"/>
  <c r="D91" i="3"/>
  <c r="E91" i="3"/>
  <c r="F91" i="3"/>
  <c r="E89" i="3"/>
  <c r="D78" i="3"/>
  <c r="F78" i="3"/>
  <c r="H78" i="3"/>
  <c r="G78" i="3"/>
  <c r="E69" i="3"/>
  <c r="F65" i="3"/>
  <c r="D58" i="3"/>
  <c r="H58" i="3"/>
  <c r="G51" i="3"/>
  <c r="H51" i="3"/>
  <c r="G47" i="3"/>
  <c r="E47" i="3"/>
  <c r="F47" i="3"/>
  <c r="H47" i="3"/>
  <c r="F45" i="3"/>
  <c r="G41" i="3"/>
  <c r="H28" i="3"/>
  <c r="C5" i="3"/>
  <c r="G124" i="3"/>
  <c r="H117" i="3"/>
  <c r="G116" i="3"/>
  <c r="H116" i="3"/>
  <c r="H110" i="3"/>
  <c r="H103" i="3"/>
  <c r="E100" i="3"/>
  <c r="G96" i="3"/>
  <c r="D89" i="3"/>
  <c r="E85" i="3"/>
  <c r="H72" i="3"/>
  <c r="G67" i="3"/>
  <c r="F67" i="3"/>
  <c r="D67" i="3"/>
  <c r="E67" i="3"/>
  <c r="E65" i="3"/>
  <c r="D54" i="3"/>
  <c r="F54" i="3"/>
  <c r="G54" i="3"/>
  <c r="H54" i="3"/>
  <c r="E45" i="3"/>
  <c r="F41" i="3"/>
  <c r="D34" i="3"/>
  <c r="H34" i="3"/>
  <c r="D30" i="3"/>
  <c r="E30" i="3"/>
  <c r="F30" i="3"/>
  <c r="G30" i="3"/>
  <c r="H30" i="3"/>
  <c r="G28" i="3"/>
  <c r="F12" i="3"/>
  <c r="H12" i="3"/>
  <c r="G12" i="3"/>
  <c r="G110" i="3"/>
  <c r="D105" i="3"/>
  <c r="E105" i="3"/>
  <c r="F105" i="3"/>
  <c r="F103" i="3"/>
  <c r="D98" i="3"/>
  <c r="F98" i="3"/>
  <c r="G98" i="3"/>
  <c r="E98" i="3"/>
  <c r="D85" i="3"/>
  <c r="H81" i="3"/>
  <c r="H74" i="3"/>
  <c r="D65" i="3"/>
  <c r="E61" i="3"/>
  <c r="G43" i="3"/>
  <c r="E43" i="3"/>
  <c r="D43" i="3"/>
  <c r="F43" i="3"/>
  <c r="E41" i="3"/>
  <c r="E24" i="3"/>
  <c r="H22" i="3"/>
  <c r="F19" i="3"/>
  <c r="D10" i="3"/>
  <c r="E10" i="3"/>
  <c r="G7" i="3"/>
  <c r="H7" i="3"/>
  <c r="G11" i="3"/>
  <c r="H11" i="3"/>
  <c r="D26" i="3"/>
  <c r="E26" i="3"/>
  <c r="D14" i="3"/>
  <c r="E14" i="3"/>
  <c r="G23" i="3"/>
  <c r="H23" i="3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21" i="3" l="1"/>
  <c r="I101" i="3"/>
  <c r="C70" i="3"/>
  <c r="I113" i="3"/>
  <c r="C72" i="3"/>
  <c r="C101" i="3"/>
  <c r="C111" i="3"/>
  <c r="C38" i="3"/>
  <c r="C8" i="3"/>
  <c r="C113" i="3"/>
  <c r="I111" i="3"/>
  <c r="C118" i="3"/>
  <c r="C120" i="3"/>
  <c r="I8" i="3"/>
  <c r="C55" i="3"/>
  <c r="I62" i="3"/>
  <c r="C52" i="3"/>
  <c r="I25" i="3"/>
  <c r="I79" i="3"/>
  <c r="I31" i="3"/>
  <c r="I66" i="3"/>
  <c r="C80" i="3"/>
  <c r="I120" i="3"/>
  <c r="I77" i="3"/>
  <c r="I118" i="3"/>
  <c r="C17" i="3"/>
  <c r="C104" i="3"/>
  <c r="C35" i="3"/>
  <c r="C83" i="3"/>
  <c r="I96" i="3"/>
  <c r="I42" i="3"/>
  <c r="I46" i="3"/>
  <c r="I52" i="3"/>
  <c r="C93" i="3"/>
  <c r="I86" i="3"/>
  <c r="I59" i="3"/>
  <c r="C56" i="3"/>
  <c r="C29" i="3"/>
  <c r="C21" i="3"/>
  <c r="C25" i="3"/>
  <c r="C95" i="3"/>
  <c r="C64" i="3"/>
  <c r="C31" i="3"/>
  <c r="I104" i="3"/>
  <c r="C46" i="3"/>
  <c r="H46" i="1" s="1"/>
  <c r="I39" i="3"/>
  <c r="I56" i="3"/>
  <c r="I12" i="3"/>
  <c r="C32" i="3"/>
  <c r="C59" i="3"/>
  <c r="C79" i="3"/>
  <c r="C86" i="3"/>
  <c r="I93" i="3"/>
  <c r="C63" i="3"/>
  <c r="I35" i="3"/>
  <c r="I63" i="3"/>
  <c r="I32" i="3"/>
  <c r="I38" i="3"/>
  <c r="C9" i="3"/>
  <c r="C47" i="3"/>
  <c r="I94" i="3"/>
  <c r="C42" i="3"/>
  <c r="I107" i="3"/>
  <c r="I114" i="3"/>
  <c r="I83" i="3"/>
  <c r="I55" i="3"/>
  <c r="I76" i="3"/>
  <c r="C39" i="3"/>
  <c r="I48" i="3"/>
  <c r="C48" i="3"/>
  <c r="C76" i="3"/>
  <c r="C66" i="3"/>
  <c r="C16" i="3"/>
  <c r="I80" i="3"/>
  <c r="C44" i="3"/>
  <c r="C92" i="3"/>
  <c r="C116" i="3"/>
  <c r="I97" i="3"/>
  <c r="I71" i="3"/>
  <c r="I87" i="3"/>
  <c r="C73" i="3"/>
  <c r="I20" i="3"/>
  <c r="I23" i="3"/>
  <c r="I121" i="3"/>
  <c r="C87" i="3"/>
  <c r="C45" i="3"/>
  <c r="I103" i="3"/>
  <c r="C13" i="3"/>
  <c r="I95" i="3"/>
  <c r="C61" i="3"/>
  <c r="I73" i="3"/>
  <c r="I17" i="3"/>
  <c r="I19" i="3"/>
  <c r="I123" i="3"/>
  <c r="I13" i="3"/>
  <c r="C121" i="3"/>
  <c r="C11" i="3"/>
  <c r="C20" i="3"/>
  <c r="C97" i="3"/>
  <c r="C37" i="3"/>
  <c r="C49" i="3"/>
  <c r="C94" i="3"/>
  <c r="I49" i="3"/>
  <c r="C103" i="3"/>
  <c r="I37" i="3"/>
  <c r="I45" i="3"/>
  <c r="I53" i="3"/>
  <c r="I29" i="3"/>
  <c r="I7" i="3"/>
  <c r="I116" i="3"/>
  <c r="I90" i="3"/>
  <c r="I110" i="3"/>
  <c r="I51" i="3"/>
  <c r="I15" i="3"/>
  <c r="I9" i="3"/>
  <c r="C40" i="3"/>
  <c r="C19" i="3"/>
  <c r="I16" i="3"/>
  <c r="I28" i="3"/>
  <c r="I100" i="3"/>
  <c r="C109" i="3"/>
  <c r="C90" i="3"/>
  <c r="C62" i="3"/>
  <c r="I70" i="3"/>
  <c r="I92" i="3"/>
  <c r="C77" i="3"/>
  <c r="I69" i="3"/>
  <c r="I47" i="3"/>
  <c r="C51" i="3"/>
  <c r="I61" i="3"/>
  <c r="C107" i="3"/>
  <c r="C71" i="3"/>
  <c r="C114" i="3"/>
  <c r="C123" i="3"/>
  <c r="C53" i="3"/>
  <c r="C28" i="3"/>
  <c r="I72" i="3"/>
  <c r="C12" i="3"/>
  <c r="C110" i="3"/>
  <c r="C67" i="3"/>
  <c r="I67" i="3"/>
  <c r="I117" i="3"/>
  <c r="C117" i="3"/>
  <c r="C124" i="3"/>
  <c r="H124" i="1" s="1"/>
  <c r="I124" i="3"/>
  <c r="C36" i="3"/>
  <c r="I36" i="3"/>
  <c r="I75" i="3"/>
  <c r="C75" i="3"/>
  <c r="I88" i="3"/>
  <c r="C88" i="3"/>
  <c r="I30" i="3"/>
  <c r="C30" i="3"/>
  <c r="I24" i="3"/>
  <c r="I41" i="3"/>
  <c r="C41" i="3"/>
  <c r="C99" i="3"/>
  <c r="I99" i="3"/>
  <c r="C24" i="3"/>
  <c r="I81" i="3"/>
  <c r="C81" i="3"/>
  <c r="C27" i="3"/>
  <c r="I27" i="3"/>
  <c r="C91" i="3"/>
  <c r="I91" i="3"/>
  <c r="I68" i="3"/>
  <c r="C68" i="3"/>
  <c r="C108" i="3"/>
  <c r="H108" i="1" s="1"/>
  <c r="I108" i="3"/>
  <c r="C60" i="3"/>
  <c r="I60" i="3"/>
  <c r="C33" i="3"/>
  <c r="I33" i="3"/>
  <c r="C96" i="3"/>
  <c r="I34" i="3"/>
  <c r="C34" i="3"/>
  <c r="I82" i="3"/>
  <c r="C82" i="3"/>
  <c r="C115" i="3"/>
  <c r="H115" i="1" s="1"/>
  <c r="I115" i="3"/>
  <c r="C119" i="3"/>
  <c r="I119" i="3"/>
  <c r="I18" i="3"/>
  <c r="C18" i="3"/>
  <c r="C7" i="3"/>
  <c r="I109" i="3"/>
  <c r="I40" i="3"/>
  <c r="C84" i="3"/>
  <c r="I84" i="3"/>
  <c r="C122" i="3"/>
  <c r="I122" i="3"/>
  <c r="C100" i="3"/>
  <c r="H100" i="1" s="1"/>
  <c r="I11" i="3"/>
  <c r="I58" i="3"/>
  <c r="C58" i="3"/>
  <c r="C74" i="3"/>
  <c r="I74" i="3"/>
  <c r="I65" i="3"/>
  <c r="C65" i="3"/>
  <c r="I44" i="3"/>
  <c r="I106" i="3"/>
  <c r="C106" i="3"/>
  <c r="I6" i="3"/>
  <c r="C6" i="3"/>
  <c r="I57" i="3"/>
  <c r="C57" i="3"/>
  <c r="C15" i="3"/>
  <c r="C69" i="3"/>
  <c r="C10" i="3"/>
  <c r="I10" i="3"/>
  <c r="I54" i="3"/>
  <c r="C54" i="3"/>
  <c r="C102" i="3"/>
  <c r="I102" i="3"/>
  <c r="C23" i="3"/>
  <c r="C112" i="3"/>
  <c r="I112" i="3"/>
  <c r="I85" i="3"/>
  <c r="C85" i="3"/>
  <c r="I22" i="3"/>
  <c r="C22" i="3"/>
  <c r="C14" i="3"/>
  <c r="I14" i="3"/>
  <c r="C43" i="3"/>
  <c r="I43" i="3"/>
  <c r="C98" i="3"/>
  <c r="I98" i="3"/>
  <c r="C26" i="3"/>
  <c r="H26" i="1" s="1"/>
  <c r="I26" i="3"/>
  <c r="I89" i="3"/>
  <c r="C89" i="3"/>
  <c r="C105" i="3"/>
  <c r="I105" i="3"/>
  <c r="C50" i="3"/>
  <c r="I50" i="3"/>
  <c r="I78" i="3"/>
  <c r="C78" i="3"/>
  <c r="I64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117" i="1" l="1"/>
  <c r="H99" i="1"/>
  <c r="H57" i="1"/>
  <c r="H96" i="1"/>
  <c r="H119" i="1"/>
  <c r="H102" i="1"/>
  <c r="H114" i="1"/>
  <c r="H11" i="1"/>
  <c r="H91" i="1"/>
  <c r="H39" i="1"/>
  <c r="H10" i="1"/>
  <c r="H105" i="1"/>
  <c r="H32" i="1"/>
  <c r="H85" i="1"/>
  <c r="H58" i="1"/>
  <c r="H62" i="1"/>
  <c r="H5" i="1"/>
  <c r="H48" i="1"/>
  <c r="H94" i="1"/>
  <c r="H116" i="1"/>
  <c r="H64" i="1"/>
  <c r="H118" i="1"/>
  <c r="H69" i="1"/>
  <c r="H74" i="1"/>
  <c r="H33" i="1"/>
  <c r="H28" i="1"/>
  <c r="H37" i="1"/>
  <c r="H13" i="1"/>
  <c r="H92" i="1"/>
  <c r="H89" i="1"/>
  <c r="H15" i="1"/>
  <c r="H24" i="1"/>
  <c r="H97" i="1"/>
  <c r="H44" i="1"/>
  <c r="H25" i="1"/>
  <c r="H60" i="1"/>
  <c r="H123" i="1"/>
  <c r="H79" i="1"/>
  <c r="H21" i="1"/>
  <c r="H38" i="1"/>
  <c r="H47" i="1"/>
  <c r="H20" i="1"/>
  <c r="H106" i="1"/>
  <c r="H43" i="1"/>
  <c r="H66" i="1"/>
  <c r="H63" i="1"/>
  <c r="H9" i="1"/>
  <c r="H112" i="1"/>
  <c r="H51" i="1"/>
  <c r="H65" i="1"/>
  <c r="H110" i="1"/>
  <c r="H93" i="1"/>
  <c r="H78" i="1"/>
  <c r="H50" i="1"/>
  <c r="H27" i="1"/>
  <c r="H12" i="1"/>
  <c r="H77" i="1"/>
  <c r="H61" i="1"/>
  <c r="H80" i="1"/>
  <c r="H36" i="1"/>
  <c r="H87" i="1"/>
  <c r="H71" i="1"/>
  <c r="H16" i="1"/>
  <c r="H22" i="1"/>
  <c r="H7" i="1"/>
  <c r="H81" i="1"/>
  <c r="H75" i="1"/>
  <c r="H86" i="1"/>
  <c r="H29" i="1"/>
  <c r="H49" i="1"/>
  <c r="H18" i="1"/>
  <c r="H53" i="1"/>
  <c r="H52" i="1"/>
  <c r="H90" i="1"/>
  <c r="H45" i="1"/>
  <c r="H76" i="1"/>
  <c r="H98" i="1"/>
  <c r="H122" i="1"/>
  <c r="H30" i="1"/>
  <c r="H19" i="1"/>
  <c r="H73" i="1"/>
  <c r="H42" i="1"/>
  <c r="H56" i="1"/>
  <c r="H54" i="1"/>
  <c r="H84" i="1"/>
  <c r="H67" i="1"/>
  <c r="H40" i="1"/>
  <c r="H103" i="1"/>
  <c r="H55" i="1"/>
  <c r="H83" i="1"/>
  <c r="H120" i="1"/>
  <c r="H101" i="1"/>
  <c r="H109" i="1"/>
  <c r="H113" i="1"/>
  <c r="H6" i="1"/>
  <c r="H121" i="1"/>
  <c r="H70" i="1"/>
  <c r="H23" i="1"/>
  <c r="H68" i="1"/>
  <c r="H107" i="1"/>
  <c r="H35" i="1"/>
  <c r="H59" i="1"/>
  <c r="H95" i="1"/>
  <c r="H82" i="1"/>
  <c r="H111" i="1"/>
  <c r="H88" i="1"/>
  <c r="H31" i="1"/>
  <c r="H72" i="1"/>
  <c r="H104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2" i="8" l="1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O17" i="3" s="1"/>
  <c r="A4" i="3"/>
  <c r="H2" i="1"/>
  <c r="O16" i="3" l="1"/>
  <c r="O18" i="3"/>
  <c r="S16" i="3"/>
  <c r="U12" i="3"/>
  <c r="U11" i="3"/>
  <c r="O15" i="3"/>
  <c r="Q18" i="3"/>
  <c r="U10" i="3"/>
  <c r="M16" i="3"/>
  <c r="O13" i="3"/>
  <c r="O14" i="3"/>
  <c r="U9" i="3"/>
  <c r="U8" i="3"/>
  <c r="Q17" i="3"/>
  <c r="Q16" i="3"/>
  <c r="Q15" i="3"/>
  <c r="M5" i="3"/>
  <c r="M6" i="3"/>
  <c r="M7" i="3"/>
  <c r="M9" i="3"/>
  <c r="M8" i="3"/>
  <c r="M14" i="3"/>
  <c r="Q14" i="3"/>
  <c r="O11" i="3"/>
  <c r="S15" i="3"/>
  <c r="S14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Q6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0" i="3" l="1"/>
  <c r="C4" i="3"/>
  <c r="H14" i="1" s="1"/>
  <c r="M15" i="3"/>
  <c r="M13" i="3"/>
  <c r="O8" i="3"/>
  <c r="M12" i="3"/>
  <c r="M11" i="3"/>
  <c r="O7" i="3"/>
  <c r="O5" i="3"/>
  <c r="O10" i="3"/>
  <c r="O9" i="3"/>
  <c r="I4" i="3"/>
  <c r="H2" i="3"/>
  <c r="E2" i="3"/>
  <c r="G2" i="3"/>
  <c r="D2" i="3"/>
  <c r="F2" i="3"/>
  <c r="H34" i="1" l="1"/>
  <c r="H41" i="1"/>
  <c r="H17" i="1"/>
  <c r="H8" i="1"/>
  <c r="G12" i="12"/>
  <c r="G14" i="12"/>
  <c r="G17" i="12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43" i="1" l="1"/>
  <c r="G65" i="1"/>
  <c r="G31" i="1"/>
  <c r="G105" i="1"/>
  <c r="G89" i="1"/>
  <c r="G57" i="1"/>
  <c r="G71" i="1"/>
  <c r="G72" i="1"/>
  <c r="G13" i="1"/>
  <c r="G37" i="1"/>
  <c r="G39" i="1"/>
  <c r="G115" i="1"/>
  <c r="G50" i="1"/>
  <c r="G108" i="1"/>
  <c r="G51" i="1"/>
  <c r="G118" i="1"/>
  <c r="G23" i="1"/>
  <c r="G34" i="1"/>
  <c r="G16" i="1"/>
  <c r="G24" i="1"/>
  <c r="G29" i="1"/>
  <c r="G25" i="1"/>
  <c r="G40" i="1"/>
  <c r="G100" i="1"/>
  <c r="G107" i="1"/>
  <c r="G47" i="1"/>
  <c r="G76" i="1"/>
  <c r="G73" i="1"/>
  <c r="G87" i="1"/>
  <c r="G54" i="1"/>
  <c r="G77" i="1"/>
  <c r="G75" i="1"/>
  <c r="G69" i="1"/>
  <c r="G85" i="1"/>
  <c r="G33" i="1"/>
  <c r="G103" i="1"/>
  <c r="G88" i="1"/>
  <c r="G92" i="1"/>
  <c r="G80" i="1"/>
  <c r="G14" i="1"/>
  <c r="G79" i="1"/>
  <c r="G41" i="1"/>
  <c r="G110" i="1"/>
  <c r="G6" i="1"/>
  <c r="G62" i="1"/>
  <c r="G66" i="1"/>
  <c r="G5" i="1"/>
  <c r="G42" i="1"/>
  <c r="G60" i="1"/>
  <c r="G12" i="1"/>
  <c r="G70" i="1"/>
  <c r="G109" i="1"/>
  <c r="G84" i="1"/>
  <c r="G94" i="1"/>
  <c r="G22" i="1"/>
  <c r="G74" i="1"/>
  <c r="G15" i="1"/>
  <c r="G83" i="1"/>
  <c r="G124" i="1"/>
  <c r="G38" i="1"/>
  <c r="G98" i="1"/>
  <c r="G78" i="1"/>
  <c r="G113" i="1"/>
  <c r="G97" i="1"/>
  <c r="G17" i="1"/>
  <c r="G27" i="1"/>
  <c r="G8" i="1"/>
  <c r="G123" i="1"/>
  <c r="G86" i="1"/>
  <c r="G93" i="1"/>
  <c r="G67" i="1"/>
  <c r="G99" i="1"/>
  <c r="G82" i="1"/>
  <c r="G121" i="1"/>
  <c r="G10" i="1"/>
  <c r="G18" i="1"/>
  <c r="G58" i="1"/>
  <c r="G90" i="1"/>
  <c r="G11" i="1"/>
  <c r="G114" i="1"/>
  <c r="G106" i="1"/>
  <c r="G102" i="1"/>
  <c r="G68" i="1"/>
  <c r="G59" i="1"/>
  <c r="G7" i="1"/>
  <c r="G96" i="1"/>
  <c r="G64" i="1"/>
  <c r="G20" i="1"/>
  <c r="G26" i="1"/>
  <c r="G32" i="1"/>
  <c r="G122" i="1"/>
  <c r="G81" i="1"/>
  <c r="G91" i="1"/>
  <c r="G56" i="1"/>
  <c r="G101" i="1"/>
  <c r="G104" i="1"/>
  <c r="G112" i="1"/>
  <c r="G19" i="1"/>
  <c r="G63" i="1"/>
  <c r="G55" i="1"/>
  <c r="G45" i="1"/>
  <c r="G120" i="1"/>
  <c r="G28" i="1"/>
  <c r="G9" i="1"/>
  <c r="G30" i="1"/>
  <c r="G46" i="1"/>
  <c r="G61" i="1"/>
  <c r="G119" i="1"/>
  <c r="G21" i="1"/>
  <c r="G4" i="1"/>
  <c r="G95" i="1"/>
  <c r="G116" i="1"/>
  <c r="G52" i="1"/>
  <c r="G53" i="1"/>
  <c r="G49" i="1"/>
  <c r="G44" i="1"/>
  <c r="G36" i="1"/>
  <c r="G35" i="1"/>
  <c r="G117" i="1"/>
  <c r="G48" i="1"/>
  <c r="G111" i="1"/>
  <c r="S4" i="12"/>
  <c r="G5" i="12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<sst xmlns="http://schemas.openxmlformats.org/spreadsheetml/2006/main" count="2809" uniqueCount="416">
  <si>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</si>
  <si>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</si>
  <si>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</si>
  <si>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</si>
  <si>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</si>
  <si>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</si>
  <si>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</si>
  <si>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</si>
  <si>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</si>
  <si>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</si>
  <si>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</si>
  <si>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</si>
  <si>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</si>
  <si>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</si>
  <si>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</si>
  <si>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</si>
  <si>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</si>
  <si>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</si>
  <si>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</si>
  <si>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</si>
  <si>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</si>
  <si>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</si>
  <si>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</si>
  <si>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</si>
  <si>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</si>
  <si>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</si>
  <si>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</si>
  <si>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</si>
  <si>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</si>
  <si>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</si>
  <si>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</si>
  <si>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</si>
  <si>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</si>
  <si>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</si>
  <si>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</si>
  <si>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</si>
  <si>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</si>
  <si>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</si>
  <si>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</si>
  <si>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</si>
  <si>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</si>
  <si>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</si>
  <si>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</si>
  <si>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</si>
  <si>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</si>
  <si>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</si>
  <si>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</si>
  <si>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</si>
  <si>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</si>
  <si>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</si>
  <si>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</si>
  <si>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</si>
  <si>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</si>
  <si>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</si>
  <si>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</si>
  <si>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</si>
  <si>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</si>
  <si>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</si>
  <si>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</si>
  <si>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</si>
  <si>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</si>
  <si>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</si>
  <si>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</si>
  <si>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</si>
  <si>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</si>
  <si>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</si>
  <si>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</si>
  <si>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</si>
  <si>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</si>
  <si>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</si>
  <si>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</si>
  <si>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</si>
  <si>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</si>
  <si>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</si>
  <si>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</si>
  <si>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</si>
  <si>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</si>
  <si>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</si>
  <si>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</si>
  <si>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</si>
  <si>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</si>
  <si>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</si>
  <si>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</si>
  <si>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</si>
  <si>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</si>
  <si>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</si>
  <si>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</si>
  <si>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</si>
  <si>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</si>
  <si>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</si>
  <si>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</si>
  <si>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</si>
  <si>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</si>
  <si>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</si>
  <si>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</si>
  <si>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</si>
  <si>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</si>
  <si>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</si>
  <si>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</si>
  <si>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</si>
  <si>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</si>
  <si>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</si>
  <si>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</si>
  <si>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</si>
  <si>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</si>
  <si>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</si>
  <si>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</si>
  <si>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</si>
  <si>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</si>
  <si>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</si>
  <si>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</si>
  <si>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</si>
  <si>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</si>
  <si>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</si>
  <si>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</si>
  <si>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</si>
  <si>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</si>
  <si>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</si>
  <si>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</si>
  <si>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</si>
  <si>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</si>
  <si>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</si>
  <si>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</si>
  <si>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</si>
  <si>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</si>
  <si>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</si>
  <si>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</si>
  <si>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</si>
  <si>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</si>
  <si>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</si>
  <si>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</si>
  <si>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</si>
  <si>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</si>
  <si>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</si>
  <si>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</si>
  <si>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</si>
  <si>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</si>
  <si>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</si>
  <si>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</si>
  <si>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</si>
  <si>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</si>
  <si>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</si>
  <si>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</si>
  <si>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</si>
  <si>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</si>
  <si>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</si>
  <si>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</si>
  <si>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</si>
  <si>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</si>
  <si>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</si>
  <si>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</si>
  <si>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</si>
  <si>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</si>
  <si>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</si>
  <si>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</si>
  <si>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</si>
  <si>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</si>
  <si>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</si>
  <si>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</si>
  <si>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</si>
  <si>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</si>
  <si>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</si>
  <si>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</si>
  <si>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</si>
  <si>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</si>
  <si>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</si>
  <si>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</si>
  <si>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</si>
  <si>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</si>
  <si>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</si>
  <si>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</si>
  <si>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</si>
  <si>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</si>
  <si>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</si>
  <si>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</si>
  <si>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</si>
  <si>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</si>
  <si>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</si>
  <si>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</si>
  <si>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</si>
  <si>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</si>
  <si>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</si>
  <si>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</si>
  <si>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</si>
  <si>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</si>
  <si>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</si>
  <si>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</si>
  <si>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</si>
  <si>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</si>
  <si>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</si>
  <si>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</si>
  <si>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</si>
  <si>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</si>
  <si>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</si>
  <si>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</si>
  <si>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</si>
  <si>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</si>
  <si>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</si>
  <si>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</si>
  <si>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</si>
  <si>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</si>
  <si>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</si>
  <si>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</si>
  <si>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</si>
  <si>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</si>
  <si>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</si>
  <si>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</si>
  <si>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</si>
  <si>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</si>
  <si>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</si>
  <si>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</si>
  <si>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</si>
  <si>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</si>
  <si>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</si>
  <si>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</si>
  <si>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</si>
  <si>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</si>
  <si>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</si>
  <si>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</si>
  <si>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</si>
  <si>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</si>
  <si>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</si>
  <si>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</si>
  <si>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</si>
  <si>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</si>
  <si>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</si>
  <si>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</si>
  <si>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</si>
  <si>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</si>
  <si>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</si>
  <si>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</si>
  <si>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</si>
  <si>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</si>
  <si>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</si>
  <si>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</si>
  <si>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</si>
  <si>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</si>
  <si>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</si>
  <si>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</si>
  <si>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</si>
  <si>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</si>
  <si>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</si>
  <si>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</si>
  <si>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</si>
  <si>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</si>
  <si>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</si>
  <si>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</si>
  <si>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</si>
  <si>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</si>
  <si>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</si>
  <si>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</si>
  <si>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</si>
  <si>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</si>
  <si>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</si>
  <si>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</si>
  <si>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</si>
  <si>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</si>
  <si>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</si>
  <si>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</si>
  <si>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</si>
  <si>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</si>
  <si>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</si>
  <si>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</si>
  <si>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</si>
  <si>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</si>
  <si>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</si>
  <si>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</si>
  <si>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</si>
  <si>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</si>
  <si>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</si>
  <si>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</si>
  <si>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</si>
  <si>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</si>
  <si>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</si>
  <si>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</si>
  <si>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</si>
  <si>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</si>
  <si>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</si>
  <si>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</si>
  <si>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</si>
  <si>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</si>
  <si>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</si>
  <si>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</si>
  <si>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</si>
  <si>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</si>
  <si>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</si>
  <si>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</si>
  <si>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</si>
  <si>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</si>
  <si>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</si>
  <si>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</si>
  <si>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</si>
  <si>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</si>
  <si>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</si>
  <si>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</si>
  <si>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</si>
  <si>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</si>
  <si>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</si>
  <si>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</si>
  <si>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</si>
  <si>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</si>
  <si>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</si>
  <si>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</si>
  <si>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</si>
  <si>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</si>
  <si>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</si>
  <si>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</si>
  <si>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</si>
  <si>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</si>
  <si>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</si>
  <si>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</si>
  <si>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</si>
  <si>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</si>
  <si>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</si>
  <si>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</si>
  <si>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</si>
  <si>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</si>
  <si>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</si>
  <si>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</si>
  <si>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</si>
  <si>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</si>
  <si>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</si>
  <si>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</si>
  <si>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</si>
  <si>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</si>
  <si>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</si>
  <si>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</si>
  <si>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</si>
  <si>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</si>
  <si>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</si>
  <si>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</si>
  <si>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</si>
  <si>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</si>
  <si>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</si>
  <si>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</si>
  <si>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</si>
  <si>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</si>
  <si>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</si>
  <si>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</si>
  <si>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</si>
  <si>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</si>
  <si>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</si>
  <si>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</si>
  <si>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</si>
  <si>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</si>
  <si>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</si>
  <si>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</si>
  <si>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</si>
  <si>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</si>
  <si>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</si>
  <si>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</si>
  <si>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</si>
  <si>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</si>
  <si>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</si>
  <si>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</si>
  <si>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</si>
  <si>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</si>
  <si>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</si>
  <si>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</si>
  <si>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</si>
  <si>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</si>
  <si>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</si>
  <si>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</si>
  <si>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</si>
  <si>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</si>
  <si>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</si>
  <si>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</si>
  <si>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</si>
  <si>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</si>
  <si>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</si>
  <si>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</si>
  <si>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</si>
  <si>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</si>
  <si>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</si>
  <si>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</si>
  <si>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</si>
  <si>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</si>
  <si>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</si>
  <si>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</si>
  <si>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</si>
  <si>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</si>
  <si>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</si>
  <si>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</si>
  <si>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</si>
  <si>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</si>
  <si>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</si>
  <si>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</si>
  <si>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</si>
  <si>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</si>
  <si>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</si>
  <si>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</si>
  <si>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</si>
  <si>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한상규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</si>
  <si>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</si>
  <si>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</si>
  <si>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</si>
  <si>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CS</t>
    <phoneticPr fontId="2" type="noConversion"/>
  </si>
  <si>
    <t>이민재</t>
  </si>
  <si>
    <t>정재명</t>
  </si>
  <si>
    <t>Black
Blue</t>
    <phoneticPr fontId="2" type="noConversion"/>
  </si>
  <si>
    <t>Red
Black</t>
    <phoneticPr fontId="2" type="noConversion"/>
  </si>
  <si>
    <t>Blue
Red</t>
    <phoneticPr fontId="2" type="noConversion"/>
  </si>
  <si>
    <t>정현서</t>
  </si>
  <si>
    <t>전나현</t>
  </si>
  <si>
    <t>윤원택</t>
  </si>
  <si>
    <t>권민강</t>
    <phoneticPr fontId="2" type="noConversion"/>
  </si>
  <si>
    <t>권민강</t>
    <phoneticPr fontId="2" type="noConversion"/>
  </si>
  <si>
    <t>류서진</t>
  </si>
  <si>
    <t>김류현</t>
    <phoneticPr fontId="2" type="noConversion"/>
  </si>
  <si>
    <t>김류현</t>
    <phoneticPr fontId="2" type="noConversion"/>
  </si>
  <si>
    <t>박지수</t>
    <phoneticPr fontId="2" type="noConversion"/>
  </si>
  <si>
    <t>박지수</t>
    <phoneticPr fontId="2" type="noConversion"/>
  </si>
  <si>
    <t>이현택</t>
    <phoneticPr fontId="2" type="noConversion"/>
  </si>
  <si>
    <t>대상</t>
    <phoneticPr fontId="2" type="noConversion"/>
  </si>
  <si>
    <t>김도원</t>
    <phoneticPr fontId="2" type="noConversion"/>
  </si>
  <si>
    <t>오준서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</si>
</sst>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4"/>
  <sheetViews>
    <sheetView showGridLines="0" tabSelected="1" zoomScale="98" zoomScaleNormal="98" workbookViewId="0">
      <pane xSplit="9" topLeftCell="P1" activePane="topRight" state="frozen"/>
      <selection pane="topRight" activeCell="AJ103" sqref="AJ103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8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53">
        <f>COUNTIF(D4:D159,"지급")</f>
        <v>66</v>
      </c>
      <c r="E2" s="53">
        <f>COUNTIF(E4:E142,"지급")</f>
        <v>0</v>
      </c>
      <c r="H2" s="18">
        <f>SUM(J2:AR2)/COUNTA(J2:BB2)</f>
        <v>14.688888888888888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33</v>
      </c>
      <c r="AG2" s="1">
        <f t="shared" si="0"/>
        <v>26</v>
      </c>
      <c r="AH2" s="1">
        <f t="shared" si="0"/>
        <v>28</v>
      </c>
      <c r="AI2" s="1">
        <f t="shared" si="0"/>
        <v>32</v>
      </c>
      <c r="AJ2" s="1">
        <f t="shared" si="0"/>
        <v>32</v>
      </c>
      <c r="AK2" s="1">
        <f t="shared" si="0"/>
        <v>20</v>
      </c>
      <c r="AL2" s="1">
        <f t="shared" si="0"/>
        <v>21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318</v>
      </c>
      <c r="D3" s="54" t="s">
        <v>116</v>
      </c>
      <c r="E3" s="54" t="s">
        <v>126</v>
      </c>
      <c r="F3" s="2" t="s">
        <v>44</v>
      </c>
      <c r="G3" s="2" t="s">
        <v>86</v>
      </c>
      <c r="H3" s="2" t="s">
        <v>79</v>
      </c>
      <c r="I3" s="2" t="s">
        <v>327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>
        <v>46205</v>
      </c>
      <c r="AG3" s="4">
        <v>46212</v>
      </c>
      <c r="AH3" s="4">
        <v>46219</v>
      </c>
      <c r="AI3" s="4">
        <v>46233</v>
      </c>
      <c r="AJ3" s="4">
        <v>46240</v>
      </c>
      <c r="AK3" s="4">
        <v>46246</v>
      </c>
      <c r="AL3" s="4">
        <v>46254</v>
      </c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319</v>
      </c>
      <c r="D4" s="54" t="s">
        <v>323</v>
      </c>
      <c r="E4" s="54"/>
      <c r="F4" s="2" t="s">
        <v>37</v>
      </c>
      <c r="G4" s="2">
        <f>RANK(H4,$H$4:$H$124,0)</f>
        <v>4</v>
      </c>
      <c r="H4" s="6">
        <f>I4+개인기록Sheet!C4</f>
        <v>24</v>
      </c>
      <c r="I4" s="6">
        <f>(COUNTIF(J4:CD4,"출전")*1)</f>
        <v>22</v>
      </c>
      <c r="J4" s="2" t="s">
        <v>349</v>
      </c>
      <c r="K4" s="2"/>
      <c r="L4" s="2"/>
      <c r="M4" s="2" t="s">
        <v>349</v>
      </c>
      <c r="N4" s="2" t="s">
        <v>349</v>
      </c>
      <c r="O4" s="2" t="s">
        <v>349</v>
      </c>
      <c r="P4" s="2" t="s">
        <v>349</v>
      </c>
      <c r="Q4" s="2" t="s">
        <v>349</v>
      </c>
      <c r="R4" s="2" t="s">
        <v>349</v>
      </c>
      <c r="S4" s="2" t="s">
        <v>349</v>
      </c>
      <c r="T4" s="2" t="s">
        <v>349</v>
      </c>
      <c r="U4" s="2" t="s">
        <v>349</v>
      </c>
      <c r="V4" s="2" t="s">
        <v>349</v>
      </c>
      <c r="W4" s="2" t="s">
        <v>349</v>
      </c>
      <c r="X4" s="2"/>
      <c r="Y4" s="2" t="s">
        <v>349</v>
      </c>
      <c r="Z4" s="2"/>
      <c r="AA4" s="2" t="s">
        <v>349</v>
      </c>
      <c r="AB4" s="2" t="s">
        <v>349</v>
      </c>
      <c r="AC4" s="2" t="s">
        <v>349</v>
      </c>
      <c r="AD4" s="2"/>
      <c r="AE4" s="2" t="s">
        <v>349</v>
      </c>
      <c r="AF4" s="2" t="s">
        <v>349</v>
      </c>
      <c r="AG4" s="2" t="s">
        <v>349</v>
      </c>
      <c r="AH4" s="2"/>
      <c r="AI4" s="2"/>
      <c r="AJ4" s="2" t="s">
        <v>349</v>
      </c>
      <c r="AK4" s="2" t="s">
        <v>349</v>
      </c>
      <c r="AL4" s="2" t="s">
        <v>349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323</v>
      </c>
      <c r="E5" s="54"/>
      <c r="F5" s="2" t="s">
        <v>37</v>
      </c>
      <c r="G5" s="2">
        <f t="shared" ref="G5:G68" si="2">RANK(H5,$H$4:$H$124,0)</f>
        <v>53</v>
      </c>
      <c r="H5" s="6">
        <f>I5+개인기록Sheet!C5</f>
        <v>5.9</v>
      </c>
      <c r="I5" s="6">
        <f t="shared" ref="I5:I68" si="3">(COUNTIF(J5:CD5,"출전")*1)</f>
        <v>5</v>
      </c>
      <c r="J5" s="2"/>
      <c r="K5" s="2"/>
      <c r="L5" s="2" t="s">
        <v>349</v>
      </c>
      <c r="M5" s="2"/>
      <c r="N5" s="2"/>
      <c r="O5" s="2"/>
      <c r="P5" s="2"/>
      <c r="Q5" s="2"/>
      <c r="R5" s="2"/>
      <c r="S5" s="2"/>
      <c r="T5" s="2"/>
      <c r="U5" s="2" t="s">
        <v>349</v>
      </c>
      <c r="V5" s="2"/>
      <c r="W5" s="2"/>
      <c r="X5" s="2"/>
      <c r="Y5" s="2"/>
      <c r="Z5" s="2"/>
      <c r="AA5" s="2"/>
      <c r="AB5" s="2"/>
      <c r="AC5" s="2" t="s">
        <v>349</v>
      </c>
      <c r="AD5" s="2"/>
      <c r="AE5" s="2"/>
      <c r="AF5" s="2"/>
      <c r="AG5" s="2" t="s">
        <v>349</v>
      </c>
      <c r="AH5" s="2"/>
      <c r="AI5" s="2" t="s">
        <v>349</v>
      </c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319</v>
      </c>
      <c r="D6" s="54" t="s">
        <v>350</v>
      </c>
      <c r="E6" s="54"/>
      <c r="F6" s="2" t="s">
        <v>37</v>
      </c>
      <c r="G6" s="2">
        <f t="shared" si="2"/>
        <v>89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319</v>
      </c>
      <c r="D7" s="54">
        <f>COUNTA(W7:AN7)</f>
        <v>0</v>
      </c>
      <c r="E7" s="54"/>
      <c r="F7" s="2" t="s">
        <v>37</v>
      </c>
      <c r="G7" s="2">
        <f t="shared" si="2"/>
        <v>89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319</v>
      </c>
      <c r="D8" s="54" t="s">
        <v>350</v>
      </c>
      <c r="E8" s="54"/>
      <c r="F8" s="2" t="s">
        <v>37</v>
      </c>
      <c r="G8" s="2">
        <f t="shared" si="2"/>
        <v>89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319</v>
      </c>
      <c r="D9" s="54" t="s">
        <v>323</v>
      </c>
      <c r="E9" s="54"/>
      <c r="F9" s="2" t="s">
        <v>37</v>
      </c>
      <c r="G9" s="2">
        <f t="shared" si="2"/>
        <v>49</v>
      </c>
      <c r="H9" s="6">
        <f>I9+개인기록Sheet!C9</f>
        <v>6.6</v>
      </c>
      <c r="I9" s="6">
        <f t="shared" si="3"/>
        <v>6</v>
      </c>
      <c r="J9" s="2"/>
      <c r="K9" s="2" t="s">
        <v>349</v>
      </c>
      <c r="L9" s="2"/>
      <c r="M9" s="2"/>
      <c r="N9" s="2"/>
      <c r="O9" s="2" t="s">
        <v>349</v>
      </c>
      <c r="P9" s="2"/>
      <c r="Q9" s="2" t="s">
        <v>349</v>
      </c>
      <c r="R9" s="2"/>
      <c r="S9" s="2"/>
      <c r="T9" s="2"/>
      <c r="U9" s="2" t="s">
        <v>349</v>
      </c>
      <c r="V9" s="2"/>
      <c r="W9" s="2"/>
      <c r="X9" s="2"/>
      <c r="Y9" s="2"/>
      <c r="Z9" s="2"/>
      <c r="AA9" s="2" t="s">
        <v>349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 t="s">
        <v>349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236</v>
      </c>
      <c r="C10" s="58">
        <v>2024</v>
      </c>
      <c r="D10" s="54" t="s">
        <v>323</v>
      </c>
      <c r="E10" s="54"/>
      <c r="F10" s="2" t="s">
        <v>37</v>
      </c>
      <c r="G10" s="2">
        <f t="shared" si="2"/>
        <v>10</v>
      </c>
      <c r="H10" s="6">
        <f>I10+개인기록Sheet!C10</f>
        <v>19.600000000000001</v>
      </c>
      <c r="I10" s="6">
        <f t="shared" si="3"/>
        <v>16</v>
      </c>
      <c r="J10" s="2" t="s">
        <v>349</v>
      </c>
      <c r="K10" s="2"/>
      <c r="L10" s="2"/>
      <c r="M10" s="2"/>
      <c r="N10" s="2" t="s">
        <v>349</v>
      </c>
      <c r="O10" s="2"/>
      <c r="P10" s="2"/>
      <c r="Q10" s="2" t="s">
        <v>349</v>
      </c>
      <c r="R10" s="2"/>
      <c r="S10" s="2" t="s">
        <v>349</v>
      </c>
      <c r="T10" s="2" t="s">
        <v>349</v>
      </c>
      <c r="U10" s="2"/>
      <c r="V10" s="2"/>
      <c r="W10" s="2" t="s">
        <v>349</v>
      </c>
      <c r="X10" s="2"/>
      <c r="Y10" s="2" t="s">
        <v>349</v>
      </c>
      <c r="Z10" s="2" t="s">
        <v>349</v>
      </c>
      <c r="AA10" s="2" t="s">
        <v>349</v>
      </c>
      <c r="AB10" s="2"/>
      <c r="AC10" s="2" t="s">
        <v>349</v>
      </c>
      <c r="AD10" s="2" t="s">
        <v>349</v>
      </c>
      <c r="AE10" s="2"/>
      <c r="AF10" s="2" t="s">
        <v>349</v>
      </c>
      <c r="AG10" s="2" t="s">
        <v>349</v>
      </c>
      <c r="AH10" s="2" t="s">
        <v>349</v>
      </c>
      <c r="AI10" s="2" t="s">
        <v>349</v>
      </c>
      <c r="AJ10" s="2"/>
      <c r="AK10" s="2"/>
      <c r="AL10" s="2" t="s">
        <v>349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323</v>
      </c>
      <c r="E11" s="54"/>
      <c r="F11" s="2" t="s">
        <v>37</v>
      </c>
      <c r="G11" s="2">
        <f t="shared" si="2"/>
        <v>17</v>
      </c>
      <c r="H11" s="6">
        <f>I11+개인기록Sheet!C11</f>
        <v>15.7</v>
      </c>
      <c r="I11" s="6">
        <f t="shared" si="3"/>
        <v>11</v>
      </c>
      <c r="J11" s="2" t="s">
        <v>349</v>
      </c>
      <c r="K11" s="2"/>
      <c r="L11" s="2" t="s">
        <v>349</v>
      </c>
      <c r="M11" s="2" t="s">
        <v>349</v>
      </c>
      <c r="N11" s="2"/>
      <c r="O11" s="2"/>
      <c r="P11" s="2"/>
      <c r="Q11" s="2" t="s">
        <v>349</v>
      </c>
      <c r="R11" s="2"/>
      <c r="S11" s="2"/>
      <c r="T11" s="2"/>
      <c r="U11" s="2" t="s">
        <v>349</v>
      </c>
      <c r="V11" s="2" t="s">
        <v>349</v>
      </c>
      <c r="W11" s="2"/>
      <c r="X11" s="2"/>
      <c r="Y11" s="2" t="s">
        <v>349</v>
      </c>
      <c r="Z11" s="2"/>
      <c r="AA11" s="2" t="s">
        <v>349</v>
      </c>
      <c r="AB11" s="2" t="s">
        <v>349</v>
      </c>
      <c r="AC11" s="2" t="s">
        <v>349</v>
      </c>
      <c r="AD11" s="2"/>
      <c r="AE11" s="2"/>
      <c r="AF11" s="2"/>
      <c r="AG11" s="2"/>
      <c r="AH11" s="2" t="s">
        <v>349</v>
      </c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324</v>
      </c>
      <c r="C12" s="58">
        <v>2025</v>
      </c>
      <c r="D12" s="54">
        <f t="shared" ref="D12:D15" si="4">COUNTA(W12:AN12)</f>
        <v>0</v>
      </c>
      <c r="E12" s="54"/>
      <c r="F12" s="2" t="s">
        <v>37</v>
      </c>
      <c r="G12" s="2">
        <f t="shared" si="2"/>
        <v>84</v>
      </c>
      <c r="H12" s="6">
        <f>I12+개인기록Sheet!C12</f>
        <v>1</v>
      </c>
      <c r="I12" s="6">
        <f t="shared" si="3"/>
        <v>1</v>
      </c>
      <c r="J12" s="2"/>
      <c r="K12" s="2"/>
      <c r="L12" s="2"/>
      <c r="M12" s="2"/>
      <c r="N12" s="2"/>
      <c r="O12" s="2"/>
      <c r="P12" s="2"/>
      <c r="Q12" s="2" t="s">
        <v>349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4"/>
        <v>0</v>
      </c>
      <c r="E13" s="54"/>
      <c r="F13" s="2" t="s">
        <v>37</v>
      </c>
      <c r="G13" s="2">
        <f t="shared" si="2"/>
        <v>89</v>
      </c>
      <c r="H13" s="6">
        <f>I13+개인기록Sheet!C13</f>
        <v>0</v>
      </c>
      <c r="I13" s="6">
        <f t="shared" si="3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319</v>
      </c>
      <c r="D14" s="54">
        <f t="shared" si="4"/>
        <v>0</v>
      </c>
      <c r="E14" s="54"/>
      <c r="F14" s="2" t="s">
        <v>37</v>
      </c>
      <c r="G14" s="2">
        <f t="shared" si="2"/>
        <v>89</v>
      </c>
      <c r="H14" s="6">
        <f>I14+개인기록Sheet!C14</f>
        <v>0</v>
      </c>
      <c r="I14" s="6">
        <f t="shared" si="3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405</v>
      </c>
      <c r="C15" s="58">
        <v>2026</v>
      </c>
      <c r="D15" s="54">
        <f t="shared" si="4"/>
        <v>1</v>
      </c>
      <c r="E15" s="54"/>
      <c r="F15" s="2" t="s">
        <v>37</v>
      </c>
      <c r="G15" s="2">
        <f t="shared" si="2"/>
        <v>80</v>
      </c>
      <c r="H15" s="6">
        <f>I15+개인기록Sheet!C15</f>
        <v>1.6</v>
      </c>
      <c r="I15" s="6">
        <f t="shared" si="3"/>
        <v>1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 t="s">
        <v>349</v>
      </c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323</v>
      </c>
      <c r="E16" s="54"/>
      <c r="F16" s="2" t="s">
        <v>37</v>
      </c>
      <c r="G16" s="2">
        <f t="shared" si="2"/>
        <v>32</v>
      </c>
      <c r="H16" s="6">
        <f>I16+개인기록Sheet!C16</f>
        <v>10.5</v>
      </c>
      <c r="I16" s="6">
        <f t="shared" si="3"/>
        <v>8</v>
      </c>
      <c r="J16" s="2"/>
      <c r="K16" s="2" t="s">
        <v>349</v>
      </c>
      <c r="L16" s="2" t="s">
        <v>349</v>
      </c>
      <c r="M16" s="2"/>
      <c r="N16" s="2"/>
      <c r="O16" s="2" t="s">
        <v>349</v>
      </c>
      <c r="P16" s="2"/>
      <c r="Q16" s="2"/>
      <c r="R16" s="2"/>
      <c r="S16" s="2"/>
      <c r="T16" s="2"/>
      <c r="U16" s="2"/>
      <c r="V16" s="2"/>
      <c r="W16" s="2" t="s">
        <v>349</v>
      </c>
      <c r="X16" s="2" t="s">
        <v>349</v>
      </c>
      <c r="Y16" s="2"/>
      <c r="Z16" s="2"/>
      <c r="AA16" s="2"/>
      <c r="AB16" s="2"/>
      <c r="AC16" s="2"/>
      <c r="AD16" s="2"/>
      <c r="AE16" s="2"/>
      <c r="AF16" s="2" t="s">
        <v>349</v>
      </c>
      <c r="AG16" s="2" t="s">
        <v>349</v>
      </c>
      <c r="AH16" s="2"/>
      <c r="AI16" s="2"/>
      <c r="AJ16" s="2"/>
      <c r="AK16" s="2" t="s">
        <v>349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341</v>
      </c>
      <c r="C17" s="58">
        <v>2026</v>
      </c>
      <c r="D17" s="54" t="s">
        <v>323</v>
      </c>
      <c r="E17" s="54"/>
      <c r="F17" s="2" t="s">
        <v>37</v>
      </c>
      <c r="G17" s="2">
        <f t="shared" si="2"/>
        <v>13</v>
      </c>
      <c r="H17" s="6">
        <f>I17+개인기록Sheet!C17</f>
        <v>18.8</v>
      </c>
      <c r="I17" s="6">
        <f t="shared" si="3"/>
        <v>15</v>
      </c>
      <c r="J17" s="2"/>
      <c r="K17" s="2" t="s">
        <v>349</v>
      </c>
      <c r="L17" s="2"/>
      <c r="M17" s="2"/>
      <c r="N17" s="2" t="s">
        <v>349</v>
      </c>
      <c r="O17" s="2"/>
      <c r="P17" s="2" t="s">
        <v>349</v>
      </c>
      <c r="Q17" s="2" t="s">
        <v>349</v>
      </c>
      <c r="R17" s="2" t="s">
        <v>349</v>
      </c>
      <c r="S17" s="2" t="s">
        <v>349</v>
      </c>
      <c r="T17" s="2"/>
      <c r="U17" s="2" t="s">
        <v>349</v>
      </c>
      <c r="V17" s="2"/>
      <c r="W17" s="2" t="s">
        <v>349</v>
      </c>
      <c r="X17" s="2" t="s">
        <v>349</v>
      </c>
      <c r="Y17" s="2"/>
      <c r="Z17" s="2" t="s">
        <v>349</v>
      </c>
      <c r="AA17" s="2" t="s">
        <v>349</v>
      </c>
      <c r="AB17" s="2" t="s">
        <v>349</v>
      </c>
      <c r="AC17" s="2"/>
      <c r="AD17" s="2"/>
      <c r="AE17" s="2"/>
      <c r="AF17" s="2" t="s">
        <v>349</v>
      </c>
      <c r="AG17" s="2" t="s">
        <v>349</v>
      </c>
      <c r="AH17" s="2"/>
      <c r="AI17" s="2"/>
      <c r="AJ17" s="2" t="s">
        <v>349</v>
      </c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133</v>
      </c>
      <c r="C18" s="57">
        <v>2023</v>
      </c>
      <c r="D18" s="54" t="s">
        <v>350</v>
      </c>
      <c r="E18" s="54"/>
      <c r="F18" s="2" t="s">
        <v>37</v>
      </c>
      <c r="G18" s="2">
        <f t="shared" si="2"/>
        <v>89</v>
      </c>
      <c r="H18" s="6">
        <f>I18+개인기록Sheet!C18</f>
        <v>0</v>
      </c>
      <c r="I18" s="6">
        <f t="shared" si="3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414</v>
      </c>
      <c r="C19" s="58">
        <v>2026</v>
      </c>
      <c r="D19" s="54"/>
      <c r="E19" s="54"/>
      <c r="F19" s="60"/>
      <c r="G19" s="2">
        <f t="shared" si="2"/>
        <v>89</v>
      </c>
      <c r="H19" s="6">
        <f>I19+개인기록Sheet!C19</f>
        <v>0</v>
      </c>
      <c r="I19" s="6">
        <f t="shared" si="3"/>
        <v>0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91</v>
      </c>
      <c r="C20" s="57">
        <v>2022</v>
      </c>
      <c r="D20" s="54" t="s">
        <v>323</v>
      </c>
      <c r="E20" s="54"/>
      <c r="F20" s="2" t="s">
        <v>37</v>
      </c>
      <c r="G20" s="2">
        <f t="shared" si="2"/>
        <v>67</v>
      </c>
      <c r="H20" s="6">
        <f>I20+개인기록Sheet!C20</f>
        <v>4</v>
      </c>
      <c r="I20" s="6">
        <f t="shared" si="3"/>
        <v>4</v>
      </c>
      <c r="J20" s="2" t="s">
        <v>349</v>
      </c>
      <c r="K20" s="2" t="s">
        <v>349</v>
      </c>
      <c r="L20" s="2"/>
      <c r="M20" s="2"/>
      <c r="N20" s="2" t="s">
        <v>349</v>
      </c>
      <c r="O20" s="2" t="s">
        <v>349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408</v>
      </c>
      <c r="C21" s="58">
        <v>2026</v>
      </c>
      <c r="D21" s="54">
        <f t="shared" ref="D21" si="5">COUNTA(W21:AN21)</f>
        <v>1</v>
      </c>
      <c r="E21" s="54"/>
      <c r="F21" s="2" t="s">
        <v>37</v>
      </c>
      <c r="G21" s="2">
        <f t="shared" si="2"/>
        <v>81</v>
      </c>
      <c r="H21" s="6">
        <f>I21+개인기록Sheet!C21</f>
        <v>1.4</v>
      </c>
      <c r="I21" s="6">
        <f t="shared" si="3"/>
        <v>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 t="s">
        <v>349</v>
      </c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138</v>
      </c>
      <c r="C22" s="57">
        <v>2023</v>
      </c>
      <c r="D22" s="54" t="s">
        <v>323</v>
      </c>
      <c r="E22" s="54"/>
      <c r="F22" s="2" t="s">
        <v>37</v>
      </c>
      <c r="G22" s="2">
        <f t="shared" si="2"/>
        <v>55</v>
      </c>
      <c r="H22" s="6">
        <f>I22+개인기록Sheet!C22</f>
        <v>5.4</v>
      </c>
      <c r="I22" s="6">
        <f t="shared" si="3"/>
        <v>5</v>
      </c>
      <c r="J22" s="2"/>
      <c r="K22" s="2" t="s">
        <v>349</v>
      </c>
      <c r="L22" s="2"/>
      <c r="M22" s="2"/>
      <c r="N22" s="2"/>
      <c r="O22" s="2" t="s">
        <v>349</v>
      </c>
      <c r="P22" s="2"/>
      <c r="Q22" s="2" t="s">
        <v>349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 t="s">
        <v>349</v>
      </c>
      <c r="AJ22" s="2"/>
      <c r="AK22" s="2" t="s">
        <v>349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239</v>
      </c>
      <c r="C23" s="58">
        <v>2024</v>
      </c>
      <c r="D23" s="54">
        <f t="shared" ref="D23:D24" si="6">COUNTA(W23:AN23)</f>
        <v>0</v>
      </c>
      <c r="E23" s="54"/>
      <c r="F23" s="2" t="s">
        <v>37</v>
      </c>
      <c r="G23" s="2">
        <f t="shared" si="2"/>
        <v>89</v>
      </c>
      <c r="H23" s="6">
        <f>I23+개인기록Sheet!C23</f>
        <v>0</v>
      </c>
      <c r="I23" s="6">
        <f t="shared" si="3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112</v>
      </c>
      <c r="C24" s="57">
        <v>2022</v>
      </c>
      <c r="D24" s="54">
        <f t="shared" si="6"/>
        <v>0</v>
      </c>
      <c r="E24" s="54"/>
      <c r="F24" s="2" t="s">
        <v>37</v>
      </c>
      <c r="G24" s="2">
        <f t="shared" si="2"/>
        <v>89</v>
      </c>
      <c r="H24" s="6">
        <f>I24+개인기록Sheet!C24</f>
        <v>0</v>
      </c>
      <c r="I24" s="6">
        <f t="shared" si="3"/>
        <v>0</v>
      </c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234</v>
      </c>
      <c r="C25" s="58">
        <v>2024</v>
      </c>
      <c r="D25" s="54" t="s">
        <v>323</v>
      </c>
      <c r="E25" s="54"/>
      <c r="F25" s="2" t="s">
        <v>37</v>
      </c>
      <c r="G25" s="2">
        <f t="shared" si="2"/>
        <v>84</v>
      </c>
      <c r="H25" s="6">
        <f>I25+개인기록Sheet!C25</f>
        <v>1</v>
      </c>
      <c r="I25" s="6">
        <f t="shared" si="3"/>
        <v>1</v>
      </c>
      <c r="J25" s="2"/>
      <c r="K25" s="2"/>
      <c r="L25" s="2"/>
      <c r="M25" s="2"/>
      <c r="N25" s="2"/>
      <c r="O25" s="2"/>
      <c r="P25" s="2"/>
      <c r="Q25" s="2"/>
      <c r="R25" s="2"/>
      <c r="S25" s="2" t="s">
        <v>349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14</v>
      </c>
      <c r="C26" s="57" t="s">
        <v>319</v>
      </c>
      <c r="D26" s="54" t="s">
        <v>323</v>
      </c>
      <c r="E26" s="54"/>
      <c r="F26" s="2" t="s">
        <v>37</v>
      </c>
      <c r="G26" s="2">
        <f t="shared" si="2"/>
        <v>59</v>
      </c>
      <c r="H26" s="6">
        <f>I26+개인기록Sheet!C26</f>
        <v>4.8</v>
      </c>
      <c r="I26" s="6">
        <f t="shared" si="3"/>
        <v>4</v>
      </c>
      <c r="J26" s="2"/>
      <c r="K26" s="2"/>
      <c r="L26" s="2" t="s">
        <v>349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 t="s">
        <v>349</v>
      </c>
      <c r="Z26" s="2" t="s">
        <v>349</v>
      </c>
      <c r="AA26" s="2"/>
      <c r="AB26" s="2" t="s">
        <v>349</v>
      </c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134</v>
      </c>
      <c r="C27" s="57">
        <v>2023</v>
      </c>
      <c r="D27" s="54" t="s">
        <v>323</v>
      </c>
      <c r="E27" s="54"/>
      <c r="F27" s="2" t="s">
        <v>37</v>
      </c>
      <c r="G27" s="2">
        <f t="shared" si="2"/>
        <v>24</v>
      </c>
      <c r="H27" s="6">
        <f>I27+개인기록Sheet!C27</f>
        <v>12.5</v>
      </c>
      <c r="I27" s="6">
        <f t="shared" si="3"/>
        <v>10</v>
      </c>
      <c r="J27" s="2"/>
      <c r="K27" s="2" t="s">
        <v>349</v>
      </c>
      <c r="L27" s="2" t="s">
        <v>349</v>
      </c>
      <c r="M27" s="2"/>
      <c r="N27" s="2"/>
      <c r="O27" s="2"/>
      <c r="P27" s="2"/>
      <c r="Q27" s="2"/>
      <c r="R27" s="2"/>
      <c r="S27" s="2" t="s">
        <v>349</v>
      </c>
      <c r="T27" s="2"/>
      <c r="U27" s="2" t="s">
        <v>349</v>
      </c>
      <c r="V27" s="2"/>
      <c r="W27" s="2"/>
      <c r="X27" s="2" t="s">
        <v>349</v>
      </c>
      <c r="Y27" s="2"/>
      <c r="Z27" s="2"/>
      <c r="AA27" s="2"/>
      <c r="AB27" s="2"/>
      <c r="AC27" s="2" t="s">
        <v>349</v>
      </c>
      <c r="AD27" s="2"/>
      <c r="AE27" s="2" t="s">
        <v>349</v>
      </c>
      <c r="AF27" s="2"/>
      <c r="AG27" s="2"/>
      <c r="AH27" s="2"/>
      <c r="AI27" s="2" t="s">
        <v>349</v>
      </c>
      <c r="AJ27" s="2" t="s">
        <v>349</v>
      </c>
      <c r="AK27" s="2" t="s">
        <v>349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201</v>
      </c>
      <c r="C28" s="58">
        <v>2024</v>
      </c>
      <c r="D28" s="54" t="s">
        <v>323</v>
      </c>
      <c r="E28" s="54"/>
      <c r="F28" s="2" t="s">
        <v>37</v>
      </c>
      <c r="G28" s="2">
        <f t="shared" si="2"/>
        <v>1</v>
      </c>
      <c r="H28" s="6">
        <f>I28+개인기록Sheet!C28</f>
        <v>33.4</v>
      </c>
      <c r="I28" s="6">
        <f t="shared" si="3"/>
        <v>23</v>
      </c>
      <c r="J28" s="2"/>
      <c r="K28" s="2" t="s">
        <v>349</v>
      </c>
      <c r="L28" s="2" t="s">
        <v>349</v>
      </c>
      <c r="M28" s="2" t="s">
        <v>349</v>
      </c>
      <c r="N28" s="2" t="s">
        <v>349</v>
      </c>
      <c r="O28" s="2"/>
      <c r="P28" s="2" t="s">
        <v>349</v>
      </c>
      <c r="Q28" s="2" t="s">
        <v>349</v>
      </c>
      <c r="R28" s="2" t="s">
        <v>349</v>
      </c>
      <c r="S28" s="2" t="s">
        <v>349</v>
      </c>
      <c r="T28" s="2"/>
      <c r="U28" s="2" t="s">
        <v>349</v>
      </c>
      <c r="V28" s="2" t="s">
        <v>349</v>
      </c>
      <c r="W28" s="2" t="s">
        <v>349</v>
      </c>
      <c r="X28" s="2" t="s">
        <v>349</v>
      </c>
      <c r="Y28" s="2"/>
      <c r="Z28" s="2" t="s">
        <v>349</v>
      </c>
      <c r="AA28" s="2" t="s">
        <v>349</v>
      </c>
      <c r="AB28" s="2"/>
      <c r="AC28" s="2" t="s">
        <v>349</v>
      </c>
      <c r="AD28" s="2" t="s">
        <v>349</v>
      </c>
      <c r="AE28" s="2"/>
      <c r="AF28" s="2" t="s">
        <v>349</v>
      </c>
      <c r="AG28" s="2" t="s">
        <v>349</v>
      </c>
      <c r="AH28" s="2" t="s">
        <v>349</v>
      </c>
      <c r="AI28" s="2" t="s">
        <v>349</v>
      </c>
      <c r="AJ28" s="2" t="s">
        <v>349</v>
      </c>
      <c r="AK28" s="2" t="s">
        <v>349</v>
      </c>
      <c r="AL28" s="2" t="s">
        <v>349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64</v>
      </c>
      <c r="C29" s="57" t="s">
        <v>319</v>
      </c>
      <c r="D29" s="54" t="s">
        <v>323</v>
      </c>
      <c r="E29" s="54"/>
      <c r="F29" s="2" t="s">
        <v>37</v>
      </c>
      <c r="G29" s="2">
        <f t="shared" si="2"/>
        <v>34</v>
      </c>
      <c r="H29" s="6">
        <f>I29+개인기록Sheet!C29</f>
        <v>10.1</v>
      </c>
      <c r="I29" s="6">
        <f t="shared" si="3"/>
        <v>7</v>
      </c>
      <c r="J29" s="2"/>
      <c r="K29" s="2"/>
      <c r="L29" s="2" t="s">
        <v>349</v>
      </c>
      <c r="M29" s="2"/>
      <c r="N29" s="2" t="s">
        <v>349</v>
      </c>
      <c r="O29" s="2"/>
      <c r="P29" s="2"/>
      <c r="Q29" s="2"/>
      <c r="R29" s="2"/>
      <c r="S29" s="2"/>
      <c r="T29" s="2"/>
      <c r="U29" s="2" t="s">
        <v>349</v>
      </c>
      <c r="V29" s="2"/>
      <c r="W29" s="2" t="s">
        <v>349</v>
      </c>
      <c r="X29" s="2"/>
      <c r="Y29" s="2"/>
      <c r="Z29" s="2"/>
      <c r="AA29" s="2" t="s">
        <v>349</v>
      </c>
      <c r="AB29" s="2"/>
      <c r="AC29" s="2"/>
      <c r="AD29" s="2"/>
      <c r="AE29" s="2"/>
      <c r="AF29" s="2"/>
      <c r="AG29" s="2"/>
      <c r="AH29" s="2"/>
      <c r="AI29" s="2"/>
      <c r="AJ29" s="2" t="s">
        <v>349</v>
      </c>
      <c r="AK29" s="2" t="s">
        <v>349</v>
      </c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161</v>
      </c>
      <c r="C30" s="57">
        <v>2023</v>
      </c>
      <c r="D30" s="54">
        <f>COUNTA(W30:AN30)</f>
        <v>0</v>
      </c>
      <c r="E30" s="54"/>
      <c r="F30" s="2" t="s">
        <v>37</v>
      </c>
      <c r="G30" s="2">
        <f t="shared" si="2"/>
        <v>89</v>
      </c>
      <c r="H30" s="6">
        <f>I30+개인기록Sheet!C30</f>
        <v>0</v>
      </c>
      <c r="I30" s="6">
        <f t="shared" si="3"/>
        <v>0</v>
      </c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137</v>
      </c>
      <c r="C31" s="57">
        <v>2023</v>
      </c>
      <c r="D31" s="54" t="s">
        <v>323</v>
      </c>
      <c r="E31" s="54"/>
      <c r="F31" s="2" t="s">
        <v>37</v>
      </c>
      <c r="G31" s="2">
        <f t="shared" si="2"/>
        <v>71</v>
      </c>
      <c r="H31" s="6">
        <f>I31+개인기록Sheet!C31</f>
        <v>3</v>
      </c>
      <c r="I31" s="6">
        <f t="shared" si="3"/>
        <v>3</v>
      </c>
      <c r="J31" s="2"/>
      <c r="K31" s="2" t="s">
        <v>349</v>
      </c>
      <c r="L31" s="2"/>
      <c r="M31" s="2" t="s">
        <v>349</v>
      </c>
      <c r="N31" s="2"/>
      <c r="O31" s="2"/>
      <c r="P31" s="2"/>
      <c r="Q31" s="2" t="s">
        <v>349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53</v>
      </c>
      <c r="C32" s="57" t="s">
        <v>319</v>
      </c>
      <c r="D32" s="54" t="s">
        <v>323</v>
      </c>
      <c r="E32" s="54"/>
      <c r="F32" s="2" t="s">
        <v>37</v>
      </c>
      <c r="G32" s="2">
        <f t="shared" si="2"/>
        <v>18</v>
      </c>
      <c r="H32" s="6">
        <f>I32+개인기록Sheet!C32</f>
        <v>15.6</v>
      </c>
      <c r="I32" s="6">
        <f t="shared" si="3"/>
        <v>12</v>
      </c>
      <c r="J32" s="2"/>
      <c r="K32" s="2" t="s">
        <v>349</v>
      </c>
      <c r="L32" s="2" t="s">
        <v>349</v>
      </c>
      <c r="M32" s="2"/>
      <c r="N32" s="2" t="s">
        <v>349</v>
      </c>
      <c r="O32" s="2"/>
      <c r="P32" s="2"/>
      <c r="Q32" s="2" t="s">
        <v>349</v>
      </c>
      <c r="R32" s="2"/>
      <c r="S32" s="2" t="s">
        <v>349</v>
      </c>
      <c r="T32" s="2" t="s">
        <v>349</v>
      </c>
      <c r="U32" s="2"/>
      <c r="V32" s="2"/>
      <c r="W32" s="2"/>
      <c r="X32" s="2"/>
      <c r="Y32" s="2" t="s">
        <v>349</v>
      </c>
      <c r="Z32" s="2"/>
      <c r="AA32" s="2"/>
      <c r="AB32" s="2"/>
      <c r="AC32" s="2" t="s">
        <v>349</v>
      </c>
      <c r="AD32" s="2"/>
      <c r="AE32" s="2"/>
      <c r="AF32" s="2" t="s">
        <v>349</v>
      </c>
      <c r="AG32" s="2" t="s">
        <v>349</v>
      </c>
      <c r="AH32" s="2" t="s">
        <v>349</v>
      </c>
      <c r="AI32" s="2"/>
      <c r="AJ32" s="2" t="s">
        <v>349</v>
      </c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174</v>
      </c>
      <c r="C33" s="57">
        <v>2023</v>
      </c>
      <c r="D33" s="54" t="s">
        <v>323</v>
      </c>
      <c r="E33" s="54"/>
      <c r="F33" s="2" t="s">
        <v>37</v>
      </c>
      <c r="G33" s="2">
        <f t="shared" si="2"/>
        <v>3</v>
      </c>
      <c r="H33" s="6">
        <f>I33+개인기록Sheet!C33</f>
        <v>25.8</v>
      </c>
      <c r="I33" s="6">
        <f t="shared" si="3"/>
        <v>21</v>
      </c>
      <c r="J33" s="2" t="s">
        <v>349</v>
      </c>
      <c r="K33" s="2" t="s">
        <v>349</v>
      </c>
      <c r="L33" s="2"/>
      <c r="M33" s="2" t="s">
        <v>349</v>
      </c>
      <c r="N33" s="2" t="s">
        <v>349</v>
      </c>
      <c r="O33" s="2" t="s">
        <v>349</v>
      </c>
      <c r="P33" s="2"/>
      <c r="Q33" s="2"/>
      <c r="R33" s="2" t="s">
        <v>349</v>
      </c>
      <c r="S33" s="2" t="s">
        <v>349</v>
      </c>
      <c r="T33" s="2"/>
      <c r="U33" s="2" t="s">
        <v>349</v>
      </c>
      <c r="V33" s="2"/>
      <c r="W33" s="2" t="s">
        <v>349</v>
      </c>
      <c r="X33" s="2"/>
      <c r="Y33" s="2" t="s">
        <v>349</v>
      </c>
      <c r="Z33" s="2" t="s">
        <v>349</v>
      </c>
      <c r="AA33" s="2"/>
      <c r="AB33" s="2" t="s">
        <v>349</v>
      </c>
      <c r="AC33" s="2" t="s">
        <v>349</v>
      </c>
      <c r="AD33" s="2" t="s">
        <v>349</v>
      </c>
      <c r="AE33" s="2"/>
      <c r="AF33" s="2" t="s">
        <v>349</v>
      </c>
      <c r="AG33" s="2" t="s">
        <v>349</v>
      </c>
      <c r="AH33" s="2" t="s">
        <v>349</v>
      </c>
      <c r="AI33" s="2" t="s">
        <v>349</v>
      </c>
      <c r="AJ33" s="2" t="s">
        <v>349</v>
      </c>
      <c r="AK33" s="2" t="s">
        <v>349</v>
      </c>
      <c r="AL33" s="2" t="s">
        <v>349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55</v>
      </c>
      <c r="C34" s="57" t="s">
        <v>319</v>
      </c>
      <c r="D34" s="54" t="s">
        <v>323</v>
      </c>
      <c r="E34" s="54"/>
      <c r="F34" s="2" t="s">
        <v>37</v>
      </c>
      <c r="G34" s="2">
        <f t="shared" si="2"/>
        <v>36</v>
      </c>
      <c r="H34" s="6">
        <f>I34+개인기록Sheet!C34</f>
        <v>9.4</v>
      </c>
      <c r="I34" s="6">
        <f t="shared" si="3"/>
        <v>9</v>
      </c>
      <c r="J34" s="2"/>
      <c r="K34" s="2" t="s">
        <v>349</v>
      </c>
      <c r="L34" s="2" t="s">
        <v>349</v>
      </c>
      <c r="M34" s="2" t="s">
        <v>349</v>
      </c>
      <c r="N34" s="2" t="s">
        <v>349</v>
      </c>
      <c r="O34" s="2" t="s">
        <v>349</v>
      </c>
      <c r="P34" s="2"/>
      <c r="Q34" s="2"/>
      <c r="R34" s="2"/>
      <c r="S34" s="2"/>
      <c r="T34" s="2"/>
      <c r="U34" s="2"/>
      <c r="V34" s="2"/>
      <c r="W34" s="2"/>
      <c r="X34" s="2"/>
      <c r="Y34" s="2" t="s">
        <v>349</v>
      </c>
      <c r="Z34" s="2"/>
      <c r="AA34" s="2"/>
      <c r="AB34" s="2"/>
      <c r="AC34" s="2" t="s">
        <v>349</v>
      </c>
      <c r="AD34" s="2"/>
      <c r="AE34" s="2"/>
      <c r="AF34" s="2"/>
      <c r="AG34" s="2" t="s">
        <v>349</v>
      </c>
      <c r="AH34" s="2"/>
      <c r="AI34" s="2" t="s">
        <v>349</v>
      </c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311</v>
      </c>
      <c r="C35" s="58">
        <v>2025</v>
      </c>
      <c r="D35" s="54" t="s">
        <v>323</v>
      </c>
      <c r="E35" s="54"/>
      <c r="F35" s="2" t="s">
        <v>37</v>
      </c>
      <c r="G35" s="2">
        <f t="shared" si="2"/>
        <v>10</v>
      </c>
      <c r="H35" s="6">
        <f>I35+개인기록Sheet!C35</f>
        <v>19.600000000000001</v>
      </c>
      <c r="I35" s="6">
        <f t="shared" si="3"/>
        <v>16</v>
      </c>
      <c r="J35" s="2"/>
      <c r="K35" s="2" t="s">
        <v>349</v>
      </c>
      <c r="L35" s="2"/>
      <c r="M35" s="2" t="s">
        <v>349</v>
      </c>
      <c r="N35" s="2" t="s">
        <v>349</v>
      </c>
      <c r="O35" s="2" t="s">
        <v>349</v>
      </c>
      <c r="P35" s="2" t="s">
        <v>349</v>
      </c>
      <c r="Q35" s="2" t="s">
        <v>349</v>
      </c>
      <c r="R35" s="2"/>
      <c r="S35" s="2"/>
      <c r="T35" s="2"/>
      <c r="U35" s="2"/>
      <c r="V35" s="2"/>
      <c r="W35" s="2"/>
      <c r="X35" s="2"/>
      <c r="Y35" s="2"/>
      <c r="Z35" s="2" t="s">
        <v>349</v>
      </c>
      <c r="AA35" s="2"/>
      <c r="AB35" s="2" t="s">
        <v>349</v>
      </c>
      <c r="AC35" s="2"/>
      <c r="AD35" s="2"/>
      <c r="AE35" s="2" t="s">
        <v>349</v>
      </c>
      <c r="AF35" s="2" t="s">
        <v>349</v>
      </c>
      <c r="AG35" s="2" t="s">
        <v>349</v>
      </c>
      <c r="AH35" s="2" t="s">
        <v>349</v>
      </c>
      <c r="AI35" s="2" t="s">
        <v>349</v>
      </c>
      <c r="AJ35" s="2" t="s">
        <v>349</v>
      </c>
      <c r="AK35" s="2" t="s">
        <v>349</v>
      </c>
      <c r="AL35" s="2" t="s">
        <v>349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317</v>
      </c>
      <c r="C36" s="58">
        <v>2025</v>
      </c>
      <c r="D36" s="54">
        <f t="shared" ref="D36:D37" si="7">COUNTA(W36:AN36)</f>
        <v>0</v>
      </c>
      <c r="E36" s="54"/>
      <c r="F36" s="2" t="s">
        <v>37</v>
      </c>
      <c r="G36" s="2">
        <f t="shared" si="2"/>
        <v>89</v>
      </c>
      <c r="H36" s="6">
        <f>I36+개인기록Sheet!C36</f>
        <v>0</v>
      </c>
      <c r="I36" s="6">
        <f t="shared" si="3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342</v>
      </c>
      <c r="C37" s="58">
        <v>2025</v>
      </c>
      <c r="D37" s="54">
        <f t="shared" si="7"/>
        <v>0</v>
      </c>
      <c r="E37" s="54"/>
      <c r="F37" s="2" t="s">
        <v>37</v>
      </c>
      <c r="G37" s="2">
        <f t="shared" si="2"/>
        <v>89</v>
      </c>
      <c r="H37" s="6">
        <f>I37+개인기록Sheet!C37</f>
        <v>0</v>
      </c>
      <c r="I37" s="6">
        <f t="shared" si="3"/>
        <v>0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310</v>
      </c>
      <c r="C38" s="58">
        <v>2025</v>
      </c>
      <c r="D38" s="54" t="s">
        <v>323</v>
      </c>
      <c r="E38" s="54"/>
      <c r="F38" s="2" t="s">
        <v>37</v>
      </c>
      <c r="G38" s="2">
        <f t="shared" si="2"/>
        <v>5</v>
      </c>
      <c r="H38" s="6">
        <f>I38+개인기록Sheet!C38</f>
        <v>22.2</v>
      </c>
      <c r="I38" s="6">
        <f t="shared" si="3"/>
        <v>16</v>
      </c>
      <c r="J38" s="2"/>
      <c r="K38" s="2" t="s">
        <v>349</v>
      </c>
      <c r="L38" s="2" t="s">
        <v>349</v>
      </c>
      <c r="M38" s="2"/>
      <c r="N38" s="2" t="s">
        <v>349</v>
      </c>
      <c r="O38" s="2"/>
      <c r="P38" s="2"/>
      <c r="Q38" s="2" t="s">
        <v>349</v>
      </c>
      <c r="R38" s="2"/>
      <c r="S38" s="2" t="s">
        <v>349</v>
      </c>
      <c r="T38" s="2"/>
      <c r="U38" s="2" t="s">
        <v>349</v>
      </c>
      <c r="V38" s="2"/>
      <c r="W38" s="2" t="s">
        <v>349</v>
      </c>
      <c r="X38" s="2" t="s">
        <v>349</v>
      </c>
      <c r="Y38" s="2"/>
      <c r="Z38" s="2" t="s">
        <v>349</v>
      </c>
      <c r="AA38" s="2" t="s">
        <v>349</v>
      </c>
      <c r="AB38" s="2" t="s">
        <v>349</v>
      </c>
      <c r="AC38" s="2" t="s">
        <v>349</v>
      </c>
      <c r="AD38" s="2"/>
      <c r="AE38" s="2"/>
      <c r="AF38" s="2"/>
      <c r="AG38" s="2"/>
      <c r="AH38" s="2" t="s">
        <v>349</v>
      </c>
      <c r="AI38" s="2" t="s">
        <v>349</v>
      </c>
      <c r="AJ38" s="2" t="s">
        <v>349</v>
      </c>
      <c r="AK38" s="2" t="s">
        <v>349</v>
      </c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163</v>
      </c>
      <c r="C39" s="57">
        <v>2023</v>
      </c>
      <c r="D39" s="54" t="s">
        <v>323</v>
      </c>
      <c r="E39" s="54"/>
      <c r="F39" s="2" t="s">
        <v>37</v>
      </c>
      <c r="G39" s="2">
        <f t="shared" si="2"/>
        <v>42</v>
      </c>
      <c r="H39" s="6">
        <f>I39+개인기록Sheet!C39</f>
        <v>7.6</v>
      </c>
      <c r="I39" s="6">
        <f t="shared" si="3"/>
        <v>7</v>
      </c>
      <c r="J39" s="2"/>
      <c r="K39" s="2" t="s">
        <v>349</v>
      </c>
      <c r="L39" s="2"/>
      <c r="M39" s="2"/>
      <c r="N39" s="2" t="s">
        <v>349</v>
      </c>
      <c r="O39" s="2"/>
      <c r="P39" s="2"/>
      <c r="Q39" s="2"/>
      <c r="R39" s="2"/>
      <c r="S39" s="2"/>
      <c r="T39" s="2"/>
      <c r="U39" s="2" t="s">
        <v>349</v>
      </c>
      <c r="V39" s="2"/>
      <c r="W39" s="2"/>
      <c r="X39" s="2"/>
      <c r="Y39" s="2"/>
      <c r="Z39" s="2" t="s">
        <v>349</v>
      </c>
      <c r="AA39" s="2"/>
      <c r="AB39" s="2"/>
      <c r="AC39" s="2"/>
      <c r="AD39" s="2"/>
      <c r="AE39" s="2" t="s">
        <v>349</v>
      </c>
      <c r="AF39" s="2"/>
      <c r="AG39" s="2"/>
      <c r="AH39" s="2"/>
      <c r="AI39" s="2" t="s">
        <v>349</v>
      </c>
      <c r="AJ39" s="2"/>
      <c r="AK39" s="2"/>
      <c r="AL39" s="2" t="s">
        <v>349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320</v>
      </c>
      <c r="C40" s="58">
        <v>2025</v>
      </c>
      <c r="D40" s="54">
        <f>COUNTA(W40:AN40)</f>
        <v>0</v>
      </c>
      <c r="E40" s="54"/>
      <c r="F40" s="2" t="s">
        <v>37</v>
      </c>
      <c r="G40" s="2">
        <f t="shared" si="2"/>
        <v>89</v>
      </c>
      <c r="H40" s="6">
        <f>I40+개인기록Sheet!C40</f>
        <v>0</v>
      </c>
      <c r="I40" s="6">
        <f t="shared" si="3"/>
        <v>0</v>
      </c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301</v>
      </c>
      <c r="C41" s="58">
        <v>2025</v>
      </c>
      <c r="D41" s="54" t="s">
        <v>323</v>
      </c>
      <c r="E41" s="54"/>
      <c r="F41" s="2" t="s">
        <v>37</v>
      </c>
      <c r="G41" s="2">
        <f t="shared" si="2"/>
        <v>76</v>
      </c>
      <c r="H41" s="6">
        <f>I41+개인기록Sheet!C41</f>
        <v>2.4</v>
      </c>
      <c r="I41" s="6">
        <f t="shared" si="3"/>
        <v>2</v>
      </c>
      <c r="J41" s="2"/>
      <c r="K41" s="2"/>
      <c r="L41" s="2"/>
      <c r="M41" s="2"/>
      <c r="N41" s="2"/>
      <c r="O41" s="2"/>
      <c r="P41" s="2"/>
      <c r="Q41" s="2" t="s">
        <v>349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 t="s">
        <v>349</v>
      </c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36</v>
      </c>
      <c r="C42" s="57" t="s">
        <v>319</v>
      </c>
      <c r="D42" s="54">
        <f t="shared" ref="D42:D43" si="8">COUNTA(W42:AN42)</f>
        <v>0</v>
      </c>
      <c r="E42" s="54"/>
      <c r="F42" s="2" t="s">
        <v>37</v>
      </c>
      <c r="G42" s="2">
        <f t="shared" si="2"/>
        <v>89</v>
      </c>
      <c r="H42" s="6">
        <f>I42+개인기록Sheet!C42</f>
        <v>0</v>
      </c>
      <c r="I42" s="6">
        <f t="shared" si="3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218</v>
      </c>
      <c r="C43" s="58">
        <v>2024</v>
      </c>
      <c r="D43" s="54">
        <f t="shared" si="8"/>
        <v>0</v>
      </c>
      <c r="E43" s="54"/>
      <c r="F43" s="2" t="s">
        <v>37</v>
      </c>
      <c r="G43" s="2">
        <f t="shared" si="2"/>
        <v>89</v>
      </c>
      <c r="H43" s="6">
        <f>I43+개인기록Sheet!C43</f>
        <v>0</v>
      </c>
      <c r="I43" s="6">
        <f t="shared" si="3"/>
        <v>0</v>
      </c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106</v>
      </c>
      <c r="C44" s="57">
        <v>2022</v>
      </c>
      <c r="D44" s="54" t="s">
        <v>323</v>
      </c>
      <c r="E44" s="54"/>
      <c r="F44" s="2" t="s">
        <v>37</v>
      </c>
      <c r="G44" s="2">
        <f t="shared" si="2"/>
        <v>76</v>
      </c>
      <c r="H44" s="6">
        <f>I44+개인기록Sheet!C44</f>
        <v>2.4</v>
      </c>
      <c r="I44" s="6">
        <f t="shared" si="3"/>
        <v>2</v>
      </c>
      <c r="J44" s="2"/>
      <c r="K44" s="2" t="s">
        <v>349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 t="s">
        <v>349</v>
      </c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181</v>
      </c>
      <c r="C45" s="57">
        <v>2023</v>
      </c>
      <c r="D45" s="54" t="s">
        <v>323</v>
      </c>
      <c r="E45" s="54"/>
      <c r="F45" s="2" t="s">
        <v>37</v>
      </c>
      <c r="G45" s="2">
        <f t="shared" si="2"/>
        <v>6</v>
      </c>
      <c r="H45" s="6">
        <f>I45+개인기록Sheet!C45</f>
        <v>21.2</v>
      </c>
      <c r="I45" s="6">
        <f t="shared" si="3"/>
        <v>17</v>
      </c>
      <c r="J45" s="2"/>
      <c r="K45" s="2" t="s">
        <v>349</v>
      </c>
      <c r="L45" s="2"/>
      <c r="M45" s="2"/>
      <c r="N45" s="2" t="s">
        <v>349</v>
      </c>
      <c r="O45" s="2" t="s">
        <v>349</v>
      </c>
      <c r="P45" s="2" t="s">
        <v>349</v>
      </c>
      <c r="Q45" s="2" t="s">
        <v>349</v>
      </c>
      <c r="R45" s="2"/>
      <c r="S45" s="2" t="s">
        <v>349</v>
      </c>
      <c r="T45" s="2"/>
      <c r="U45" s="2" t="s">
        <v>349</v>
      </c>
      <c r="V45" s="2" t="s">
        <v>349</v>
      </c>
      <c r="W45" s="2"/>
      <c r="X45" s="2" t="s">
        <v>349</v>
      </c>
      <c r="Y45" s="2"/>
      <c r="Z45" s="2"/>
      <c r="AA45" s="2"/>
      <c r="AB45" s="2" t="s">
        <v>349</v>
      </c>
      <c r="AC45" s="2" t="s">
        <v>349</v>
      </c>
      <c r="AD45" s="2" t="s">
        <v>349</v>
      </c>
      <c r="AE45" s="2"/>
      <c r="AF45" s="2" t="s">
        <v>349</v>
      </c>
      <c r="AG45" s="2" t="s">
        <v>349</v>
      </c>
      <c r="AH45" s="2" t="s">
        <v>349</v>
      </c>
      <c r="AI45" s="2" t="s">
        <v>349</v>
      </c>
      <c r="AJ45" s="2" t="s">
        <v>349</v>
      </c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368</v>
      </c>
      <c r="C46" s="58">
        <v>2026</v>
      </c>
      <c r="D46" s="54" t="s">
        <v>413</v>
      </c>
      <c r="E46" s="54"/>
      <c r="F46" s="2" t="s">
        <v>37</v>
      </c>
      <c r="G46" s="2">
        <f t="shared" si="2"/>
        <v>45</v>
      </c>
      <c r="H46" s="6">
        <f>I46+개인기록Sheet!C46</f>
        <v>7.2</v>
      </c>
      <c r="I46" s="6">
        <f t="shared" si="3"/>
        <v>7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 t="s">
        <v>349</v>
      </c>
      <c r="U46" s="2"/>
      <c r="V46" s="2"/>
      <c r="W46" s="2" t="s">
        <v>349</v>
      </c>
      <c r="X46" s="2"/>
      <c r="Y46" s="2"/>
      <c r="Z46" s="2" t="s">
        <v>349</v>
      </c>
      <c r="AA46" s="2"/>
      <c r="AB46" s="2"/>
      <c r="AC46" s="2"/>
      <c r="AD46" s="2"/>
      <c r="AE46" s="2"/>
      <c r="AF46" s="2" t="s">
        <v>349</v>
      </c>
      <c r="AG46" s="2"/>
      <c r="AH46" s="2" t="s">
        <v>349</v>
      </c>
      <c r="AI46" s="2" t="s">
        <v>349</v>
      </c>
      <c r="AJ46" s="2"/>
      <c r="AK46" s="2"/>
      <c r="AL46" s="2" t="s">
        <v>349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219</v>
      </c>
      <c r="C47" s="58">
        <v>2024</v>
      </c>
      <c r="D47" s="54" t="s">
        <v>413</v>
      </c>
      <c r="E47" s="54"/>
      <c r="F47" s="2" t="s">
        <v>37</v>
      </c>
      <c r="G47" s="2">
        <f t="shared" si="2"/>
        <v>44</v>
      </c>
      <c r="H47" s="6">
        <f>I47+개인기록Sheet!C47</f>
        <v>7.4</v>
      </c>
      <c r="I47" s="6">
        <f t="shared" si="3"/>
        <v>5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 t="s">
        <v>349</v>
      </c>
      <c r="AE47" s="2"/>
      <c r="AF47" s="2"/>
      <c r="AG47" s="2" t="s">
        <v>349</v>
      </c>
      <c r="AH47" s="2" t="s">
        <v>349</v>
      </c>
      <c r="AI47" s="2"/>
      <c r="AJ47" s="2" t="s">
        <v>349</v>
      </c>
      <c r="AK47" s="2" t="s">
        <v>349</v>
      </c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343</v>
      </c>
      <c r="C48" s="58">
        <v>2026</v>
      </c>
      <c r="D48" s="54">
        <f>COUNTA(W48:AN48)</f>
        <v>0</v>
      </c>
      <c r="E48" s="54"/>
      <c r="F48" s="60"/>
      <c r="G48" s="2">
        <f t="shared" si="2"/>
        <v>89</v>
      </c>
      <c r="H48" s="6">
        <f>I48+개인기록Sheet!C48</f>
        <v>0</v>
      </c>
      <c r="I48" s="6">
        <f t="shared" si="3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118</v>
      </c>
      <c r="C49" s="57">
        <v>2022</v>
      </c>
      <c r="D49" s="54" t="s">
        <v>323</v>
      </c>
      <c r="E49" s="54"/>
      <c r="F49" s="2" t="s">
        <v>37</v>
      </c>
      <c r="G49" s="2">
        <f t="shared" si="2"/>
        <v>14</v>
      </c>
      <c r="H49" s="6">
        <f>I49+개인기록Sheet!C49</f>
        <v>17.2</v>
      </c>
      <c r="I49" s="6">
        <f t="shared" si="3"/>
        <v>14</v>
      </c>
      <c r="J49" s="2"/>
      <c r="K49" s="2" t="s">
        <v>349</v>
      </c>
      <c r="L49" s="2"/>
      <c r="M49" s="2" t="s">
        <v>349</v>
      </c>
      <c r="N49" s="2"/>
      <c r="O49" s="2" t="s">
        <v>349</v>
      </c>
      <c r="P49" s="2"/>
      <c r="Q49" s="2"/>
      <c r="R49" s="2"/>
      <c r="S49" s="2" t="s">
        <v>349</v>
      </c>
      <c r="T49" s="2"/>
      <c r="U49" s="2" t="s">
        <v>349</v>
      </c>
      <c r="V49" s="2" t="s">
        <v>349</v>
      </c>
      <c r="W49" s="2"/>
      <c r="X49" s="2"/>
      <c r="Y49" s="2" t="s">
        <v>349</v>
      </c>
      <c r="Z49" s="2"/>
      <c r="AA49" s="2" t="s">
        <v>349</v>
      </c>
      <c r="AB49" s="2"/>
      <c r="AC49" s="2" t="s">
        <v>349</v>
      </c>
      <c r="AD49" s="2" t="s">
        <v>349</v>
      </c>
      <c r="AE49" s="2"/>
      <c r="AF49" s="2" t="s">
        <v>349</v>
      </c>
      <c r="AG49" s="2"/>
      <c r="AH49" s="2" t="s">
        <v>349</v>
      </c>
      <c r="AI49" s="2" t="s">
        <v>349</v>
      </c>
      <c r="AJ49" s="2" t="s">
        <v>349</v>
      </c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120</v>
      </c>
      <c r="C50" s="57">
        <v>2022</v>
      </c>
      <c r="D50" s="54">
        <f t="shared" ref="D50:D52" si="9">COUNTA(W50:AN50)</f>
        <v>2</v>
      </c>
      <c r="E50" s="54"/>
      <c r="F50" s="2" t="s">
        <v>37</v>
      </c>
      <c r="G50" s="2">
        <f t="shared" si="2"/>
        <v>79</v>
      </c>
      <c r="H50" s="6">
        <f>I50+개인기록Sheet!C50</f>
        <v>2</v>
      </c>
      <c r="I50" s="6">
        <f t="shared" si="3"/>
        <v>2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 t="s">
        <v>349</v>
      </c>
      <c r="AH50" s="2"/>
      <c r="AI50" s="2" t="s">
        <v>349</v>
      </c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344</v>
      </c>
      <c r="C51" s="58">
        <v>2025</v>
      </c>
      <c r="D51" s="54">
        <f t="shared" si="9"/>
        <v>0</v>
      </c>
      <c r="E51" s="54"/>
      <c r="F51" s="2" t="s">
        <v>37</v>
      </c>
      <c r="G51" s="2">
        <f t="shared" si="2"/>
        <v>89</v>
      </c>
      <c r="H51" s="6">
        <f>I51+개인기록Sheet!C51</f>
        <v>0</v>
      </c>
      <c r="I51" s="6">
        <f t="shared" si="3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117</v>
      </c>
      <c r="C52" s="57">
        <v>2022</v>
      </c>
      <c r="D52" s="54">
        <f t="shared" si="9"/>
        <v>0</v>
      </c>
      <c r="E52" s="54"/>
      <c r="F52" s="2" t="s">
        <v>37</v>
      </c>
      <c r="G52" s="2">
        <f t="shared" si="2"/>
        <v>89</v>
      </c>
      <c r="H52" s="6">
        <f>I52+개인기록Sheet!C52</f>
        <v>0</v>
      </c>
      <c r="I52" s="6">
        <f t="shared" si="3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135</v>
      </c>
      <c r="C53" s="57">
        <v>2023</v>
      </c>
      <c r="D53" s="54" t="s">
        <v>323</v>
      </c>
      <c r="E53" s="54"/>
      <c r="F53" s="2" t="s">
        <v>37</v>
      </c>
      <c r="G53" s="2">
        <f t="shared" si="2"/>
        <v>15</v>
      </c>
      <c r="H53" s="6">
        <f>I53+개인기록Sheet!C53</f>
        <v>16.2</v>
      </c>
      <c r="I53" s="6">
        <f t="shared" si="3"/>
        <v>14</v>
      </c>
      <c r="J53" s="2"/>
      <c r="K53" s="2" t="s">
        <v>349</v>
      </c>
      <c r="L53" s="2"/>
      <c r="M53" s="2"/>
      <c r="N53" s="2"/>
      <c r="O53" s="2" t="s">
        <v>349</v>
      </c>
      <c r="P53" s="2" t="s">
        <v>349</v>
      </c>
      <c r="Q53" s="2" t="s">
        <v>349</v>
      </c>
      <c r="R53" s="2"/>
      <c r="S53" s="2"/>
      <c r="T53" s="2" t="s">
        <v>349</v>
      </c>
      <c r="U53" s="2" t="s">
        <v>349</v>
      </c>
      <c r="V53" s="2"/>
      <c r="W53" s="2"/>
      <c r="X53" s="2"/>
      <c r="Y53" s="2" t="s">
        <v>349</v>
      </c>
      <c r="Z53" s="2"/>
      <c r="AA53" s="2" t="s">
        <v>349</v>
      </c>
      <c r="AB53" s="2" t="s">
        <v>349</v>
      </c>
      <c r="AC53" s="2"/>
      <c r="AD53" s="2" t="s">
        <v>349</v>
      </c>
      <c r="AE53" s="2" t="s">
        <v>349</v>
      </c>
      <c r="AF53" s="2" t="s">
        <v>349</v>
      </c>
      <c r="AG53" s="2"/>
      <c r="AH53" s="2" t="s">
        <v>349</v>
      </c>
      <c r="AI53" s="2"/>
      <c r="AJ53" s="2"/>
      <c r="AK53" s="2"/>
      <c r="AL53" s="2" t="s">
        <v>349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200</v>
      </c>
      <c r="C54" s="57">
        <v>2023</v>
      </c>
      <c r="D54" s="54">
        <f t="shared" ref="D54:D58" si="10">COUNTA(W54:AN54)</f>
        <v>0</v>
      </c>
      <c r="E54" s="54"/>
      <c r="F54" s="2" t="s">
        <v>37</v>
      </c>
      <c r="G54" s="2">
        <f t="shared" si="2"/>
        <v>89</v>
      </c>
      <c r="H54" s="6">
        <f>I54+개인기록Sheet!C54</f>
        <v>0</v>
      </c>
      <c r="I54" s="6">
        <f t="shared" si="3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373</v>
      </c>
      <c r="C55" s="58">
        <v>2026</v>
      </c>
      <c r="D55" s="54">
        <f t="shared" si="10"/>
        <v>2</v>
      </c>
      <c r="E55" s="54"/>
      <c r="F55" s="2" t="s">
        <v>37</v>
      </c>
      <c r="G55" s="2">
        <f t="shared" si="2"/>
        <v>66</v>
      </c>
      <c r="H55" s="6">
        <f>I55+개인기록Sheet!C55</f>
        <v>4.2</v>
      </c>
      <c r="I55" s="6">
        <f t="shared" si="3"/>
        <v>4</v>
      </c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 t="s">
        <v>349</v>
      </c>
      <c r="V55" s="2" t="s">
        <v>349</v>
      </c>
      <c r="W55" s="2"/>
      <c r="X55" s="2"/>
      <c r="Y55" s="2"/>
      <c r="Z55" s="2"/>
      <c r="AA55" s="2"/>
      <c r="AB55" s="2"/>
      <c r="AC55" s="2"/>
      <c r="AD55" s="2" t="s">
        <v>349</v>
      </c>
      <c r="AE55" s="2" t="s">
        <v>349</v>
      </c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363</v>
      </c>
      <c r="C56" s="58">
        <v>2026</v>
      </c>
      <c r="D56" s="54">
        <f t="shared" si="10"/>
        <v>2</v>
      </c>
      <c r="E56" s="54"/>
      <c r="F56" s="2" t="s">
        <v>37</v>
      </c>
      <c r="G56" s="2">
        <f t="shared" si="2"/>
        <v>55</v>
      </c>
      <c r="H56" s="6">
        <f>I56+개인기록Sheet!C56</f>
        <v>5.4</v>
      </c>
      <c r="I56" s="6">
        <f t="shared" si="3"/>
        <v>5</v>
      </c>
      <c r="J56" s="2"/>
      <c r="K56" s="2"/>
      <c r="L56" s="2"/>
      <c r="M56" s="2"/>
      <c r="N56" s="2"/>
      <c r="O56" s="2"/>
      <c r="P56" s="2"/>
      <c r="Q56" s="2"/>
      <c r="R56" s="2" t="s">
        <v>349</v>
      </c>
      <c r="S56" s="2" t="s">
        <v>349</v>
      </c>
      <c r="T56" s="2"/>
      <c r="U56" s="2" t="s">
        <v>349</v>
      </c>
      <c r="V56" s="2"/>
      <c r="W56" s="2"/>
      <c r="X56" s="2"/>
      <c r="Y56" s="2" t="s">
        <v>349</v>
      </c>
      <c r="Z56" s="2" t="s">
        <v>349</v>
      </c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132</v>
      </c>
      <c r="C57" s="57">
        <v>2023</v>
      </c>
      <c r="D57" s="54">
        <f t="shared" si="10"/>
        <v>0</v>
      </c>
      <c r="E57" s="54"/>
      <c r="F57" s="2" t="s">
        <v>37</v>
      </c>
      <c r="G57" s="2">
        <f t="shared" si="2"/>
        <v>89</v>
      </c>
      <c r="H57" s="6">
        <f>I57+개인기록Sheet!C57</f>
        <v>0</v>
      </c>
      <c r="I57" s="6">
        <f t="shared" si="3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38</v>
      </c>
      <c r="C58" s="57">
        <v>2022</v>
      </c>
      <c r="D58" s="54">
        <f t="shared" si="10"/>
        <v>0</v>
      </c>
      <c r="E58" s="54"/>
      <c r="F58" s="2" t="s">
        <v>37</v>
      </c>
      <c r="G58" s="2">
        <f t="shared" si="2"/>
        <v>89</v>
      </c>
      <c r="H58" s="6">
        <f>I58+개인기록Sheet!C58</f>
        <v>0</v>
      </c>
      <c r="I58" s="6">
        <f t="shared" si="3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130</v>
      </c>
      <c r="C59" s="57">
        <v>2023</v>
      </c>
      <c r="D59" s="54" t="s">
        <v>323</v>
      </c>
      <c r="E59" s="54"/>
      <c r="F59" s="2" t="s">
        <v>37</v>
      </c>
      <c r="G59" s="2">
        <f t="shared" si="2"/>
        <v>7</v>
      </c>
      <c r="H59" s="6">
        <f>I59+개인기록Sheet!C59</f>
        <v>20.399999999999999</v>
      </c>
      <c r="I59" s="6">
        <f t="shared" si="3"/>
        <v>17</v>
      </c>
      <c r="J59" s="2"/>
      <c r="K59" s="2" t="s">
        <v>349</v>
      </c>
      <c r="L59" s="2"/>
      <c r="M59" s="2"/>
      <c r="N59" s="2"/>
      <c r="O59" s="2"/>
      <c r="P59" s="2"/>
      <c r="Q59" s="2"/>
      <c r="R59" s="2"/>
      <c r="S59" s="2" t="s">
        <v>349</v>
      </c>
      <c r="T59" s="2" t="s">
        <v>349</v>
      </c>
      <c r="U59" s="2" t="s">
        <v>349</v>
      </c>
      <c r="V59" s="2" t="s">
        <v>349</v>
      </c>
      <c r="W59" s="2"/>
      <c r="X59" s="2" t="s">
        <v>349</v>
      </c>
      <c r="Y59" s="2" t="s">
        <v>349</v>
      </c>
      <c r="Z59" s="2" t="s">
        <v>349</v>
      </c>
      <c r="AA59" s="2"/>
      <c r="AB59" s="2" t="s">
        <v>349</v>
      </c>
      <c r="AC59" s="2"/>
      <c r="AD59" s="2" t="s">
        <v>349</v>
      </c>
      <c r="AE59" s="2" t="s">
        <v>349</v>
      </c>
      <c r="AF59" s="2" t="s">
        <v>349</v>
      </c>
      <c r="AG59" s="2"/>
      <c r="AH59" s="2" t="s">
        <v>349</v>
      </c>
      <c r="AI59" s="2" t="s">
        <v>349</v>
      </c>
      <c r="AJ59" s="2" t="s">
        <v>349</v>
      </c>
      <c r="AK59" s="2" t="s">
        <v>349</v>
      </c>
      <c r="AL59" s="2" t="s">
        <v>349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307</v>
      </c>
      <c r="C60" s="58">
        <v>2025</v>
      </c>
      <c r="D60" s="54" t="s">
        <v>323</v>
      </c>
      <c r="E60" s="54"/>
      <c r="F60" s="2" t="s">
        <v>37</v>
      </c>
      <c r="G60" s="2">
        <f t="shared" si="2"/>
        <v>72</v>
      </c>
      <c r="H60" s="6">
        <f>I60+개인기록Sheet!C60</f>
        <v>2.6</v>
      </c>
      <c r="I60" s="6">
        <f t="shared" si="3"/>
        <v>2</v>
      </c>
      <c r="J60" s="2" t="s">
        <v>349</v>
      </c>
      <c r="K60" s="2"/>
      <c r="L60" s="2"/>
      <c r="M60" s="2"/>
      <c r="N60" s="2"/>
      <c r="O60" s="2"/>
      <c r="P60" s="2" t="s">
        <v>349</v>
      </c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345</v>
      </c>
      <c r="C61" s="58">
        <v>2025</v>
      </c>
      <c r="D61" s="54" t="s">
        <v>350</v>
      </c>
      <c r="E61" s="54"/>
      <c r="F61" s="2" t="s">
        <v>37</v>
      </c>
      <c r="G61" s="2">
        <f t="shared" si="2"/>
        <v>35</v>
      </c>
      <c r="H61" s="6">
        <f>I61+개인기록Sheet!C61</f>
        <v>9.9</v>
      </c>
      <c r="I61" s="6">
        <f t="shared" si="3"/>
        <v>8</v>
      </c>
      <c r="J61" s="2"/>
      <c r="K61" s="2"/>
      <c r="L61" s="2"/>
      <c r="M61" s="2" t="s">
        <v>349</v>
      </c>
      <c r="N61" s="2"/>
      <c r="O61" s="2"/>
      <c r="P61" s="2"/>
      <c r="Q61" s="2"/>
      <c r="R61" s="2" t="s">
        <v>349</v>
      </c>
      <c r="S61" s="2"/>
      <c r="T61" s="2" t="s">
        <v>349</v>
      </c>
      <c r="U61" s="2"/>
      <c r="V61" s="2" t="s">
        <v>349</v>
      </c>
      <c r="W61" s="2" t="s">
        <v>349</v>
      </c>
      <c r="X61" s="2" t="s">
        <v>349</v>
      </c>
      <c r="Y61" s="2"/>
      <c r="Z61" s="2"/>
      <c r="AA61" s="2"/>
      <c r="AB61" s="2"/>
      <c r="AC61" s="2"/>
      <c r="AD61" s="2"/>
      <c r="AE61" s="2" t="s">
        <v>349</v>
      </c>
      <c r="AF61" s="2"/>
      <c r="AG61" s="2"/>
      <c r="AH61" s="2"/>
      <c r="AI61" s="2"/>
      <c r="AJ61" s="2"/>
      <c r="AK61" s="2" t="s">
        <v>349</v>
      </c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295</v>
      </c>
      <c r="C62" s="58">
        <v>2024</v>
      </c>
      <c r="D62" s="54">
        <f>COUNTA(W62:AN62)</f>
        <v>0</v>
      </c>
      <c r="E62" s="54"/>
      <c r="F62" s="2" t="s">
        <v>37</v>
      </c>
      <c r="G62" s="2">
        <f t="shared" si="2"/>
        <v>89</v>
      </c>
      <c r="H62" s="6">
        <f>I62+개인기록Sheet!C62</f>
        <v>0</v>
      </c>
      <c r="I62" s="6">
        <f t="shared" si="3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99</v>
      </c>
      <c r="C63" s="57">
        <v>2022</v>
      </c>
      <c r="D63" s="54" t="s">
        <v>323</v>
      </c>
      <c r="E63" s="54"/>
      <c r="F63" s="2" t="s">
        <v>37</v>
      </c>
      <c r="G63" s="2">
        <f t="shared" si="2"/>
        <v>72</v>
      </c>
      <c r="H63" s="6">
        <f>I63+개인기록Sheet!C63</f>
        <v>2.6</v>
      </c>
      <c r="I63" s="6">
        <f t="shared" si="3"/>
        <v>2</v>
      </c>
      <c r="J63" s="2"/>
      <c r="K63" s="2" t="s">
        <v>349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 t="s">
        <v>349</v>
      </c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300</v>
      </c>
      <c r="C64" s="58">
        <v>2025</v>
      </c>
      <c r="D64" s="54" t="s">
        <v>323</v>
      </c>
      <c r="E64" s="54"/>
      <c r="F64" s="2" t="s">
        <v>37</v>
      </c>
      <c r="G64" s="2">
        <f t="shared" si="2"/>
        <v>30</v>
      </c>
      <c r="H64" s="6">
        <f>I64+개인기록Sheet!C64</f>
        <v>11</v>
      </c>
      <c r="I64" s="6">
        <f t="shared" si="3"/>
        <v>9</v>
      </c>
      <c r="J64" s="2" t="s">
        <v>349</v>
      </c>
      <c r="K64" s="2" t="s">
        <v>349</v>
      </c>
      <c r="L64" s="2" t="s">
        <v>349</v>
      </c>
      <c r="M64" s="2" t="s">
        <v>349</v>
      </c>
      <c r="N64" s="2"/>
      <c r="O64" s="2" t="s">
        <v>349</v>
      </c>
      <c r="P64" s="2"/>
      <c r="Q64" s="2" t="s">
        <v>349</v>
      </c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 t="s">
        <v>349</v>
      </c>
      <c r="AI64" s="2"/>
      <c r="AJ64" s="2" t="s">
        <v>349</v>
      </c>
      <c r="AK64" s="2"/>
      <c r="AL64" s="2" t="s">
        <v>349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364</v>
      </c>
      <c r="C65" s="58">
        <v>2026</v>
      </c>
      <c r="D65" s="54" t="s">
        <v>413</v>
      </c>
      <c r="E65" s="54"/>
      <c r="F65" s="2" t="s">
        <v>37</v>
      </c>
      <c r="G65" s="2">
        <f t="shared" si="2"/>
        <v>29</v>
      </c>
      <c r="H65" s="6">
        <f>I65+개인기록Sheet!C65</f>
        <v>11.3</v>
      </c>
      <c r="I65" s="6">
        <f t="shared" si="3"/>
        <v>8</v>
      </c>
      <c r="J65" s="2"/>
      <c r="K65" s="2"/>
      <c r="L65" s="2"/>
      <c r="M65" s="2"/>
      <c r="N65" s="2"/>
      <c r="O65" s="2"/>
      <c r="P65" s="2"/>
      <c r="Q65" s="2"/>
      <c r="R65" s="2" t="s">
        <v>349</v>
      </c>
      <c r="S65" s="2" t="s">
        <v>349</v>
      </c>
      <c r="T65" s="2"/>
      <c r="U65" s="2"/>
      <c r="V65" s="2"/>
      <c r="W65" s="2"/>
      <c r="X65" s="2" t="s">
        <v>349</v>
      </c>
      <c r="Y65" s="2" t="s">
        <v>349</v>
      </c>
      <c r="Z65" s="2"/>
      <c r="AA65" s="2"/>
      <c r="AB65" s="2"/>
      <c r="AC65" s="2"/>
      <c r="AD65" s="2"/>
      <c r="AE65" s="2"/>
      <c r="AF65" s="2"/>
      <c r="AG65" s="2" t="s">
        <v>349</v>
      </c>
      <c r="AH65" s="2" t="s">
        <v>349</v>
      </c>
      <c r="AI65" s="2"/>
      <c r="AJ65" s="2" t="s">
        <v>349</v>
      </c>
      <c r="AK65" s="2" t="s">
        <v>349</v>
      </c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362</v>
      </c>
      <c r="C66" s="58">
        <v>2026</v>
      </c>
      <c r="D66" s="54">
        <f>COUNTA(W66:AN66)</f>
        <v>1</v>
      </c>
      <c r="E66" s="54"/>
      <c r="F66" s="2" t="s">
        <v>37</v>
      </c>
      <c r="G66" s="2">
        <f t="shared" si="2"/>
        <v>65</v>
      </c>
      <c r="H66" s="6">
        <f>I66+개인기록Sheet!C66</f>
        <v>4.3</v>
      </c>
      <c r="I66" s="6">
        <f t="shared" si="3"/>
        <v>4</v>
      </c>
      <c r="J66" s="2"/>
      <c r="K66" s="2"/>
      <c r="L66" s="2"/>
      <c r="M66" s="2"/>
      <c r="N66" s="2"/>
      <c r="O66" s="2"/>
      <c r="P66" s="2"/>
      <c r="Q66" s="2"/>
      <c r="R66" s="2" t="s">
        <v>349</v>
      </c>
      <c r="S66" s="2" t="s">
        <v>349</v>
      </c>
      <c r="T66" s="2"/>
      <c r="U66" s="2" t="s">
        <v>349</v>
      </c>
      <c r="V66" s="2"/>
      <c r="W66" s="2"/>
      <c r="X66" s="2"/>
      <c r="Y66" s="2" t="s">
        <v>349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110</v>
      </c>
      <c r="C67" s="57">
        <v>2022</v>
      </c>
      <c r="D67" s="54" t="s">
        <v>323</v>
      </c>
      <c r="E67" s="54"/>
      <c r="F67" s="2" t="s">
        <v>37</v>
      </c>
      <c r="G67" s="2">
        <f t="shared" si="2"/>
        <v>38</v>
      </c>
      <c r="H67" s="6">
        <f>I67+개인기록Sheet!C67</f>
        <v>9</v>
      </c>
      <c r="I67" s="6">
        <f t="shared" si="3"/>
        <v>7</v>
      </c>
      <c r="J67" s="2"/>
      <c r="K67" s="2"/>
      <c r="L67" s="2"/>
      <c r="M67" s="2"/>
      <c r="N67" s="2" t="s">
        <v>349</v>
      </c>
      <c r="O67" s="2"/>
      <c r="P67" s="2"/>
      <c r="Q67" s="2" t="s">
        <v>349</v>
      </c>
      <c r="R67" s="2"/>
      <c r="S67" s="2" t="s">
        <v>349</v>
      </c>
      <c r="T67" s="2"/>
      <c r="U67" s="2"/>
      <c r="V67" s="2"/>
      <c r="W67" s="2"/>
      <c r="X67" s="2"/>
      <c r="Y67" s="2"/>
      <c r="Z67" s="2" t="s">
        <v>349</v>
      </c>
      <c r="AA67" s="2"/>
      <c r="AB67" s="2"/>
      <c r="AC67" s="2" t="s">
        <v>349</v>
      </c>
      <c r="AD67" s="2" t="s">
        <v>349</v>
      </c>
      <c r="AE67" s="2"/>
      <c r="AF67" s="2" t="s">
        <v>349</v>
      </c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</v>
      </c>
      <c r="C68" s="57" t="s">
        <v>319</v>
      </c>
      <c r="D68" s="54">
        <f t="shared" ref="D68:D70" si="11">COUNTA(W68:AN68)</f>
        <v>0</v>
      </c>
      <c r="E68" s="54"/>
      <c r="F68" s="2" t="s">
        <v>37</v>
      </c>
      <c r="G68" s="2">
        <f t="shared" si="2"/>
        <v>89</v>
      </c>
      <c r="H68" s="6">
        <f>I68+개인기록Sheet!C68</f>
        <v>0</v>
      </c>
      <c r="I68" s="6">
        <f t="shared" si="3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415</v>
      </c>
      <c r="C69" s="57"/>
      <c r="D69" s="54"/>
      <c r="E69" s="54"/>
      <c r="F69" s="60"/>
      <c r="G69" s="2">
        <f t="shared" ref="G69:G124" si="12">RANK(H69,$H$4:$H$124,0)</f>
        <v>89</v>
      </c>
      <c r="H69" s="6">
        <f>I69+개인기록Sheet!C69</f>
        <v>0</v>
      </c>
      <c r="I69" s="6">
        <f t="shared" ref="I69:I124" si="13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346</v>
      </c>
      <c r="C70" s="58">
        <v>2025</v>
      </c>
      <c r="D70" s="54">
        <f t="shared" si="11"/>
        <v>0</v>
      </c>
      <c r="E70" s="54"/>
      <c r="F70" s="2" t="s">
        <v>37</v>
      </c>
      <c r="G70" s="2">
        <f t="shared" si="12"/>
        <v>89</v>
      </c>
      <c r="H70" s="6">
        <f>I70+개인기록Sheet!C70</f>
        <v>0</v>
      </c>
      <c r="I70" s="6">
        <f t="shared" si="13"/>
        <v>0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297</v>
      </c>
      <c r="C71" s="58">
        <v>2025</v>
      </c>
      <c r="D71" s="54" t="s">
        <v>323</v>
      </c>
      <c r="E71" s="54"/>
      <c r="F71" s="2" t="s">
        <v>37</v>
      </c>
      <c r="G71" s="2">
        <f t="shared" si="12"/>
        <v>8</v>
      </c>
      <c r="H71" s="6">
        <f>I71+개인기록Sheet!C71</f>
        <v>20</v>
      </c>
      <c r="I71" s="6">
        <f t="shared" si="13"/>
        <v>15</v>
      </c>
      <c r="J71" s="2"/>
      <c r="K71" s="2" t="s">
        <v>349</v>
      </c>
      <c r="L71" s="2"/>
      <c r="M71" s="2"/>
      <c r="N71" s="2" t="s">
        <v>349</v>
      </c>
      <c r="O71" s="2"/>
      <c r="P71" s="2"/>
      <c r="Q71" s="2" t="s">
        <v>349</v>
      </c>
      <c r="R71" s="2"/>
      <c r="S71" s="2" t="s">
        <v>349</v>
      </c>
      <c r="T71" s="2" t="s">
        <v>349</v>
      </c>
      <c r="U71" s="2" t="s">
        <v>349</v>
      </c>
      <c r="V71" s="2"/>
      <c r="W71" s="2" t="s">
        <v>349</v>
      </c>
      <c r="X71" s="2"/>
      <c r="Y71" s="2"/>
      <c r="Z71" s="2" t="s">
        <v>349</v>
      </c>
      <c r="AA71" s="2" t="s">
        <v>349</v>
      </c>
      <c r="AB71" s="2" t="s">
        <v>349</v>
      </c>
      <c r="AC71" s="2" t="s">
        <v>349</v>
      </c>
      <c r="AD71" s="2" t="s">
        <v>349</v>
      </c>
      <c r="AE71" s="2"/>
      <c r="AF71" s="2" t="s">
        <v>349</v>
      </c>
      <c r="AG71" s="2"/>
      <c r="AH71" s="2"/>
      <c r="AI71" s="2"/>
      <c r="AJ71" s="2" t="s">
        <v>349</v>
      </c>
      <c r="AK71" s="2" t="s">
        <v>349</v>
      </c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369</v>
      </c>
      <c r="C72" s="58">
        <v>2026</v>
      </c>
      <c r="D72" s="54">
        <f>COUNTA(W72:AN72)</f>
        <v>3</v>
      </c>
      <c r="E72" s="54"/>
      <c r="F72" s="2" t="s">
        <v>37</v>
      </c>
      <c r="G72" s="2">
        <f t="shared" si="12"/>
        <v>62</v>
      </c>
      <c r="H72" s="6">
        <f>I72+개인기록Sheet!C72</f>
        <v>4.4000000000000004</v>
      </c>
      <c r="I72" s="6">
        <f t="shared" si="13"/>
        <v>4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 t="s">
        <v>349</v>
      </c>
      <c r="V72" s="2"/>
      <c r="W72" s="2" t="s">
        <v>349</v>
      </c>
      <c r="X72" s="2" t="s">
        <v>349</v>
      </c>
      <c r="Y72" s="2" t="s">
        <v>349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125</v>
      </c>
      <c r="C73" s="57">
        <v>2023</v>
      </c>
      <c r="D73" s="54" t="s">
        <v>323</v>
      </c>
      <c r="E73" s="54"/>
      <c r="F73" s="2" t="s">
        <v>37</v>
      </c>
      <c r="G73" s="2">
        <f t="shared" si="12"/>
        <v>57</v>
      </c>
      <c r="H73" s="6">
        <f>I73+개인기록Sheet!C73</f>
        <v>5.2</v>
      </c>
      <c r="I73" s="6">
        <f t="shared" si="13"/>
        <v>5</v>
      </c>
      <c r="J73" s="2"/>
      <c r="K73" s="2"/>
      <c r="L73" s="2" t="s">
        <v>349</v>
      </c>
      <c r="M73" s="2"/>
      <c r="N73" s="2"/>
      <c r="O73" s="2"/>
      <c r="P73" s="2" t="s">
        <v>349</v>
      </c>
      <c r="Q73" s="2"/>
      <c r="R73" s="2"/>
      <c r="S73" s="2"/>
      <c r="T73" s="2"/>
      <c r="U73" s="2"/>
      <c r="V73" s="2"/>
      <c r="W73" s="2"/>
      <c r="X73" s="2"/>
      <c r="Y73" s="2" t="s">
        <v>349</v>
      </c>
      <c r="Z73" s="2"/>
      <c r="AA73" s="2"/>
      <c r="AB73" s="2"/>
      <c r="AC73" s="2"/>
      <c r="AD73" s="2"/>
      <c r="AE73" s="2"/>
      <c r="AF73" s="2"/>
      <c r="AG73" s="2"/>
      <c r="AH73" s="2"/>
      <c r="AI73" s="2" t="s">
        <v>349</v>
      </c>
      <c r="AJ73" s="2"/>
      <c r="AK73" s="2" t="s">
        <v>349</v>
      </c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97</v>
      </c>
      <c r="C74" s="57">
        <v>2021</v>
      </c>
      <c r="D74" s="54" t="s">
        <v>323</v>
      </c>
      <c r="E74" s="54"/>
      <c r="F74" s="2" t="s">
        <v>37</v>
      </c>
      <c r="G74" s="2">
        <f t="shared" si="12"/>
        <v>45</v>
      </c>
      <c r="H74" s="6">
        <f>I74+개인기록Sheet!C74</f>
        <v>7.2</v>
      </c>
      <c r="I74" s="6">
        <f t="shared" si="13"/>
        <v>6</v>
      </c>
      <c r="J74" s="2"/>
      <c r="K74" s="2" t="s">
        <v>349</v>
      </c>
      <c r="L74" s="2"/>
      <c r="M74" s="2"/>
      <c r="N74" s="2"/>
      <c r="O74" s="2" t="s">
        <v>349</v>
      </c>
      <c r="P74" s="2"/>
      <c r="Q74" s="2" t="s">
        <v>349</v>
      </c>
      <c r="R74" s="2" t="s">
        <v>349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 t="s">
        <v>349</v>
      </c>
      <c r="AI74" s="2"/>
      <c r="AJ74" s="2" t="s">
        <v>349</v>
      </c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43</v>
      </c>
      <c r="C75" s="57" t="s">
        <v>319</v>
      </c>
      <c r="D75" s="54">
        <f>COUNTA(W75:AN75)</f>
        <v>0</v>
      </c>
      <c r="E75" s="54"/>
      <c r="F75" s="2" t="s">
        <v>37</v>
      </c>
      <c r="G75" s="2">
        <f t="shared" si="12"/>
        <v>89</v>
      </c>
      <c r="H75" s="6">
        <f>I75+개인기록Sheet!C75</f>
        <v>0</v>
      </c>
      <c r="I75" s="6">
        <f t="shared" si="13"/>
        <v>0</v>
      </c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305</v>
      </c>
      <c r="C76" s="58">
        <v>2025</v>
      </c>
      <c r="D76" s="54" t="s">
        <v>323</v>
      </c>
      <c r="E76" s="54"/>
      <c r="F76" s="2" t="s">
        <v>37</v>
      </c>
      <c r="G76" s="2">
        <f t="shared" si="12"/>
        <v>51</v>
      </c>
      <c r="H76" s="6">
        <f>I76+개인기록Sheet!C76</f>
        <v>6.2</v>
      </c>
      <c r="I76" s="6">
        <f t="shared" si="13"/>
        <v>5</v>
      </c>
      <c r="J76" s="2"/>
      <c r="K76" s="2" t="s">
        <v>349</v>
      </c>
      <c r="L76" s="2"/>
      <c r="M76" s="2" t="s">
        <v>349</v>
      </c>
      <c r="N76" s="2"/>
      <c r="O76" s="2"/>
      <c r="P76" s="2"/>
      <c r="Q76" s="2" t="s">
        <v>349</v>
      </c>
      <c r="R76" s="2"/>
      <c r="S76" s="2"/>
      <c r="T76" s="2"/>
      <c r="U76" s="2"/>
      <c r="V76" s="2"/>
      <c r="W76" s="2"/>
      <c r="X76" s="2"/>
      <c r="Y76" s="2"/>
      <c r="Z76" s="2"/>
      <c r="AA76" s="2"/>
      <c r="AB76" s="2" t="s">
        <v>349</v>
      </c>
      <c r="AC76" s="2"/>
      <c r="AD76" s="2"/>
      <c r="AE76" s="2"/>
      <c r="AF76" s="2" t="s">
        <v>349</v>
      </c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75</v>
      </c>
      <c r="C77" s="57" t="s">
        <v>319</v>
      </c>
      <c r="D77" s="54" t="s">
        <v>323</v>
      </c>
      <c r="E77" s="54"/>
      <c r="F77" s="2" t="s">
        <v>37</v>
      </c>
      <c r="G77" s="2">
        <f t="shared" si="12"/>
        <v>54</v>
      </c>
      <c r="H77" s="6">
        <f>I77+개인기록Sheet!C77</f>
        <v>5.6</v>
      </c>
      <c r="I77" s="6">
        <f t="shared" si="13"/>
        <v>4</v>
      </c>
      <c r="J77" s="2"/>
      <c r="K77" s="2" t="s">
        <v>349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 t="s">
        <v>349</v>
      </c>
      <c r="X77" s="2"/>
      <c r="Y77" s="2"/>
      <c r="Z77" s="2"/>
      <c r="AA77" s="2"/>
      <c r="AB77" s="2" t="s">
        <v>349</v>
      </c>
      <c r="AC77" s="2" t="s">
        <v>349</v>
      </c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348</v>
      </c>
      <c r="C78" s="57">
        <v>2026</v>
      </c>
      <c r="D78" s="54" t="s">
        <v>413</v>
      </c>
      <c r="E78" s="54"/>
      <c r="F78" s="2" t="s">
        <v>37</v>
      </c>
      <c r="G78" s="2">
        <f t="shared" si="12"/>
        <v>47</v>
      </c>
      <c r="H78" s="6">
        <f>I78+개인기록Sheet!C78</f>
        <v>7.1</v>
      </c>
      <c r="I78" s="6">
        <f t="shared" si="13"/>
        <v>6</v>
      </c>
      <c r="J78" s="2"/>
      <c r="K78" s="2"/>
      <c r="L78" s="2"/>
      <c r="M78" s="2" t="s">
        <v>349</v>
      </c>
      <c r="N78" s="2"/>
      <c r="O78" s="2"/>
      <c r="P78" s="2" t="s">
        <v>349</v>
      </c>
      <c r="Q78" s="2"/>
      <c r="R78" s="2" t="s">
        <v>349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 t="s">
        <v>349</v>
      </c>
      <c r="AJ78" s="2" t="s">
        <v>349</v>
      </c>
      <c r="AK78" s="2" t="s">
        <v>349</v>
      </c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326</v>
      </c>
      <c r="C79" s="58">
        <v>2025</v>
      </c>
      <c r="D79" s="54">
        <f t="shared" ref="D79:D80" si="14">COUNTA(W79:AN79)</f>
        <v>0</v>
      </c>
      <c r="E79" s="54"/>
      <c r="F79" s="2" t="s">
        <v>37</v>
      </c>
      <c r="G79" s="2">
        <f t="shared" si="12"/>
        <v>89</v>
      </c>
      <c r="H79" s="6">
        <f>I79+개인기록Sheet!C79</f>
        <v>0</v>
      </c>
      <c r="I79" s="6">
        <f t="shared" si="13"/>
        <v>0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162</v>
      </c>
      <c r="C80" s="57">
        <v>2023</v>
      </c>
      <c r="D80" s="54">
        <f t="shared" si="14"/>
        <v>2</v>
      </c>
      <c r="E80" s="54"/>
      <c r="F80" s="2" t="s">
        <v>37</v>
      </c>
      <c r="G80" s="2">
        <f t="shared" si="12"/>
        <v>72</v>
      </c>
      <c r="H80" s="6">
        <f>I80+개인기록Sheet!C80</f>
        <v>2.6</v>
      </c>
      <c r="I80" s="6">
        <f t="shared" si="13"/>
        <v>2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 t="s">
        <v>349</v>
      </c>
      <c r="Z80" s="2"/>
      <c r="AA80" s="2"/>
      <c r="AB80" s="2"/>
      <c r="AC80" s="2"/>
      <c r="AD80" s="2"/>
      <c r="AE80" s="2"/>
      <c r="AF80" s="2" t="s">
        <v>349</v>
      </c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347</v>
      </c>
      <c r="C81" s="58">
        <v>2025</v>
      </c>
      <c r="D81" s="54" t="s">
        <v>323</v>
      </c>
      <c r="E81" s="54"/>
      <c r="F81" s="2" t="s">
        <v>37</v>
      </c>
      <c r="G81" s="2">
        <f t="shared" si="12"/>
        <v>38</v>
      </c>
      <c r="H81" s="6">
        <f>I81+개인기록Sheet!C81</f>
        <v>9</v>
      </c>
      <c r="I81" s="6">
        <f t="shared" si="13"/>
        <v>8</v>
      </c>
      <c r="J81" s="2"/>
      <c r="K81" s="2"/>
      <c r="L81" s="2"/>
      <c r="M81" s="2" t="s">
        <v>349</v>
      </c>
      <c r="N81" s="2"/>
      <c r="O81" s="2"/>
      <c r="P81" s="2" t="s">
        <v>349</v>
      </c>
      <c r="Q81" s="2"/>
      <c r="R81" s="2"/>
      <c r="S81" s="2"/>
      <c r="T81" s="2" t="s">
        <v>349</v>
      </c>
      <c r="U81" s="2"/>
      <c r="V81" s="2"/>
      <c r="W81" s="2" t="s">
        <v>349</v>
      </c>
      <c r="X81" s="2" t="s">
        <v>349</v>
      </c>
      <c r="Y81" s="2"/>
      <c r="Z81" s="2"/>
      <c r="AA81" s="2"/>
      <c r="AB81" s="2"/>
      <c r="AC81" s="2"/>
      <c r="AD81" s="2"/>
      <c r="AE81" s="2" t="s">
        <v>349</v>
      </c>
      <c r="AF81" s="2"/>
      <c r="AG81" s="2"/>
      <c r="AH81" s="2"/>
      <c r="AI81" s="2" t="s">
        <v>349</v>
      </c>
      <c r="AJ81" s="2" t="s">
        <v>349</v>
      </c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178</v>
      </c>
      <c r="C82" s="57">
        <v>2023</v>
      </c>
      <c r="D82" s="54" t="s">
        <v>323</v>
      </c>
      <c r="E82" s="54"/>
      <c r="F82" s="2" t="s">
        <v>37</v>
      </c>
      <c r="G82" s="2">
        <f t="shared" si="12"/>
        <v>62</v>
      </c>
      <c r="H82" s="6">
        <f>I82+개인기록Sheet!C82</f>
        <v>4.4000000000000004</v>
      </c>
      <c r="I82" s="6">
        <f t="shared" si="13"/>
        <v>4</v>
      </c>
      <c r="J82" s="2"/>
      <c r="K82" s="2"/>
      <c r="L82" s="2"/>
      <c r="M82" s="2" t="s">
        <v>349</v>
      </c>
      <c r="N82" s="2" t="s">
        <v>349</v>
      </c>
      <c r="O82" s="2"/>
      <c r="P82" s="2"/>
      <c r="Q82" s="2" t="s">
        <v>349</v>
      </c>
      <c r="R82" s="2" t="s">
        <v>349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7</v>
      </c>
      <c r="C83" s="57" t="s">
        <v>319</v>
      </c>
      <c r="D83" s="54" t="s">
        <v>323</v>
      </c>
      <c r="E83" s="54"/>
      <c r="F83" s="2" t="s">
        <v>37</v>
      </c>
      <c r="G83" s="2">
        <f t="shared" si="12"/>
        <v>27</v>
      </c>
      <c r="H83" s="6">
        <f>I83+개인기록Sheet!C83</f>
        <v>11.5</v>
      </c>
      <c r="I83" s="6">
        <f t="shared" si="13"/>
        <v>9</v>
      </c>
      <c r="J83" s="2"/>
      <c r="K83" s="2"/>
      <c r="L83" s="2" t="s">
        <v>349</v>
      </c>
      <c r="M83" s="2"/>
      <c r="N83" s="2"/>
      <c r="O83" s="2"/>
      <c r="P83" s="2"/>
      <c r="Q83" s="2"/>
      <c r="R83" s="2" t="s">
        <v>349</v>
      </c>
      <c r="S83" s="2"/>
      <c r="T83" s="2"/>
      <c r="U83" s="2"/>
      <c r="V83" s="2"/>
      <c r="W83" s="2"/>
      <c r="X83" s="2"/>
      <c r="Y83" s="2" t="s">
        <v>349</v>
      </c>
      <c r="Z83" s="2" t="s">
        <v>349</v>
      </c>
      <c r="AA83" s="2"/>
      <c r="AB83" s="2" t="s">
        <v>349</v>
      </c>
      <c r="AC83" s="2"/>
      <c r="AD83" s="2" t="s">
        <v>349</v>
      </c>
      <c r="AE83" s="2" t="s">
        <v>349</v>
      </c>
      <c r="AF83" s="2"/>
      <c r="AG83" s="2"/>
      <c r="AH83" s="2"/>
      <c r="AI83" s="2"/>
      <c r="AJ83" s="2" t="s">
        <v>349</v>
      </c>
      <c r="AK83" s="2"/>
      <c r="AL83" s="2" t="s">
        <v>349</v>
      </c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92</v>
      </c>
      <c r="C84" s="57">
        <v>2022</v>
      </c>
      <c r="D84" s="54" t="s">
        <v>323</v>
      </c>
      <c r="E84" s="54"/>
      <c r="F84" s="2" t="s">
        <v>37</v>
      </c>
      <c r="G84" s="2">
        <f t="shared" si="12"/>
        <v>28</v>
      </c>
      <c r="H84" s="6">
        <f>I84+개인기록Sheet!C84</f>
        <v>11.4</v>
      </c>
      <c r="I84" s="6">
        <f t="shared" si="13"/>
        <v>9</v>
      </c>
      <c r="J84" s="2"/>
      <c r="K84" s="2"/>
      <c r="L84" s="2"/>
      <c r="M84" s="2"/>
      <c r="N84" s="2"/>
      <c r="O84" s="2" t="s">
        <v>349</v>
      </c>
      <c r="P84" s="2"/>
      <c r="Q84" s="2" t="s">
        <v>349</v>
      </c>
      <c r="R84" s="2"/>
      <c r="S84" s="2" t="s">
        <v>349</v>
      </c>
      <c r="T84" s="2"/>
      <c r="U84" s="2"/>
      <c r="V84" s="2"/>
      <c r="W84" s="2" t="s">
        <v>349</v>
      </c>
      <c r="X84" s="2"/>
      <c r="Y84" s="2" t="s">
        <v>349</v>
      </c>
      <c r="Z84" s="2"/>
      <c r="AA84" s="2" t="s">
        <v>349</v>
      </c>
      <c r="AB84" s="2"/>
      <c r="AC84" s="2"/>
      <c r="AD84" s="2"/>
      <c r="AE84" s="2"/>
      <c r="AF84" s="2" t="s">
        <v>349</v>
      </c>
      <c r="AG84" s="2"/>
      <c r="AH84" s="2"/>
      <c r="AI84" s="2" t="s">
        <v>349</v>
      </c>
      <c r="AJ84" s="2" t="s">
        <v>349</v>
      </c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34</v>
      </c>
      <c r="C85" s="57" t="s">
        <v>319</v>
      </c>
      <c r="D85" s="54" t="s">
        <v>323</v>
      </c>
      <c r="E85" s="54"/>
      <c r="F85" s="2" t="s">
        <v>37</v>
      </c>
      <c r="G85" s="2">
        <f t="shared" si="12"/>
        <v>36</v>
      </c>
      <c r="H85" s="6">
        <f>I85+개인기록Sheet!C85</f>
        <v>9.4</v>
      </c>
      <c r="I85" s="6">
        <f t="shared" si="13"/>
        <v>8</v>
      </c>
      <c r="J85" s="2"/>
      <c r="K85" s="2"/>
      <c r="L85" s="2"/>
      <c r="M85" s="2"/>
      <c r="N85" s="2"/>
      <c r="O85" s="2"/>
      <c r="P85" s="2"/>
      <c r="Q85" s="2" t="s">
        <v>349</v>
      </c>
      <c r="R85" s="2"/>
      <c r="S85" s="2"/>
      <c r="T85" s="2" t="s">
        <v>349</v>
      </c>
      <c r="U85" s="2" t="s">
        <v>349</v>
      </c>
      <c r="V85" s="2"/>
      <c r="W85" s="2" t="s">
        <v>349</v>
      </c>
      <c r="X85" s="2"/>
      <c r="Y85" s="2"/>
      <c r="Z85" s="2" t="s">
        <v>349</v>
      </c>
      <c r="AA85" s="2" t="s">
        <v>349</v>
      </c>
      <c r="AB85" s="2"/>
      <c r="AC85" s="2"/>
      <c r="AD85" s="2"/>
      <c r="AE85" s="2"/>
      <c r="AF85" s="2"/>
      <c r="AG85" s="2"/>
      <c r="AH85" s="2" t="s">
        <v>349</v>
      </c>
      <c r="AI85" s="2"/>
      <c r="AJ85" s="2" t="s">
        <v>349</v>
      </c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233</v>
      </c>
      <c r="C86" s="58">
        <v>2024</v>
      </c>
      <c r="D86" s="54" t="s">
        <v>323</v>
      </c>
      <c r="E86" s="54"/>
      <c r="F86" s="2" t="s">
        <v>37</v>
      </c>
      <c r="G86" s="2">
        <f t="shared" si="12"/>
        <v>30</v>
      </c>
      <c r="H86" s="6">
        <f>I86+개인기록Sheet!C86</f>
        <v>11</v>
      </c>
      <c r="I86" s="6">
        <f t="shared" si="13"/>
        <v>9</v>
      </c>
      <c r="J86" s="2"/>
      <c r="K86" s="2"/>
      <c r="L86" s="2"/>
      <c r="M86" s="2"/>
      <c r="N86" s="2"/>
      <c r="O86" s="2" t="s">
        <v>349</v>
      </c>
      <c r="P86" s="2"/>
      <c r="Q86" s="2"/>
      <c r="R86" s="2"/>
      <c r="S86" s="2" t="s">
        <v>349</v>
      </c>
      <c r="T86" s="2"/>
      <c r="U86" s="2"/>
      <c r="V86" s="2"/>
      <c r="W86" s="2"/>
      <c r="X86" s="2"/>
      <c r="Y86" s="2"/>
      <c r="Z86" s="2"/>
      <c r="AA86" s="2" t="s">
        <v>349</v>
      </c>
      <c r="AB86" s="2"/>
      <c r="AC86" s="2" t="s">
        <v>349</v>
      </c>
      <c r="AD86" s="2" t="s">
        <v>349</v>
      </c>
      <c r="AE86" s="2" t="s">
        <v>349</v>
      </c>
      <c r="AF86" s="2"/>
      <c r="AG86" s="2" t="s">
        <v>349</v>
      </c>
      <c r="AH86" s="2" t="s">
        <v>349</v>
      </c>
      <c r="AI86" s="2"/>
      <c r="AJ86" s="2"/>
      <c r="AK86" s="2"/>
      <c r="AL86" s="2" t="s">
        <v>349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5</v>
      </c>
      <c r="C87" s="57" t="s">
        <v>319</v>
      </c>
      <c r="D87" s="54" t="s">
        <v>323</v>
      </c>
      <c r="E87" s="54"/>
      <c r="F87" s="2" t="s">
        <v>37</v>
      </c>
      <c r="G87" s="2">
        <f t="shared" si="12"/>
        <v>62</v>
      </c>
      <c r="H87" s="6">
        <f>I87+개인기록Sheet!C87</f>
        <v>4.4000000000000004</v>
      </c>
      <c r="I87" s="6">
        <f t="shared" si="13"/>
        <v>4</v>
      </c>
      <c r="J87" s="2"/>
      <c r="K87" s="2"/>
      <c r="L87" s="2"/>
      <c r="M87" s="2"/>
      <c r="N87" s="2"/>
      <c r="O87" s="2"/>
      <c r="P87" s="2"/>
      <c r="Q87" s="2"/>
      <c r="R87" s="2" t="s">
        <v>349</v>
      </c>
      <c r="S87" s="2"/>
      <c r="T87" s="2"/>
      <c r="U87" s="2"/>
      <c r="V87" s="2" t="s">
        <v>349</v>
      </c>
      <c r="W87" s="2"/>
      <c r="X87" s="2" t="s">
        <v>349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 t="s">
        <v>349</v>
      </c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372</v>
      </c>
      <c r="C88" s="58">
        <v>2026</v>
      </c>
      <c r="D88" s="54" t="s">
        <v>350</v>
      </c>
      <c r="E88" s="54"/>
      <c r="F88" s="2" t="s">
        <v>37</v>
      </c>
      <c r="G88" s="2">
        <f t="shared" si="12"/>
        <v>48</v>
      </c>
      <c r="H88" s="6">
        <f>I88+개인기록Sheet!C88</f>
        <v>6.9</v>
      </c>
      <c r="I88" s="6">
        <f t="shared" si="13"/>
        <v>6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 t="s">
        <v>349</v>
      </c>
      <c r="V88" s="2"/>
      <c r="W88" s="2" t="s">
        <v>349</v>
      </c>
      <c r="X88" s="2" t="s">
        <v>349</v>
      </c>
      <c r="Y88" s="2" t="s">
        <v>349</v>
      </c>
      <c r="Z88" s="2"/>
      <c r="AA88" s="2"/>
      <c r="AB88" s="2"/>
      <c r="AC88" s="2"/>
      <c r="AD88" s="2"/>
      <c r="AE88" s="2" t="s">
        <v>349</v>
      </c>
      <c r="AF88" s="2" t="s">
        <v>349</v>
      </c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312</v>
      </c>
      <c r="C89" s="58">
        <v>2025</v>
      </c>
      <c r="D89" s="54" t="s">
        <v>323</v>
      </c>
      <c r="E89" s="54"/>
      <c r="F89" s="2" t="s">
        <v>37</v>
      </c>
      <c r="G89" s="2">
        <f t="shared" si="12"/>
        <v>57</v>
      </c>
      <c r="H89" s="6">
        <f>I89+개인기록Sheet!C89</f>
        <v>5.2</v>
      </c>
      <c r="I89" s="6">
        <f t="shared" si="13"/>
        <v>4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 t="s">
        <v>349</v>
      </c>
      <c r="AD89" s="2"/>
      <c r="AE89" s="2"/>
      <c r="AF89" s="2" t="s">
        <v>349</v>
      </c>
      <c r="AG89" s="2" t="s">
        <v>349</v>
      </c>
      <c r="AH89" s="2" t="s">
        <v>349</v>
      </c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20</v>
      </c>
      <c r="C90" s="57" t="s">
        <v>319</v>
      </c>
      <c r="D90" s="54" t="s">
        <v>350</v>
      </c>
      <c r="E90" s="54"/>
      <c r="F90" s="2" t="s">
        <v>37</v>
      </c>
      <c r="G90" s="2">
        <f t="shared" si="12"/>
        <v>89</v>
      </c>
      <c r="H90" s="6">
        <f>I90+개인기록Sheet!C90</f>
        <v>0</v>
      </c>
      <c r="I90" s="6">
        <f t="shared" si="13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370</v>
      </c>
      <c r="C91" s="58">
        <v>2026</v>
      </c>
      <c r="D91" s="54">
        <f t="shared" ref="D91" si="15">COUNTA(W91:AN91)</f>
        <v>2</v>
      </c>
      <c r="E91" s="54"/>
      <c r="F91" s="2" t="s">
        <v>37</v>
      </c>
      <c r="G91" s="2">
        <f t="shared" si="12"/>
        <v>67</v>
      </c>
      <c r="H91" s="6">
        <f>I91+개인기록Sheet!C91</f>
        <v>4</v>
      </c>
      <c r="I91" s="6">
        <f t="shared" si="13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349</v>
      </c>
      <c r="V91" s="2"/>
      <c r="W91" s="2"/>
      <c r="X91" s="2" t="s">
        <v>349</v>
      </c>
      <c r="Y91" s="2"/>
      <c r="Z91" s="2" t="s">
        <v>349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303</v>
      </c>
      <c r="C92" s="58">
        <v>2025</v>
      </c>
      <c r="D92" s="54" t="s">
        <v>323</v>
      </c>
      <c r="E92" s="54"/>
      <c r="F92" s="2" t="s">
        <v>37</v>
      </c>
      <c r="G92" s="2">
        <f t="shared" si="12"/>
        <v>69</v>
      </c>
      <c r="H92" s="6">
        <f>I92+개인기록Sheet!C92</f>
        <v>3.4</v>
      </c>
      <c r="I92" s="6">
        <f t="shared" si="13"/>
        <v>3</v>
      </c>
      <c r="J92" s="2"/>
      <c r="K92" s="2"/>
      <c r="L92" s="2"/>
      <c r="M92" s="2"/>
      <c r="N92" s="2"/>
      <c r="O92" s="2"/>
      <c r="P92" s="2"/>
      <c r="Q92" s="2" t="s">
        <v>349</v>
      </c>
      <c r="R92" s="2"/>
      <c r="S92" s="2" t="s">
        <v>349</v>
      </c>
      <c r="T92" s="2"/>
      <c r="U92" s="2"/>
      <c r="V92" s="2" t="s">
        <v>349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225</v>
      </c>
      <c r="C93" s="58">
        <v>2024</v>
      </c>
      <c r="D93" s="54">
        <f t="shared" ref="D93:D94" si="16">COUNTA(W93:AN93)</f>
        <v>0</v>
      </c>
      <c r="E93" s="54"/>
      <c r="F93" s="2" t="s">
        <v>37</v>
      </c>
      <c r="G93" s="2">
        <f t="shared" si="12"/>
        <v>84</v>
      </c>
      <c r="H93" s="6">
        <f>I93+개인기록Sheet!C93</f>
        <v>1</v>
      </c>
      <c r="I93" s="6">
        <f t="shared" si="13"/>
        <v>1</v>
      </c>
      <c r="J93" s="2"/>
      <c r="K93" s="2"/>
      <c r="L93" s="2"/>
      <c r="M93" s="2"/>
      <c r="N93" s="2"/>
      <c r="O93" s="2"/>
      <c r="P93" s="2"/>
      <c r="Q93" s="2" t="s">
        <v>349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412</v>
      </c>
      <c r="C94" s="58">
        <v>2026</v>
      </c>
      <c r="D94" s="54">
        <f t="shared" si="16"/>
        <v>1</v>
      </c>
      <c r="E94" s="54"/>
      <c r="F94" s="2" t="s">
        <v>37</v>
      </c>
      <c r="G94" s="2">
        <f t="shared" si="12"/>
        <v>84</v>
      </c>
      <c r="H94" s="6">
        <f>I94+개인기록Sheet!C94</f>
        <v>1</v>
      </c>
      <c r="I94" s="6">
        <f t="shared" si="13"/>
        <v>1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349</v>
      </c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237</v>
      </c>
      <c r="C95" s="58">
        <v>2024</v>
      </c>
      <c r="D95" s="54" t="s">
        <v>323</v>
      </c>
      <c r="E95" s="54"/>
      <c r="F95" s="2" t="s">
        <v>37</v>
      </c>
      <c r="G95" s="2">
        <f t="shared" si="12"/>
        <v>59</v>
      </c>
      <c r="H95" s="6">
        <f>I95+개인기록Sheet!C95</f>
        <v>4.8</v>
      </c>
      <c r="I95" s="6">
        <f t="shared" si="13"/>
        <v>4</v>
      </c>
      <c r="J95" s="2"/>
      <c r="K95" s="2" t="s">
        <v>349</v>
      </c>
      <c r="L95" s="2"/>
      <c r="M95" s="2"/>
      <c r="N95" s="2"/>
      <c r="O95" s="2"/>
      <c r="P95" s="2"/>
      <c r="Q95" s="2"/>
      <c r="R95" s="2"/>
      <c r="S95" s="2"/>
      <c r="T95" s="2"/>
      <c r="U95" s="2" t="s">
        <v>349</v>
      </c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 t="s">
        <v>349</v>
      </c>
      <c r="AI95" s="2"/>
      <c r="AJ95" s="2"/>
      <c r="AK95" s="2"/>
      <c r="AL95" s="2" t="s">
        <v>349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70</v>
      </c>
      <c r="C96" s="57" t="s">
        <v>319</v>
      </c>
      <c r="D96" s="54" t="s">
        <v>323</v>
      </c>
      <c r="E96" s="54"/>
      <c r="F96" s="2" t="s">
        <v>37</v>
      </c>
      <c r="G96" s="2">
        <f t="shared" si="12"/>
        <v>89</v>
      </c>
      <c r="H96" s="6">
        <f>I96+개인기록Sheet!C96</f>
        <v>0</v>
      </c>
      <c r="I96" s="6">
        <f t="shared" si="13"/>
        <v>0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139</v>
      </c>
      <c r="C97" s="57">
        <v>2023</v>
      </c>
      <c r="D97" s="54" t="s">
        <v>323</v>
      </c>
      <c r="E97" s="54"/>
      <c r="F97" s="2" t="s">
        <v>37</v>
      </c>
      <c r="G97" s="2">
        <f t="shared" si="12"/>
        <v>21</v>
      </c>
      <c r="H97" s="6">
        <f>I97+개인기록Sheet!C97</f>
        <v>13.7</v>
      </c>
      <c r="I97" s="6">
        <f t="shared" si="13"/>
        <v>10</v>
      </c>
      <c r="J97" s="2"/>
      <c r="K97" s="2"/>
      <c r="L97" s="2"/>
      <c r="M97" s="2"/>
      <c r="N97" s="2"/>
      <c r="O97" s="2"/>
      <c r="P97" s="2"/>
      <c r="Q97" s="2" t="s">
        <v>349</v>
      </c>
      <c r="R97" s="2"/>
      <c r="S97" s="2"/>
      <c r="T97" s="2"/>
      <c r="U97" s="2"/>
      <c r="V97" s="2"/>
      <c r="W97" s="2" t="s">
        <v>349</v>
      </c>
      <c r="X97" s="2"/>
      <c r="Y97" s="2" t="s">
        <v>349</v>
      </c>
      <c r="Z97" s="2"/>
      <c r="AA97" s="2" t="s">
        <v>349</v>
      </c>
      <c r="AB97" s="2"/>
      <c r="AC97" s="2" t="s">
        <v>349</v>
      </c>
      <c r="AD97" s="2" t="s">
        <v>349</v>
      </c>
      <c r="AE97" s="2" t="s">
        <v>349</v>
      </c>
      <c r="AF97" s="2"/>
      <c r="AG97" s="2" t="s">
        <v>349</v>
      </c>
      <c r="AH97" s="2" t="s">
        <v>349</v>
      </c>
      <c r="AI97" s="2" t="s">
        <v>349</v>
      </c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93</v>
      </c>
      <c r="C98" s="57">
        <v>2022</v>
      </c>
      <c r="D98" s="54" t="s">
        <v>350</v>
      </c>
      <c r="E98" s="54"/>
      <c r="F98" s="2" t="s">
        <v>37</v>
      </c>
      <c r="G98" s="2">
        <f t="shared" si="12"/>
        <v>84</v>
      </c>
      <c r="H98" s="6">
        <f>I98+개인기록Sheet!C98</f>
        <v>1</v>
      </c>
      <c r="I98" s="6">
        <f t="shared" si="13"/>
        <v>1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 t="s">
        <v>349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94</v>
      </c>
      <c r="C99" s="57">
        <v>2022</v>
      </c>
      <c r="D99" s="54">
        <f>COUNTA(W99:AN99)</f>
        <v>0</v>
      </c>
      <c r="E99" s="54"/>
      <c r="F99" s="2" t="s">
        <v>37</v>
      </c>
      <c r="G99" s="2">
        <f t="shared" si="12"/>
        <v>89</v>
      </c>
      <c r="H99" s="6">
        <f>I99+개인기록Sheet!C99</f>
        <v>0</v>
      </c>
      <c r="I99" s="6">
        <f t="shared" si="13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95</v>
      </c>
      <c r="C100" s="57">
        <v>2022</v>
      </c>
      <c r="D100" s="54" t="s">
        <v>323</v>
      </c>
      <c r="E100" s="54"/>
      <c r="F100" s="2" t="s">
        <v>37</v>
      </c>
      <c r="G100" s="2">
        <f t="shared" si="12"/>
        <v>25</v>
      </c>
      <c r="H100" s="6">
        <f>I100+개인기록Sheet!C100</f>
        <v>12.2</v>
      </c>
      <c r="I100" s="6">
        <f t="shared" si="13"/>
        <v>10</v>
      </c>
      <c r="J100" s="2"/>
      <c r="K100" s="2" t="s">
        <v>349</v>
      </c>
      <c r="L100" s="2"/>
      <c r="M100" s="2"/>
      <c r="N100" s="2"/>
      <c r="O100" s="2" t="s">
        <v>349</v>
      </c>
      <c r="P100" s="2"/>
      <c r="Q100" s="2"/>
      <c r="R100" s="2"/>
      <c r="S100" s="2" t="s">
        <v>349</v>
      </c>
      <c r="T100" s="2"/>
      <c r="U100" s="2"/>
      <c r="V100" s="2"/>
      <c r="W100" s="2"/>
      <c r="X100" s="2"/>
      <c r="Y100" s="2"/>
      <c r="Z100" s="2"/>
      <c r="AA100" s="2" t="s">
        <v>349</v>
      </c>
      <c r="AB100" s="2"/>
      <c r="AC100" s="2" t="s">
        <v>349</v>
      </c>
      <c r="AD100" s="2"/>
      <c r="AE100" s="2" t="s">
        <v>349</v>
      </c>
      <c r="AF100" s="2" t="s">
        <v>349</v>
      </c>
      <c r="AG100" s="2" t="s">
        <v>349</v>
      </c>
      <c r="AH100" s="2" t="s">
        <v>349</v>
      </c>
      <c r="AI100" s="2"/>
      <c r="AJ100" s="2"/>
      <c r="AK100" s="2"/>
      <c r="AL100" s="2" t="s">
        <v>349</v>
      </c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121</v>
      </c>
      <c r="C101" s="57">
        <v>2022</v>
      </c>
      <c r="D101" s="54">
        <f>COUNTA(W101:AN101)</f>
        <v>0</v>
      </c>
      <c r="E101" s="54"/>
      <c r="F101" s="2" t="s">
        <v>37</v>
      </c>
      <c r="G101" s="2">
        <f t="shared" si="12"/>
        <v>83</v>
      </c>
      <c r="H101" s="6">
        <f>I101+개인기록Sheet!C101</f>
        <v>1.2</v>
      </c>
      <c r="I101" s="6">
        <f t="shared" si="13"/>
        <v>1</v>
      </c>
      <c r="J101" s="2"/>
      <c r="K101" s="2"/>
      <c r="L101" s="2"/>
      <c r="M101" s="2"/>
      <c r="N101" s="2"/>
      <c r="O101" s="2"/>
      <c r="P101" s="2"/>
      <c r="Q101" s="2"/>
      <c r="R101" s="2"/>
      <c r="S101" s="2" t="s">
        <v>349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9</v>
      </c>
      <c r="C102" s="57" t="s">
        <v>319</v>
      </c>
      <c r="D102" s="54" t="s">
        <v>323</v>
      </c>
      <c r="E102" s="54"/>
      <c r="F102" s="2" t="s">
        <v>37</v>
      </c>
      <c r="G102" s="2">
        <f t="shared" si="12"/>
        <v>61</v>
      </c>
      <c r="H102" s="6">
        <f>I102+개인기록Sheet!C102</f>
        <v>4.7</v>
      </c>
      <c r="I102" s="6">
        <f t="shared" si="13"/>
        <v>4</v>
      </c>
      <c r="J102" s="2"/>
      <c r="K102" s="2"/>
      <c r="L102" s="2"/>
      <c r="M102" s="2" t="s">
        <v>349</v>
      </c>
      <c r="N102" s="2"/>
      <c r="O102" s="2"/>
      <c r="P102" s="2"/>
      <c r="Q102" s="2" t="s">
        <v>349</v>
      </c>
      <c r="R102" s="2"/>
      <c r="S102" s="2" t="s">
        <v>349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 t="s">
        <v>349</v>
      </c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202</v>
      </c>
      <c r="C103" s="58">
        <v>2024</v>
      </c>
      <c r="D103" s="54" t="s">
        <v>323</v>
      </c>
      <c r="E103" s="54"/>
      <c r="F103" s="2" t="s">
        <v>37</v>
      </c>
      <c r="G103" s="2">
        <f t="shared" si="12"/>
        <v>9</v>
      </c>
      <c r="H103" s="6">
        <f>I103+개인기록Sheet!C103</f>
        <v>19.8</v>
      </c>
      <c r="I103" s="6">
        <f t="shared" si="13"/>
        <v>15</v>
      </c>
      <c r="J103" s="2"/>
      <c r="K103" s="2"/>
      <c r="L103" s="2" t="s">
        <v>349</v>
      </c>
      <c r="M103" s="2"/>
      <c r="N103" s="2" t="s">
        <v>349</v>
      </c>
      <c r="O103" s="2"/>
      <c r="P103" s="2" t="s">
        <v>349</v>
      </c>
      <c r="Q103" s="2"/>
      <c r="R103" s="2"/>
      <c r="S103" s="2" t="s">
        <v>349</v>
      </c>
      <c r="T103" s="2"/>
      <c r="U103" s="2" t="s">
        <v>349</v>
      </c>
      <c r="V103" s="2"/>
      <c r="W103" s="2" t="s">
        <v>349</v>
      </c>
      <c r="X103" s="2" t="s">
        <v>349</v>
      </c>
      <c r="Y103" s="2"/>
      <c r="Z103" s="2" t="s">
        <v>349</v>
      </c>
      <c r="AA103" s="2" t="s">
        <v>349</v>
      </c>
      <c r="AB103" s="2"/>
      <c r="AC103" s="2" t="s">
        <v>349</v>
      </c>
      <c r="AD103" s="2" t="s">
        <v>349</v>
      </c>
      <c r="AE103" s="2"/>
      <c r="AF103" s="2" t="s">
        <v>349</v>
      </c>
      <c r="AG103" s="2" t="s">
        <v>349</v>
      </c>
      <c r="AH103" s="2"/>
      <c r="AI103" s="2" t="s">
        <v>349</v>
      </c>
      <c r="AJ103" s="2" t="s">
        <v>349</v>
      </c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98</v>
      </c>
      <c r="C104" s="57">
        <v>2022</v>
      </c>
      <c r="D104" s="54" t="s">
        <v>323</v>
      </c>
      <c r="E104" s="54"/>
      <c r="F104" s="2" t="s">
        <v>37</v>
      </c>
      <c r="G104" s="2">
        <f t="shared" si="12"/>
        <v>20</v>
      </c>
      <c r="H104" s="6">
        <f>I104+개인기록Sheet!C104</f>
        <v>14.4</v>
      </c>
      <c r="I104" s="6">
        <f t="shared" si="13"/>
        <v>12</v>
      </c>
      <c r="J104" s="2"/>
      <c r="K104" s="2"/>
      <c r="L104" s="2"/>
      <c r="M104" s="2" t="s">
        <v>349</v>
      </c>
      <c r="N104" s="2"/>
      <c r="O104" s="2"/>
      <c r="P104" s="2"/>
      <c r="Q104" s="2"/>
      <c r="R104" s="2" t="s">
        <v>349</v>
      </c>
      <c r="S104" s="2" t="s">
        <v>349</v>
      </c>
      <c r="T104" s="2"/>
      <c r="U104" s="2"/>
      <c r="V104" s="2"/>
      <c r="W104" s="2"/>
      <c r="X104" s="2"/>
      <c r="Y104" s="2"/>
      <c r="Z104" s="2"/>
      <c r="AA104" s="2" t="s">
        <v>349</v>
      </c>
      <c r="AB104" s="2"/>
      <c r="AC104" s="2"/>
      <c r="AD104" s="2" t="s">
        <v>349</v>
      </c>
      <c r="AE104" s="2" t="s">
        <v>349</v>
      </c>
      <c r="AF104" s="2" t="s">
        <v>349</v>
      </c>
      <c r="AG104" s="2" t="s">
        <v>349</v>
      </c>
      <c r="AH104" s="2" t="s">
        <v>349</v>
      </c>
      <c r="AI104" s="2" t="s">
        <v>349</v>
      </c>
      <c r="AJ104" s="2" t="s">
        <v>349</v>
      </c>
      <c r="AK104" s="2"/>
      <c r="AL104" s="2" t="s">
        <v>349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374</v>
      </c>
      <c r="C105" s="58">
        <v>2026</v>
      </c>
      <c r="D105" s="54" t="s">
        <v>323</v>
      </c>
      <c r="E105" s="54"/>
      <c r="F105" s="2" t="s">
        <v>37</v>
      </c>
      <c r="G105" s="2">
        <f t="shared" si="12"/>
        <v>41</v>
      </c>
      <c r="H105" s="6">
        <f>I105+개인기록Sheet!C105</f>
        <v>8.1999999999999993</v>
      </c>
      <c r="I105" s="6">
        <f t="shared" si="13"/>
        <v>7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349</v>
      </c>
      <c r="V105" s="2" t="s">
        <v>349</v>
      </c>
      <c r="W105" s="2" t="s">
        <v>349</v>
      </c>
      <c r="X105" s="2"/>
      <c r="Y105" s="2" t="s">
        <v>349</v>
      </c>
      <c r="Z105" s="2"/>
      <c r="AA105" s="2"/>
      <c r="AB105" s="2"/>
      <c r="AC105" s="2"/>
      <c r="AD105" s="2" t="s">
        <v>349</v>
      </c>
      <c r="AE105" s="2" t="s">
        <v>349</v>
      </c>
      <c r="AF105" s="2" t="s">
        <v>349</v>
      </c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203</v>
      </c>
      <c r="C106" s="58">
        <v>2024</v>
      </c>
      <c r="D106" s="54" t="s">
        <v>323</v>
      </c>
      <c r="E106" s="54"/>
      <c r="F106" s="2" t="s">
        <v>37</v>
      </c>
      <c r="G106" s="2">
        <f t="shared" si="12"/>
        <v>2</v>
      </c>
      <c r="H106" s="6">
        <f>I106+개인기록Sheet!C106</f>
        <v>26.8</v>
      </c>
      <c r="I106" s="6">
        <f t="shared" si="13"/>
        <v>21</v>
      </c>
      <c r="J106" s="2" t="s">
        <v>349</v>
      </c>
      <c r="K106" s="2" t="s">
        <v>349</v>
      </c>
      <c r="L106" s="2"/>
      <c r="M106" s="2" t="s">
        <v>349</v>
      </c>
      <c r="N106" s="2" t="s">
        <v>349</v>
      </c>
      <c r="O106" s="2" t="s">
        <v>349</v>
      </c>
      <c r="P106" s="2"/>
      <c r="Q106" s="2" t="s">
        <v>349</v>
      </c>
      <c r="R106" s="2"/>
      <c r="S106" s="2" t="s">
        <v>349</v>
      </c>
      <c r="T106" s="2"/>
      <c r="U106" s="2" t="s">
        <v>349</v>
      </c>
      <c r="V106" s="2" t="s">
        <v>349</v>
      </c>
      <c r="W106" s="2" t="s">
        <v>349</v>
      </c>
      <c r="X106" s="2" t="s">
        <v>349</v>
      </c>
      <c r="Y106" s="2" t="s">
        <v>349</v>
      </c>
      <c r="Z106" s="2" t="s">
        <v>349</v>
      </c>
      <c r="AA106" s="2"/>
      <c r="AB106" s="2" t="s">
        <v>349</v>
      </c>
      <c r="AC106" s="2" t="s">
        <v>349</v>
      </c>
      <c r="AD106" s="2"/>
      <c r="AE106" s="2"/>
      <c r="AF106" s="2" t="s">
        <v>349</v>
      </c>
      <c r="AG106" s="2" t="s">
        <v>349</v>
      </c>
      <c r="AH106" s="2" t="s">
        <v>349</v>
      </c>
      <c r="AI106" s="2" t="s">
        <v>349</v>
      </c>
      <c r="AJ106" s="2" t="s">
        <v>349</v>
      </c>
      <c r="AK106" s="2"/>
      <c r="AL106" s="2" t="s">
        <v>349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319</v>
      </c>
      <c r="D107" s="54" t="s">
        <v>323</v>
      </c>
      <c r="E107" s="54"/>
      <c r="F107" s="2" t="s">
        <v>37</v>
      </c>
      <c r="G107" s="2">
        <f t="shared" si="12"/>
        <v>12</v>
      </c>
      <c r="H107" s="6">
        <f>I107+개인기록Sheet!C107</f>
        <v>19.399999999999999</v>
      </c>
      <c r="I107" s="6">
        <f t="shared" si="13"/>
        <v>17</v>
      </c>
      <c r="J107" s="2" t="s">
        <v>349</v>
      </c>
      <c r="K107" s="2" t="s">
        <v>349</v>
      </c>
      <c r="L107" s="2"/>
      <c r="M107" s="2" t="s">
        <v>349</v>
      </c>
      <c r="N107" s="2" t="s">
        <v>349</v>
      </c>
      <c r="O107" s="2" t="s">
        <v>349</v>
      </c>
      <c r="P107" s="2"/>
      <c r="Q107" s="2"/>
      <c r="R107" s="2"/>
      <c r="S107" s="2" t="s">
        <v>349</v>
      </c>
      <c r="T107" s="2"/>
      <c r="U107" s="2" t="s">
        <v>349</v>
      </c>
      <c r="V107" s="2"/>
      <c r="W107" s="2"/>
      <c r="X107" s="2" t="s">
        <v>349</v>
      </c>
      <c r="Y107" s="2" t="s">
        <v>349</v>
      </c>
      <c r="Z107" s="2" t="s">
        <v>349</v>
      </c>
      <c r="AA107" s="2" t="s">
        <v>349</v>
      </c>
      <c r="AB107" s="2"/>
      <c r="AC107" s="2"/>
      <c r="AD107" s="2"/>
      <c r="AE107" s="2" t="s">
        <v>349</v>
      </c>
      <c r="AF107" s="2" t="s">
        <v>349</v>
      </c>
      <c r="AG107" s="2" t="s">
        <v>349</v>
      </c>
      <c r="AH107" s="2"/>
      <c r="AI107" s="2" t="s">
        <v>349</v>
      </c>
      <c r="AJ107" s="2"/>
      <c r="AK107" s="2" t="s">
        <v>349</v>
      </c>
      <c r="AL107" s="2" t="s">
        <v>349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136</v>
      </c>
      <c r="C108" s="57">
        <v>2023</v>
      </c>
      <c r="D108" s="54" t="s">
        <v>323</v>
      </c>
      <c r="E108" s="54"/>
      <c r="F108" s="2" t="s">
        <v>37</v>
      </c>
      <c r="G108" s="2">
        <f t="shared" si="12"/>
        <v>52</v>
      </c>
      <c r="H108" s="6">
        <f>I108+개인기록Sheet!C108</f>
        <v>6</v>
      </c>
      <c r="I108" s="6">
        <f t="shared" si="13"/>
        <v>5</v>
      </c>
      <c r="J108" s="2" t="s">
        <v>349</v>
      </c>
      <c r="K108" s="2"/>
      <c r="L108" s="2" t="s">
        <v>349</v>
      </c>
      <c r="M108" s="2"/>
      <c r="N108" s="2" t="s">
        <v>349</v>
      </c>
      <c r="O108" s="2"/>
      <c r="P108" s="2" t="s">
        <v>349</v>
      </c>
      <c r="Q108" s="2"/>
      <c r="R108" s="2"/>
      <c r="S108" s="2"/>
      <c r="T108" s="2"/>
      <c r="U108" s="2"/>
      <c r="V108" s="2" t="s">
        <v>349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323</v>
      </c>
      <c r="E109" s="54"/>
      <c r="F109" s="2" t="s">
        <v>37</v>
      </c>
      <c r="G109" s="2">
        <f t="shared" si="12"/>
        <v>19</v>
      </c>
      <c r="H109" s="6">
        <f>I109+개인기록Sheet!C109</f>
        <v>14.600000000000001</v>
      </c>
      <c r="I109" s="6">
        <f t="shared" si="13"/>
        <v>10</v>
      </c>
      <c r="J109" s="2" t="s">
        <v>349</v>
      </c>
      <c r="K109" s="2"/>
      <c r="L109" s="2"/>
      <c r="M109" s="2"/>
      <c r="N109" s="2"/>
      <c r="O109" s="2"/>
      <c r="P109" s="2"/>
      <c r="Q109" s="2" t="s">
        <v>349</v>
      </c>
      <c r="R109" s="2"/>
      <c r="S109" s="2" t="s">
        <v>349</v>
      </c>
      <c r="T109" s="2"/>
      <c r="U109" s="2" t="s">
        <v>349</v>
      </c>
      <c r="V109" s="2"/>
      <c r="W109" s="2"/>
      <c r="X109" s="2"/>
      <c r="Y109" s="2" t="s">
        <v>349</v>
      </c>
      <c r="Z109" s="2"/>
      <c r="AA109" s="2"/>
      <c r="AB109" s="2" t="s">
        <v>349</v>
      </c>
      <c r="AC109" s="2" t="s">
        <v>349</v>
      </c>
      <c r="AD109" s="2" t="s">
        <v>349</v>
      </c>
      <c r="AE109" s="2"/>
      <c r="AF109" s="2" t="s">
        <v>349</v>
      </c>
      <c r="AG109" s="2"/>
      <c r="AH109" s="2"/>
      <c r="AI109" s="2"/>
      <c r="AJ109" s="2" t="s">
        <v>349</v>
      </c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>COUNTA(W110:AN110)</f>
        <v>0</v>
      </c>
      <c r="E110" s="54"/>
      <c r="F110" s="2" t="s">
        <v>37</v>
      </c>
      <c r="G110" s="2">
        <f t="shared" si="12"/>
        <v>89</v>
      </c>
      <c r="H110" s="6">
        <f>I110+개인기록Sheet!C110</f>
        <v>0</v>
      </c>
      <c r="I110" s="6">
        <f t="shared" si="13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325</v>
      </c>
      <c r="C111" s="58">
        <v>2025</v>
      </c>
      <c r="D111" s="54" t="s">
        <v>323</v>
      </c>
      <c r="E111" s="54"/>
      <c r="F111" s="2" t="s">
        <v>37</v>
      </c>
      <c r="G111" s="2">
        <f t="shared" si="12"/>
        <v>16</v>
      </c>
      <c r="H111" s="6">
        <f>I111+개인기록Sheet!C111</f>
        <v>15.8</v>
      </c>
      <c r="I111" s="6">
        <f t="shared" si="13"/>
        <v>13</v>
      </c>
      <c r="J111" s="2" t="s">
        <v>349</v>
      </c>
      <c r="K111" s="2"/>
      <c r="L111" s="2"/>
      <c r="M111" s="2"/>
      <c r="N111" s="2" t="s">
        <v>349</v>
      </c>
      <c r="O111" s="2"/>
      <c r="P111" s="2"/>
      <c r="Q111" s="2"/>
      <c r="R111" s="2" t="s">
        <v>349</v>
      </c>
      <c r="S111" s="2"/>
      <c r="T111" s="2" t="s">
        <v>349</v>
      </c>
      <c r="U111" s="2"/>
      <c r="V111" s="2"/>
      <c r="W111" s="2"/>
      <c r="X111" s="2"/>
      <c r="Y111" s="2"/>
      <c r="Z111" s="2" t="s">
        <v>349</v>
      </c>
      <c r="AA111" s="2" t="s">
        <v>349</v>
      </c>
      <c r="AB111" s="2"/>
      <c r="AC111" s="2" t="s">
        <v>349</v>
      </c>
      <c r="AD111" s="2"/>
      <c r="AE111" s="2" t="s">
        <v>349</v>
      </c>
      <c r="AF111" s="2" t="s">
        <v>349</v>
      </c>
      <c r="AG111" s="2" t="s">
        <v>349</v>
      </c>
      <c r="AH111" s="2" t="s">
        <v>349</v>
      </c>
      <c r="AI111" s="2"/>
      <c r="AJ111" s="2" t="s">
        <v>349</v>
      </c>
      <c r="AK111" s="2" t="s">
        <v>349</v>
      </c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195</v>
      </c>
      <c r="C112" s="57">
        <v>2023</v>
      </c>
      <c r="D112" s="54" t="s">
        <v>323</v>
      </c>
      <c r="E112" s="54"/>
      <c r="F112" s="2" t="s">
        <v>37</v>
      </c>
      <c r="G112" s="2">
        <f t="shared" si="12"/>
        <v>23</v>
      </c>
      <c r="H112" s="6">
        <f>I112+개인기록Sheet!C112</f>
        <v>12.6</v>
      </c>
      <c r="I112" s="6">
        <f t="shared" si="13"/>
        <v>11</v>
      </c>
      <c r="J112" s="2" t="s">
        <v>349</v>
      </c>
      <c r="K112" s="2"/>
      <c r="L112" s="2"/>
      <c r="M112" s="2" t="s">
        <v>349</v>
      </c>
      <c r="N112" s="2"/>
      <c r="O112" s="2" t="s">
        <v>349</v>
      </c>
      <c r="P112" s="2"/>
      <c r="Q112" s="2" t="s">
        <v>349</v>
      </c>
      <c r="R112" s="2"/>
      <c r="S112" s="2"/>
      <c r="T112" s="2"/>
      <c r="U112" s="2"/>
      <c r="V112" s="2"/>
      <c r="W112" s="2"/>
      <c r="X112" s="2"/>
      <c r="Y112" s="2"/>
      <c r="Z112" s="2" t="s">
        <v>349</v>
      </c>
      <c r="AA112" s="2"/>
      <c r="AB112" s="2"/>
      <c r="AC112" s="2"/>
      <c r="AD112" s="2"/>
      <c r="AE112" s="2" t="s">
        <v>349</v>
      </c>
      <c r="AF112" s="2" t="s">
        <v>349</v>
      </c>
      <c r="AG112" s="2" t="s">
        <v>349</v>
      </c>
      <c r="AH112" s="2" t="s">
        <v>349</v>
      </c>
      <c r="AI112" s="2"/>
      <c r="AJ112" s="2" t="s">
        <v>349</v>
      </c>
      <c r="AK112" s="2" t="s">
        <v>349</v>
      </c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319</v>
      </c>
      <c r="D113" s="54" t="s">
        <v>323</v>
      </c>
      <c r="E113" s="54"/>
      <c r="F113" s="2" t="s">
        <v>37</v>
      </c>
      <c r="G113" s="2">
        <f t="shared" si="12"/>
        <v>26</v>
      </c>
      <c r="H113" s="6">
        <f>I113+개인기록Sheet!C113</f>
        <v>11.8</v>
      </c>
      <c r="I113" s="6">
        <f t="shared" si="13"/>
        <v>10</v>
      </c>
      <c r="J113" s="2" t="s">
        <v>349</v>
      </c>
      <c r="K113" s="2"/>
      <c r="L113" s="2"/>
      <c r="M113" s="2" t="s">
        <v>349</v>
      </c>
      <c r="N113" s="2"/>
      <c r="O113" s="2"/>
      <c r="P113" s="2"/>
      <c r="Q113" s="2" t="s">
        <v>349</v>
      </c>
      <c r="R113" s="2" t="s">
        <v>349</v>
      </c>
      <c r="S113" s="2" t="s">
        <v>349</v>
      </c>
      <c r="T113" s="2"/>
      <c r="U113" s="2"/>
      <c r="V113" s="2"/>
      <c r="W113" s="2"/>
      <c r="X113" s="2" t="s">
        <v>349</v>
      </c>
      <c r="Y113" s="2" t="s">
        <v>349</v>
      </c>
      <c r="Z113" s="2" t="s">
        <v>349</v>
      </c>
      <c r="AA113" s="2" t="s">
        <v>349</v>
      </c>
      <c r="AB113" s="2"/>
      <c r="AC113" s="2"/>
      <c r="AD113" s="2"/>
      <c r="AE113" s="2"/>
      <c r="AF113" s="2" t="s">
        <v>349</v>
      </c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306</v>
      </c>
      <c r="C114" s="58">
        <v>2025</v>
      </c>
      <c r="D114" s="54" t="s">
        <v>323</v>
      </c>
      <c r="E114" s="54"/>
      <c r="F114" s="2" t="s">
        <v>37</v>
      </c>
      <c r="G114" s="2">
        <f t="shared" si="12"/>
        <v>40</v>
      </c>
      <c r="H114" s="6">
        <f>I114+개인기록Sheet!C114</f>
        <v>8.6</v>
      </c>
      <c r="I114" s="6">
        <f t="shared" si="13"/>
        <v>6</v>
      </c>
      <c r="J114" s="2" t="s">
        <v>349</v>
      </c>
      <c r="K114" s="2" t="s">
        <v>349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349</v>
      </c>
      <c r="AB114" s="2"/>
      <c r="AC114" s="2"/>
      <c r="AD114" s="2"/>
      <c r="AE114" s="2"/>
      <c r="AF114" s="2"/>
      <c r="AG114" s="2"/>
      <c r="AH114" s="2"/>
      <c r="AI114" s="2" t="s">
        <v>349</v>
      </c>
      <c r="AJ114" s="2" t="s">
        <v>349</v>
      </c>
      <c r="AK114" s="2"/>
      <c r="AL114" s="2" t="s">
        <v>349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323</v>
      </c>
      <c r="E115" s="54"/>
      <c r="F115" s="2" t="s">
        <v>37</v>
      </c>
      <c r="G115" s="2">
        <f t="shared" si="12"/>
        <v>49</v>
      </c>
      <c r="H115" s="6">
        <f>I115+개인기록Sheet!C115</f>
        <v>6.6</v>
      </c>
      <c r="I115" s="6">
        <f t="shared" si="13"/>
        <v>5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349</v>
      </c>
      <c r="T115" s="2"/>
      <c r="U115" s="2"/>
      <c r="V115" s="2"/>
      <c r="W115" s="2"/>
      <c r="X115" s="2"/>
      <c r="Y115" s="2" t="s">
        <v>349</v>
      </c>
      <c r="Z115" s="2" t="s">
        <v>349</v>
      </c>
      <c r="AA115" s="2"/>
      <c r="AB115" s="2"/>
      <c r="AC115" s="2"/>
      <c r="AD115" s="2"/>
      <c r="AE115" s="2"/>
      <c r="AF115" s="2"/>
      <c r="AG115" s="2"/>
      <c r="AH115" s="2"/>
      <c r="AI115" s="2" t="s">
        <v>349</v>
      </c>
      <c r="AJ115" s="2" t="s">
        <v>349</v>
      </c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296</v>
      </c>
      <c r="C116" s="58">
        <v>2024</v>
      </c>
      <c r="D116" s="54" t="s">
        <v>323</v>
      </c>
      <c r="E116" s="54"/>
      <c r="F116" s="2" t="s">
        <v>37</v>
      </c>
      <c r="G116" s="2">
        <f t="shared" si="12"/>
        <v>78</v>
      </c>
      <c r="H116" s="6">
        <f>I116+개인기록Sheet!C116</f>
        <v>2.2000000000000002</v>
      </c>
      <c r="I116" s="6">
        <f t="shared" si="13"/>
        <v>2</v>
      </c>
      <c r="J116" s="2"/>
      <c r="K116" s="2"/>
      <c r="L116" s="2" t="s">
        <v>349</v>
      </c>
      <c r="M116" s="2"/>
      <c r="N116" s="2" t="s">
        <v>349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371</v>
      </c>
      <c r="C117" s="58">
        <v>2026</v>
      </c>
      <c r="D117" s="54" t="s">
        <v>391</v>
      </c>
      <c r="E117" s="54"/>
      <c r="F117" s="2" t="s">
        <v>37</v>
      </c>
      <c r="G117" s="2">
        <f t="shared" si="12"/>
        <v>43</v>
      </c>
      <c r="H117" s="6">
        <f>I117+개인기록Sheet!C117</f>
        <v>7.5</v>
      </c>
      <c r="I117" s="6">
        <f t="shared" si="13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349</v>
      </c>
      <c r="V117" s="2" t="s">
        <v>349</v>
      </c>
      <c r="W117" s="2" t="s">
        <v>349</v>
      </c>
      <c r="X117" s="2" t="s">
        <v>349</v>
      </c>
      <c r="Y117" s="2" t="s">
        <v>349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323</v>
      </c>
      <c r="E118" s="54"/>
      <c r="F118" s="2" t="s">
        <v>37</v>
      </c>
      <c r="G118" s="2">
        <f t="shared" si="12"/>
        <v>22</v>
      </c>
      <c r="H118" s="6">
        <f>I118+개인기록Sheet!C118</f>
        <v>13</v>
      </c>
      <c r="I118" s="6">
        <f t="shared" si="13"/>
        <v>10</v>
      </c>
      <c r="J118" s="2"/>
      <c r="K118" s="2"/>
      <c r="L118" s="2" t="s">
        <v>349</v>
      </c>
      <c r="M118" s="2"/>
      <c r="N118" s="2" t="s">
        <v>349</v>
      </c>
      <c r="O118" s="2"/>
      <c r="P118" s="2"/>
      <c r="Q118" s="2"/>
      <c r="R118" s="2"/>
      <c r="S118" s="2"/>
      <c r="T118" s="2"/>
      <c r="U118" s="2" t="s">
        <v>349</v>
      </c>
      <c r="V118" s="2"/>
      <c r="W118" s="2"/>
      <c r="X118" s="2"/>
      <c r="Y118" s="2"/>
      <c r="Z118" s="2"/>
      <c r="AA118" s="2"/>
      <c r="AB118" s="2" t="s">
        <v>349</v>
      </c>
      <c r="AC118" s="2" t="s">
        <v>349</v>
      </c>
      <c r="AD118" s="2" t="s">
        <v>349</v>
      </c>
      <c r="AE118" s="2"/>
      <c r="AF118" s="2"/>
      <c r="AG118" s="2" t="s">
        <v>349</v>
      </c>
      <c r="AH118" s="2"/>
      <c r="AI118" s="2" t="s">
        <v>349</v>
      </c>
      <c r="AJ118" s="2" t="s">
        <v>349</v>
      </c>
      <c r="AK118" s="2" t="s">
        <v>349</v>
      </c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131</v>
      </c>
      <c r="C119" s="57">
        <v>2023</v>
      </c>
      <c r="D119" s="54" t="s">
        <v>350</v>
      </c>
      <c r="E119" s="54"/>
      <c r="F119" s="2" t="s">
        <v>37</v>
      </c>
      <c r="G119" s="2">
        <f t="shared" si="12"/>
        <v>81</v>
      </c>
      <c r="H119" s="6">
        <f>I119+개인기록Sheet!C119</f>
        <v>1.4</v>
      </c>
      <c r="I119" s="6">
        <f t="shared" si="13"/>
        <v>1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 t="s">
        <v>349</v>
      </c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315</v>
      </c>
      <c r="C120" s="58">
        <v>2025</v>
      </c>
      <c r="D120" s="54">
        <f>COUNTA(W120:AN120)</f>
        <v>2</v>
      </c>
      <c r="E120" s="54"/>
      <c r="F120" s="2" t="s">
        <v>37</v>
      </c>
      <c r="G120" s="2">
        <f t="shared" si="12"/>
        <v>69</v>
      </c>
      <c r="H120" s="6">
        <f>I120+개인기록Sheet!C120</f>
        <v>3.4</v>
      </c>
      <c r="I120" s="6">
        <f t="shared" si="13"/>
        <v>3</v>
      </c>
      <c r="J120" s="2"/>
      <c r="K120" s="2"/>
      <c r="L120" s="2"/>
      <c r="M120" s="2"/>
      <c r="N120" s="2"/>
      <c r="O120" s="2"/>
      <c r="P120" s="2"/>
      <c r="Q120" s="2" t="s">
        <v>349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349</v>
      </c>
      <c r="AB120" s="2"/>
      <c r="AC120" s="2"/>
      <c r="AD120" s="2"/>
      <c r="AE120" s="2"/>
      <c r="AF120" s="2" t="s">
        <v>349</v>
      </c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319</v>
      </c>
      <c r="D121" s="54" t="s">
        <v>323</v>
      </c>
      <c r="E121" s="54"/>
      <c r="F121" s="2" t="s">
        <v>37</v>
      </c>
      <c r="G121" s="2">
        <f t="shared" si="12"/>
        <v>89</v>
      </c>
      <c r="H121" s="6">
        <f>I121+개인기록Sheet!C121</f>
        <v>0</v>
      </c>
      <c r="I121" s="6">
        <f t="shared" si="13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240</v>
      </c>
      <c r="C122" s="58">
        <v>2024</v>
      </c>
      <c r="D122" s="54">
        <f>COUNTA(W122:AN122)</f>
        <v>0</v>
      </c>
      <c r="E122" s="54"/>
      <c r="F122" s="2" t="s">
        <v>37</v>
      </c>
      <c r="G122" s="2">
        <f t="shared" si="12"/>
        <v>89</v>
      </c>
      <c r="H122" s="6">
        <f>I122+개인기록Sheet!C122</f>
        <v>0</v>
      </c>
      <c r="I122" s="6">
        <f t="shared" si="13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319</v>
      </c>
      <c r="D123" s="54" t="s">
        <v>323</v>
      </c>
      <c r="E123" s="54"/>
      <c r="F123" s="2" t="s">
        <v>37</v>
      </c>
      <c r="G123" s="2">
        <f t="shared" si="12"/>
        <v>33</v>
      </c>
      <c r="H123" s="6">
        <f>I123+개인기록Sheet!C123</f>
        <v>10.199999999999999</v>
      </c>
      <c r="I123" s="6">
        <f t="shared" si="13"/>
        <v>7</v>
      </c>
      <c r="J123" s="2"/>
      <c r="K123" s="2" t="s">
        <v>349</v>
      </c>
      <c r="L123" s="2"/>
      <c r="M123" s="2"/>
      <c r="N123" s="2"/>
      <c r="O123" s="2"/>
      <c r="P123" s="2"/>
      <c r="Q123" s="2" t="s">
        <v>349</v>
      </c>
      <c r="R123" s="2"/>
      <c r="S123" s="2" t="s">
        <v>349</v>
      </c>
      <c r="T123" s="2"/>
      <c r="U123" s="2"/>
      <c r="V123" s="2"/>
      <c r="W123" s="2"/>
      <c r="X123" s="2"/>
      <c r="Y123" s="2"/>
      <c r="Z123" s="2" t="s">
        <v>349</v>
      </c>
      <c r="AA123" s="2"/>
      <c r="AB123" s="2"/>
      <c r="AC123" s="2" t="s">
        <v>349</v>
      </c>
      <c r="AD123" s="2"/>
      <c r="AE123" s="2"/>
      <c r="AF123" s="2" t="s">
        <v>349</v>
      </c>
      <c r="AG123" s="2"/>
      <c r="AH123" s="2"/>
      <c r="AI123" s="2" t="s">
        <v>349</v>
      </c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  <row r="124" spans="1:82" x14ac:dyDescent="0.25">
      <c r="A124" s="2">
        <v>121</v>
      </c>
      <c r="B124" s="2" t="s">
        <v>410</v>
      </c>
      <c r="C124" s="58">
        <v>2026</v>
      </c>
      <c r="D124" s="54">
        <f>COUNTA(W124:AN124)</f>
        <v>2</v>
      </c>
      <c r="E124" s="54"/>
      <c r="F124" s="2" t="s">
        <v>37</v>
      </c>
      <c r="G124" s="2">
        <f t="shared" si="12"/>
        <v>72</v>
      </c>
      <c r="H124" s="6">
        <f>I124+개인기록Sheet!C124</f>
        <v>2.6</v>
      </c>
      <c r="I124" s="6">
        <f t="shared" si="13"/>
        <v>2</v>
      </c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 t="s">
        <v>349</v>
      </c>
      <c r="AJ124" s="2"/>
      <c r="AK124" s="2"/>
      <c r="AL124" s="2" t="s">
        <v>349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</row>
  </sheetData>
  <autoFilter ref="A3:CT124" xr:uid="{00000000-0001-0000-0000-000000000000}"/>
  <phoneticPr fontId="2" type="noConversion"/>
  <conditionalFormatting sqref="D4:E124">
    <cfRule type="containsText" dxfId="13" priority="1" operator="containsText" text="지급">
      <formula>NOT(ISERROR(SEARCH("지급",D4)))</formula>
    </cfRule>
  </conditionalFormatting>
  <conditionalFormatting sqref="G4:G124">
    <cfRule type="top10" dxfId="12" priority="948" bottom="1" rank="10"/>
  </conditionalFormatting>
  <conditionalFormatting sqref="H4:H124">
    <cfRule type="top10" dxfId="11" priority="950" rank="10"/>
  </conditionalFormatting>
  <conditionalFormatting sqref="I4:I124">
    <cfRule type="top10" dxfId="10" priority="952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276"/>
  <sheetViews>
    <sheetView topLeftCell="A262" zoomScaleNormal="125" workbookViewId="0">
      <selection activeCell="I276" sqref="I276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127</v>
      </c>
      <c r="D2" s="10" t="s">
        <v>128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310</v>
      </c>
      <c r="G3" s="7" t="s">
        <v>174</v>
      </c>
      <c r="H3" s="7"/>
      <c r="I3" s="8" t="s">
        <v>110</v>
      </c>
      <c r="J3" s="8" t="s">
        <v>103</v>
      </c>
      <c r="K3" s="8" t="s">
        <v>310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297</v>
      </c>
      <c r="R3" s="9" t="s">
        <v>201</v>
      </c>
      <c r="S3" s="9" t="s">
        <v>202</v>
      </c>
      <c r="T3" s="9" t="s">
        <v>352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325</v>
      </c>
      <c r="F5" s="7"/>
      <c r="G5" s="7"/>
      <c r="H5" s="7"/>
      <c r="I5" s="8" t="s">
        <v>311</v>
      </c>
      <c r="J5" s="8"/>
      <c r="K5" s="8"/>
      <c r="L5" s="8"/>
      <c r="M5" s="20" t="s">
        <v>107</v>
      </c>
      <c r="N5" s="20" t="s">
        <v>236</v>
      </c>
      <c r="O5" s="20" t="s">
        <v>203</v>
      </c>
      <c r="P5" s="20"/>
      <c r="Q5" s="9" t="s">
        <v>181</v>
      </c>
      <c r="R5" s="9" t="s">
        <v>136</v>
      </c>
      <c r="S5" s="9" t="s">
        <v>124</v>
      </c>
      <c r="T5" s="9" t="s">
        <v>325</v>
      </c>
      <c r="U5" s="9"/>
      <c r="V5" s="13" t="s">
        <v>174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178</v>
      </c>
      <c r="F7" s="7" t="s">
        <v>109</v>
      </c>
      <c r="G7" s="7"/>
      <c r="H7" s="7"/>
      <c r="I7" s="8" t="s">
        <v>181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297</v>
      </c>
      <c r="R7" s="9" t="s">
        <v>178</v>
      </c>
      <c r="S7" s="9" t="s">
        <v>181</v>
      </c>
      <c r="T7" s="9" t="s">
        <v>296</v>
      </c>
      <c r="U7" s="9"/>
      <c r="V7" s="13" t="s">
        <v>174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174</v>
      </c>
      <c r="F9" s="7" t="s">
        <v>201</v>
      </c>
      <c r="G9" s="7"/>
      <c r="H9" s="7"/>
      <c r="I9" s="8" t="s">
        <v>201</v>
      </c>
      <c r="J9" s="8" t="s">
        <v>203</v>
      </c>
      <c r="K9" s="8"/>
      <c r="L9" s="8"/>
      <c r="M9" s="20" t="s">
        <v>107</v>
      </c>
      <c r="N9" s="20" t="s">
        <v>201</v>
      </c>
      <c r="O9" s="20" t="s">
        <v>203</v>
      </c>
      <c r="P9" s="20"/>
      <c r="Q9" s="9" t="s">
        <v>325</v>
      </c>
      <c r="R9" s="9" t="s">
        <v>136</v>
      </c>
      <c r="S9" s="9" t="s">
        <v>124</v>
      </c>
      <c r="T9" s="9" t="s">
        <v>352</v>
      </c>
      <c r="U9" s="9"/>
      <c r="V9" s="13" t="s">
        <v>297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355</v>
      </c>
      <c r="D13" s="10" t="s">
        <v>356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348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348</v>
      </c>
      <c r="F18" s="7" t="s">
        <v>135</v>
      </c>
      <c r="G18" s="7"/>
      <c r="H18" s="7"/>
      <c r="I18" s="8" t="s">
        <v>105</v>
      </c>
      <c r="J18" s="8" t="s">
        <v>347</v>
      </c>
      <c r="K18" s="8"/>
      <c r="L18" s="8"/>
      <c r="M18" s="20" t="s">
        <v>307</v>
      </c>
      <c r="N18" s="20" t="s">
        <v>348</v>
      </c>
      <c r="O18" s="20"/>
      <c r="P18" s="20"/>
      <c r="Q18" s="9" t="s">
        <v>136</v>
      </c>
      <c r="R18" s="9" t="s">
        <v>201</v>
      </c>
      <c r="S18" s="9" t="s">
        <v>135</v>
      </c>
      <c r="T18" s="9" t="s">
        <v>202</v>
      </c>
      <c r="U18" s="9"/>
      <c r="V18" s="13" t="s">
        <v>181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311</v>
      </c>
      <c r="F20" s="7" t="s">
        <v>341</v>
      </c>
      <c r="G20" s="7"/>
      <c r="H20" s="7"/>
      <c r="I20" s="8"/>
      <c r="J20" s="8" t="s">
        <v>311</v>
      </c>
      <c r="K20" s="8"/>
      <c r="L20" s="8"/>
      <c r="M20" s="20" t="s">
        <v>201</v>
      </c>
      <c r="N20" s="20" t="s">
        <v>307</v>
      </c>
      <c r="O20" s="20"/>
      <c r="P20" s="20"/>
      <c r="Q20" s="9" t="s">
        <v>136</v>
      </c>
      <c r="R20" s="9" t="s">
        <v>202</v>
      </c>
      <c r="S20" s="9" t="s">
        <v>135</v>
      </c>
      <c r="T20" s="9"/>
      <c r="U20" s="9"/>
      <c r="V20" s="13" t="s">
        <v>181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355</v>
      </c>
      <c r="D24" s="10" t="s">
        <v>355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310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315</v>
      </c>
      <c r="F26" s="7"/>
      <c r="G26" s="7"/>
      <c r="H26" s="7"/>
      <c r="I26" s="8" t="s">
        <v>359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310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310</v>
      </c>
      <c r="M27" s="20" t="s">
        <v>103</v>
      </c>
      <c r="N27" s="20" t="s">
        <v>97</v>
      </c>
      <c r="O27" s="20" t="s">
        <v>201</v>
      </c>
      <c r="P27" s="20"/>
      <c r="Q27" s="9" t="s">
        <v>122</v>
      </c>
      <c r="R27" s="9" t="s">
        <v>297</v>
      </c>
      <c r="S27" s="9" t="s">
        <v>92</v>
      </c>
      <c r="T27" s="9" t="s">
        <v>135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139</v>
      </c>
      <c r="F29" s="7" t="s">
        <v>341</v>
      </c>
      <c r="G29" s="7"/>
      <c r="H29" s="7"/>
      <c r="I29" s="8"/>
      <c r="J29" s="8"/>
      <c r="K29" s="8"/>
      <c r="L29" s="8"/>
      <c r="M29" s="20" t="s">
        <v>298</v>
      </c>
      <c r="N29" s="20" t="s">
        <v>316</v>
      </c>
      <c r="O29" s="20"/>
      <c r="P29" s="20"/>
      <c r="Q29" s="9" t="s">
        <v>115</v>
      </c>
      <c r="R29" s="9" t="s">
        <v>195</v>
      </c>
      <c r="S29" s="9" t="s">
        <v>181</v>
      </c>
      <c r="T29" s="9" t="s">
        <v>303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310</v>
      </c>
      <c r="F31" s="7" t="s">
        <v>201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201</v>
      </c>
      <c r="P31" s="20"/>
      <c r="Q31" s="9" t="s">
        <v>122</v>
      </c>
      <c r="R31" s="9" t="s">
        <v>297</v>
      </c>
      <c r="S31" s="9" t="s">
        <v>300</v>
      </c>
      <c r="T31" s="9" t="s">
        <v>135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358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297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203</v>
      </c>
      <c r="F34" s="7" t="s">
        <v>341</v>
      </c>
      <c r="G34" s="7"/>
      <c r="H34" s="7"/>
      <c r="I34" s="8" t="s">
        <v>341</v>
      </c>
      <c r="J34" s="8" t="s">
        <v>138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355</v>
      </c>
      <c r="D37" s="10" t="s">
        <v>365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201</v>
      </c>
      <c r="F44" s="7" t="s">
        <v>201</v>
      </c>
      <c r="G44" s="7"/>
      <c r="H44" s="7"/>
      <c r="I44" s="8" t="s">
        <v>97</v>
      </c>
      <c r="J44" s="8" t="s">
        <v>341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355</v>
      </c>
      <c r="D49" s="10" t="s">
        <v>355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203</v>
      </c>
      <c r="N50" s="20" t="s">
        <v>95</v>
      </c>
      <c r="O50" s="20" t="s">
        <v>110</v>
      </c>
      <c r="P50" s="20"/>
      <c r="Q50" s="9" t="s">
        <v>366</v>
      </c>
      <c r="R50" s="9" t="s">
        <v>233</v>
      </c>
      <c r="S50" s="9" t="s">
        <v>352</v>
      </c>
      <c r="T50" s="9" t="s">
        <v>122</v>
      </c>
      <c r="U50" s="9"/>
      <c r="V50" s="13" t="s">
        <v>174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297</v>
      </c>
      <c r="R52" s="9" t="s">
        <v>201</v>
      </c>
      <c r="S52" s="9" t="s">
        <v>202</v>
      </c>
      <c r="T52" s="9" t="s">
        <v>367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130</v>
      </c>
      <c r="T53" s="9" t="s">
        <v>303</v>
      </c>
      <c r="U53" s="9"/>
      <c r="V53" s="13" t="s">
        <v>174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310</v>
      </c>
      <c r="G54" s="7" t="s">
        <v>364</v>
      </c>
      <c r="H54" s="7"/>
      <c r="I54" s="8" t="s">
        <v>139</v>
      </c>
      <c r="J54" s="8"/>
      <c r="K54" s="8"/>
      <c r="L54" s="8"/>
      <c r="M54" s="20" t="s">
        <v>236</v>
      </c>
      <c r="N54" s="20" t="s">
        <v>364</v>
      </c>
      <c r="O54" s="20" t="s">
        <v>134</v>
      </c>
      <c r="P54" s="20"/>
      <c r="Q54" s="9" t="s">
        <v>202</v>
      </c>
      <c r="R54" s="9" t="s">
        <v>181</v>
      </c>
      <c r="S54" s="9" t="s">
        <v>92</v>
      </c>
      <c r="T54" s="9" t="s">
        <v>108</v>
      </c>
      <c r="U54" s="9"/>
      <c r="V54" s="13" t="s">
        <v>201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341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358</v>
      </c>
      <c r="C58" s="75">
        <v>2</v>
      </c>
      <c r="D58" s="75">
        <v>0</v>
      </c>
      <c r="E58" s="7" t="s">
        <v>109</v>
      </c>
      <c r="F58" s="7" t="s">
        <v>364</v>
      </c>
      <c r="G58" s="7"/>
      <c r="H58" s="7"/>
      <c r="I58" s="8" t="s">
        <v>310</v>
      </c>
      <c r="J58" s="8" t="s">
        <v>122</v>
      </c>
      <c r="K58" s="8"/>
      <c r="L58" s="8"/>
      <c r="M58" s="20" t="s">
        <v>103</v>
      </c>
      <c r="N58" s="20" t="s">
        <v>201</v>
      </c>
      <c r="O58" s="20"/>
      <c r="P58" s="20"/>
      <c r="Q58" s="9" t="s">
        <v>122</v>
      </c>
      <c r="R58" s="9" t="s">
        <v>108</v>
      </c>
      <c r="S58" s="9" t="s">
        <v>297</v>
      </c>
      <c r="T58" s="9" t="s">
        <v>367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375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163</v>
      </c>
      <c r="F65" s="7"/>
      <c r="G65" s="7"/>
      <c r="H65" s="7"/>
      <c r="I65" s="8" t="s">
        <v>310</v>
      </c>
      <c r="J65" s="8"/>
      <c r="K65" s="8"/>
      <c r="L65" s="8"/>
      <c r="M65" s="20" t="s">
        <v>107</v>
      </c>
      <c r="N65" s="20" t="s">
        <v>134</v>
      </c>
      <c r="O65" s="20" t="s">
        <v>362</v>
      </c>
      <c r="P65" s="20"/>
      <c r="Q65" s="9" t="s">
        <v>124</v>
      </c>
      <c r="R65" s="9" t="s">
        <v>202</v>
      </c>
      <c r="S65" s="9" t="s">
        <v>201</v>
      </c>
      <c r="T65" s="9" t="s">
        <v>237</v>
      </c>
      <c r="U65" s="9"/>
      <c r="V65" s="13" t="s">
        <v>381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201</v>
      </c>
      <c r="T66" s="9" t="s">
        <v>381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297</v>
      </c>
      <c r="R67" s="9" t="s">
        <v>181</v>
      </c>
      <c r="S67" s="9" t="s">
        <v>135</v>
      </c>
      <c r="T67" s="9" t="s">
        <v>115</v>
      </c>
      <c r="U67" s="9"/>
      <c r="V67" s="13" t="s">
        <v>130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181</v>
      </c>
      <c r="R68" s="9" t="s">
        <v>104</v>
      </c>
      <c r="S68" s="9" t="s">
        <v>297</v>
      </c>
      <c r="T68" s="9" t="s">
        <v>115</v>
      </c>
      <c r="U68" s="9"/>
      <c r="V68" s="13" t="s">
        <v>174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202</v>
      </c>
      <c r="R69" s="9" t="s">
        <v>122</v>
      </c>
      <c r="S69" s="9" t="s">
        <v>124</v>
      </c>
      <c r="T69" s="9" t="s">
        <v>237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134</v>
      </c>
      <c r="N71" s="20" t="s">
        <v>201</v>
      </c>
      <c r="O71" s="20" t="s">
        <v>107</v>
      </c>
      <c r="P71" s="20"/>
      <c r="Q71" s="9" t="s">
        <v>202</v>
      </c>
      <c r="R71" s="9" t="s">
        <v>118</v>
      </c>
      <c r="S71" s="9" t="s">
        <v>124</v>
      </c>
      <c r="T71" s="9" t="s">
        <v>237</v>
      </c>
      <c r="U71" s="9"/>
      <c r="V71" s="13" t="s">
        <v>122</v>
      </c>
    </row>
    <row r="72" spans="2:22" x14ac:dyDescent="0.25">
      <c r="B72" s="73" t="s">
        <v>358</v>
      </c>
      <c r="C72" s="75">
        <v>1</v>
      </c>
      <c r="D72" s="75">
        <v>0</v>
      </c>
      <c r="E72" s="7" t="s">
        <v>377</v>
      </c>
      <c r="F72" s="7"/>
      <c r="G72" s="7"/>
      <c r="H72" s="7"/>
      <c r="I72" s="8" t="s">
        <v>370</v>
      </c>
      <c r="J72" s="8"/>
      <c r="K72" s="8"/>
      <c r="L72" s="8"/>
      <c r="M72" s="20" t="s">
        <v>377</v>
      </c>
      <c r="N72" s="20" t="s">
        <v>378</v>
      </c>
      <c r="O72" s="20" t="s">
        <v>379</v>
      </c>
      <c r="P72" s="20"/>
      <c r="Q72" s="9" t="s">
        <v>380</v>
      </c>
      <c r="R72" s="9" t="s">
        <v>104</v>
      </c>
      <c r="S72" s="9" t="s">
        <v>297</v>
      </c>
      <c r="T72" s="9" t="s">
        <v>135</v>
      </c>
      <c r="U72" s="9"/>
      <c r="V72" s="13" t="s">
        <v>174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375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203</v>
      </c>
      <c r="F79" s="7" t="s">
        <v>109</v>
      </c>
      <c r="G79" s="7" t="s">
        <v>203</v>
      </c>
      <c r="H79" s="7"/>
      <c r="I79" s="8"/>
      <c r="J79" s="8" t="s">
        <v>216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201</v>
      </c>
      <c r="F80" s="7" t="s">
        <v>201</v>
      </c>
      <c r="G80" s="7" t="s">
        <v>345</v>
      </c>
      <c r="H80" s="7"/>
      <c r="I80" s="8" t="s">
        <v>105</v>
      </c>
      <c r="J80" s="8"/>
      <c r="K80" s="8" t="s">
        <v>136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216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345</v>
      </c>
      <c r="F82" s="7" t="s">
        <v>371</v>
      </c>
      <c r="G82" s="7" t="s">
        <v>201</v>
      </c>
      <c r="H82" s="7"/>
      <c r="I82" s="8" t="s">
        <v>201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203</v>
      </c>
      <c r="F83" s="7"/>
      <c r="G83" s="7"/>
      <c r="H83" s="7"/>
      <c r="I83" s="8" t="s">
        <v>374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345</v>
      </c>
      <c r="F84" s="7" t="s">
        <v>105</v>
      </c>
      <c r="G84" s="7" t="s">
        <v>201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374</v>
      </c>
      <c r="F85" s="7" t="s">
        <v>371</v>
      </c>
      <c r="G85" s="7"/>
      <c r="H85" s="7"/>
      <c r="I85" s="8" t="s">
        <v>371</v>
      </c>
      <c r="J85" s="8"/>
      <c r="K85" s="8" t="s">
        <v>374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385</v>
      </c>
      <c r="D89" s="10" t="s">
        <v>386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236</v>
      </c>
      <c r="F90" s="7" t="s">
        <v>139</v>
      </c>
      <c r="G90" s="7" t="s">
        <v>341</v>
      </c>
      <c r="H90" s="7"/>
      <c r="I90" s="8" t="s">
        <v>310</v>
      </c>
      <c r="J90" s="8" t="s">
        <v>236</v>
      </c>
      <c r="K90" s="8" t="s">
        <v>202</v>
      </c>
      <c r="L90" s="8"/>
      <c r="M90" s="20" t="s">
        <v>107</v>
      </c>
      <c r="N90" s="20" t="s">
        <v>201</v>
      </c>
      <c r="O90" s="20" t="s">
        <v>236</v>
      </c>
      <c r="P90" s="20"/>
      <c r="Q90" s="9" t="s">
        <v>297</v>
      </c>
      <c r="R90" s="9" t="s">
        <v>345</v>
      </c>
      <c r="S90" s="9" t="s">
        <v>214</v>
      </c>
      <c r="T90" s="9" t="s">
        <v>202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139</v>
      </c>
      <c r="F92" s="7" t="s">
        <v>236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372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341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139</v>
      </c>
      <c r="O94" s="20" t="s">
        <v>111</v>
      </c>
      <c r="P94" s="20"/>
      <c r="Q94" s="9" t="s">
        <v>214</v>
      </c>
      <c r="R94" s="9" t="s">
        <v>202</v>
      </c>
      <c r="S94" s="9" t="s">
        <v>345</v>
      </c>
      <c r="T94" s="9" t="s">
        <v>201</v>
      </c>
      <c r="U94" s="9"/>
      <c r="V94" s="13" t="s">
        <v>236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310</v>
      </c>
      <c r="F96" s="7" t="s">
        <v>341</v>
      </c>
      <c r="G96" s="7" t="s">
        <v>310</v>
      </c>
      <c r="H96" s="7" t="s">
        <v>310</v>
      </c>
      <c r="I96" s="8" t="s">
        <v>341</v>
      </c>
      <c r="J96" s="8" t="s">
        <v>310</v>
      </c>
      <c r="K96" s="8" t="s">
        <v>201</v>
      </c>
      <c r="L96" s="8" t="s">
        <v>341</v>
      </c>
      <c r="M96" s="20" t="s">
        <v>107</v>
      </c>
      <c r="N96" s="20" t="s">
        <v>201</v>
      </c>
      <c r="O96" s="20" t="s">
        <v>236</v>
      </c>
      <c r="P96" s="20"/>
      <c r="Q96" s="9" t="s">
        <v>214</v>
      </c>
      <c r="R96" s="9" t="s">
        <v>202</v>
      </c>
      <c r="S96" s="9" t="s">
        <v>345</v>
      </c>
      <c r="T96" s="9" t="s">
        <v>111</v>
      </c>
      <c r="U96" s="9"/>
      <c r="V96" s="13" t="s">
        <v>139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355</v>
      </c>
      <c r="D101" s="10" t="s">
        <v>387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130</v>
      </c>
      <c r="F102" s="7" t="s">
        <v>310</v>
      </c>
      <c r="G102" s="7"/>
      <c r="H102" s="7"/>
      <c r="I102" s="8" t="s">
        <v>310</v>
      </c>
      <c r="J102" s="8" t="s">
        <v>130</v>
      </c>
      <c r="K102" s="8"/>
      <c r="L102" s="8"/>
      <c r="M102" s="20" t="s">
        <v>201</v>
      </c>
      <c r="N102" s="20" t="s">
        <v>134</v>
      </c>
      <c r="O102" s="20" t="s">
        <v>364</v>
      </c>
      <c r="P102" s="20"/>
      <c r="Q102" s="9" t="s">
        <v>366</v>
      </c>
      <c r="R102" s="9" t="s">
        <v>111</v>
      </c>
      <c r="S102" s="9" t="s">
        <v>345</v>
      </c>
      <c r="T102" s="9" t="s">
        <v>347</v>
      </c>
      <c r="U102" s="9"/>
      <c r="V102" s="13" t="s">
        <v>370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371</v>
      </c>
      <c r="N104" s="20" t="s">
        <v>111</v>
      </c>
      <c r="O104" s="20" t="s">
        <v>134</v>
      </c>
      <c r="P104" s="20"/>
      <c r="Q104" s="9" t="s">
        <v>181</v>
      </c>
      <c r="R104" s="9" t="s">
        <v>370</v>
      </c>
      <c r="S104" s="9" t="s">
        <v>369</v>
      </c>
      <c r="T104" s="9" t="s">
        <v>202</v>
      </c>
      <c r="U104" s="9"/>
      <c r="V104" s="13" t="s">
        <v>130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310</v>
      </c>
      <c r="F106" s="7" t="s">
        <v>310</v>
      </c>
      <c r="G106" s="7"/>
      <c r="H106" s="7"/>
      <c r="I106" s="8" t="s">
        <v>201</v>
      </c>
      <c r="J106" s="8" t="s">
        <v>130</v>
      </c>
      <c r="K106" s="8"/>
      <c r="L106" s="8"/>
      <c r="M106" s="20" t="s">
        <v>201</v>
      </c>
      <c r="N106" s="20" t="s">
        <v>371</v>
      </c>
      <c r="O106" s="20" t="s">
        <v>203</v>
      </c>
      <c r="P106" s="20"/>
      <c r="Q106" s="9" t="s">
        <v>372</v>
      </c>
      <c r="R106" s="9" t="s">
        <v>345</v>
      </c>
      <c r="S106" s="9" t="s">
        <v>366</v>
      </c>
      <c r="T106" s="9" t="s">
        <v>347</v>
      </c>
      <c r="U106" s="9"/>
      <c r="V106" s="13" t="s">
        <v>388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310</v>
      </c>
      <c r="F108" s="7"/>
      <c r="G108" s="7"/>
      <c r="H108" s="7"/>
      <c r="I108" s="8" t="s">
        <v>370</v>
      </c>
      <c r="J108" s="8"/>
      <c r="K108" s="8"/>
      <c r="L108" s="8"/>
      <c r="M108" s="20" t="s">
        <v>201</v>
      </c>
      <c r="N108" s="20" t="s">
        <v>345</v>
      </c>
      <c r="O108" s="20" t="s">
        <v>364</v>
      </c>
      <c r="P108" s="20"/>
      <c r="Q108" s="9" t="s">
        <v>202</v>
      </c>
      <c r="R108" s="9" t="s">
        <v>181</v>
      </c>
      <c r="S108" s="9" t="s">
        <v>369</v>
      </c>
      <c r="T108" s="9" t="s">
        <v>352</v>
      </c>
      <c r="U108" s="9"/>
      <c r="V108" s="13" t="s">
        <v>130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385</v>
      </c>
      <c r="D113" s="10" t="s">
        <v>386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371</v>
      </c>
      <c r="F114" s="7"/>
      <c r="G114" s="7"/>
      <c r="H114" s="7"/>
      <c r="I114" s="8"/>
      <c r="J114" s="8"/>
      <c r="K114" s="8"/>
      <c r="L114" s="8"/>
      <c r="M114" s="20" t="s">
        <v>203</v>
      </c>
      <c r="N114" s="20" t="s">
        <v>371</v>
      </c>
      <c r="O114" s="20" t="s">
        <v>364</v>
      </c>
      <c r="P114" s="20"/>
      <c r="Q114" s="9" t="s">
        <v>92</v>
      </c>
      <c r="R114" s="9" t="s">
        <v>366</v>
      </c>
      <c r="S114" s="9" t="s">
        <v>352</v>
      </c>
      <c r="T114" s="9" t="s">
        <v>118</v>
      </c>
      <c r="U114" s="9"/>
      <c r="V114" s="13" t="s">
        <v>389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390</v>
      </c>
      <c r="F116" s="7"/>
      <c r="G116" s="7"/>
      <c r="H116" s="7"/>
      <c r="I116" s="8"/>
      <c r="J116" s="8"/>
      <c r="K116" s="8"/>
      <c r="L116" s="8"/>
      <c r="M116" s="20" t="s">
        <v>371</v>
      </c>
      <c r="N116" s="20" t="s">
        <v>203</v>
      </c>
      <c r="O116" s="20" t="s">
        <v>364</v>
      </c>
      <c r="P116" s="20"/>
      <c r="Q116" s="9" t="s">
        <v>92</v>
      </c>
      <c r="R116" s="9" t="s">
        <v>366</v>
      </c>
      <c r="S116" s="9" t="s">
        <v>352</v>
      </c>
      <c r="T116" s="9" t="s">
        <v>118</v>
      </c>
      <c r="U116" s="9"/>
      <c r="V116" s="13" t="s">
        <v>389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130</v>
      </c>
      <c r="G118" s="7"/>
      <c r="H118" s="7"/>
      <c r="I118" s="8" t="s">
        <v>364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203</v>
      </c>
      <c r="F120" s="7" t="s">
        <v>130</v>
      </c>
      <c r="G120" s="7"/>
      <c r="H120" s="7"/>
      <c r="I120" s="8" t="s">
        <v>363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375</v>
      </c>
      <c r="D125" s="10" t="s">
        <v>385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366</v>
      </c>
      <c r="S126" s="9" t="s">
        <v>297</v>
      </c>
      <c r="T126" s="9" t="s">
        <v>195</v>
      </c>
      <c r="U126" s="9"/>
      <c r="V126" s="13" t="s">
        <v>311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370</v>
      </c>
      <c r="R127" s="9" t="s">
        <v>325</v>
      </c>
      <c r="S127" s="9" t="s">
        <v>352</v>
      </c>
      <c r="T127" s="9" t="s">
        <v>174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311</v>
      </c>
      <c r="F128" s="7" t="s">
        <v>311</v>
      </c>
      <c r="G128" s="7"/>
      <c r="H128" s="7"/>
      <c r="I128" s="8" t="s">
        <v>363</v>
      </c>
      <c r="J128" s="8" t="s">
        <v>368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310</v>
      </c>
      <c r="F129" s="7" t="s">
        <v>310</v>
      </c>
      <c r="G129" s="7"/>
      <c r="H129" s="7"/>
      <c r="I129" s="8" t="s">
        <v>341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236</v>
      </c>
      <c r="F130" s="7" t="s">
        <v>310</v>
      </c>
      <c r="G130" s="7" t="s">
        <v>213</v>
      </c>
      <c r="H130" s="7"/>
      <c r="I130" s="8" t="s">
        <v>195</v>
      </c>
      <c r="J130" s="8" t="s">
        <v>163</v>
      </c>
      <c r="K130" s="8"/>
      <c r="L130" s="8"/>
      <c r="M130" s="20" t="s">
        <v>113</v>
      </c>
      <c r="N130" s="20" t="s">
        <v>213</v>
      </c>
      <c r="O130" s="20" t="s">
        <v>236</v>
      </c>
      <c r="P130" s="20"/>
      <c r="Q130" s="9" t="s">
        <v>202</v>
      </c>
      <c r="R130" s="9" t="s">
        <v>108</v>
      </c>
      <c r="S130" s="9" t="s">
        <v>325</v>
      </c>
      <c r="T130" s="9" t="s">
        <v>195</v>
      </c>
      <c r="U130" s="9"/>
      <c r="V130" s="13" t="s">
        <v>174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375</v>
      </c>
      <c r="D135" s="10" t="s">
        <v>385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310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306</v>
      </c>
      <c r="G137" s="7"/>
      <c r="H137" s="7"/>
      <c r="I137" s="8" t="s">
        <v>306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310</v>
      </c>
      <c r="F138" s="7"/>
      <c r="G138" s="7"/>
      <c r="H138" s="7"/>
      <c r="I138" s="8"/>
      <c r="J138" s="8"/>
      <c r="K138" s="8"/>
      <c r="L138" s="8"/>
      <c r="M138" s="20" t="s">
        <v>236</v>
      </c>
      <c r="N138" s="20" t="s">
        <v>107</v>
      </c>
      <c r="O138" s="20"/>
      <c r="P138" s="20"/>
      <c r="Q138" s="9" t="s">
        <v>297</v>
      </c>
      <c r="R138" s="9" t="s">
        <v>359</v>
      </c>
      <c r="S138" s="9" t="s">
        <v>118</v>
      </c>
      <c r="T138" s="9" t="s">
        <v>202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315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310</v>
      </c>
      <c r="F141" s="7"/>
      <c r="G141" s="7"/>
      <c r="H141" s="7"/>
      <c r="I141" s="8" t="s">
        <v>202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297</v>
      </c>
      <c r="R142" s="9" t="s">
        <v>233</v>
      </c>
      <c r="S142" s="9" t="s">
        <v>118</v>
      </c>
      <c r="T142" s="9" t="s">
        <v>341</v>
      </c>
      <c r="U142" s="9"/>
      <c r="V142" s="13" t="s">
        <v>366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202</v>
      </c>
      <c r="R143" s="9" t="s">
        <v>325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355</v>
      </c>
      <c r="D147" s="10" t="s">
        <v>393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181</v>
      </c>
      <c r="F148" s="7"/>
      <c r="G148" s="7"/>
      <c r="H148" s="7"/>
      <c r="I148" s="8" t="s">
        <v>213</v>
      </c>
      <c r="J148" s="8"/>
      <c r="K148" s="8"/>
      <c r="L148" s="8"/>
      <c r="M148" s="20" t="s">
        <v>203</v>
      </c>
      <c r="N148" s="20" t="s">
        <v>213</v>
      </c>
      <c r="O148" s="20" t="s">
        <v>305</v>
      </c>
      <c r="P148" s="20"/>
      <c r="Q148" s="9" t="s">
        <v>297</v>
      </c>
      <c r="R148" s="9" t="s">
        <v>181</v>
      </c>
      <c r="S148" s="9" t="s">
        <v>122</v>
      </c>
      <c r="T148" s="9" t="s">
        <v>214</v>
      </c>
      <c r="U148" s="9"/>
      <c r="V148" s="13" t="s">
        <v>174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174</v>
      </c>
      <c r="S150" s="9" t="s">
        <v>124</v>
      </c>
      <c r="T150" s="9" t="s">
        <v>135</v>
      </c>
      <c r="U150" s="9"/>
      <c r="V150" s="13" t="s">
        <v>181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341</v>
      </c>
      <c r="J152" s="8"/>
      <c r="K152" s="8"/>
      <c r="L152" s="8"/>
      <c r="M152" s="20" t="s">
        <v>213</v>
      </c>
      <c r="N152" s="20" t="s">
        <v>124</v>
      </c>
      <c r="O152" s="20" t="s">
        <v>305</v>
      </c>
      <c r="P152" s="20"/>
      <c r="Q152" s="9" t="s">
        <v>214</v>
      </c>
      <c r="R152" s="9" t="s">
        <v>124</v>
      </c>
      <c r="S152" s="9" t="s">
        <v>297</v>
      </c>
      <c r="T152" s="9" t="s">
        <v>181</v>
      </c>
      <c r="U152" s="9"/>
      <c r="V152" s="13" t="s">
        <v>174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310</v>
      </c>
      <c r="G154" s="7" t="s">
        <v>130</v>
      </c>
      <c r="H154" s="7" t="s">
        <v>310</v>
      </c>
      <c r="I154" s="8"/>
      <c r="J154" s="8" t="s">
        <v>109</v>
      </c>
      <c r="K154" s="8" t="s">
        <v>214</v>
      </c>
      <c r="L154" s="8"/>
      <c r="M154" s="20" t="s">
        <v>213</v>
      </c>
      <c r="N154" s="20" t="s">
        <v>203</v>
      </c>
      <c r="O154" s="20" t="s">
        <v>109</v>
      </c>
      <c r="P154" s="20"/>
      <c r="Q154" s="9" t="s">
        <v>297</v>
      </c>
      <c r="R154" s="9" t="s">
        <v>122</v>
      </c>
      <c r="S154" s="9" t="s">
        <v>214</v>
      </c>
      <c r="T154" s="9" t="s">
        <v>135</v>
      </c>
      <c r="U154" s="9"/>
      <c r="V154" s="13" t="s">
        <v>341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394</v>
      </c>
      <c r="D159" s="10" t="s">
        <v>395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310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203</v>
      </c>
      <c r="O161" s="20" t="s">
        <v>139</v>
      </c>
      <c r="P161" s="20"/>
      <c r="Q161" s="9" t="s">
        <v>118</v>
      </c>
      <c r="R161" s="9" t="s">
        <v>202</v>
      </c>
      <c r="S161" s="9" t="s">
        <v>312</v>
      </c>
      <c r="T161" s="9" t="s">
        <v>211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201</v>
      </c>
      <c r="F164" s="7"/>
      <c r="G164" s="7"/>
      <c r="H164" s="7"/>
      <c r="I164" s="8" t="s">
        <v>214</v>
      </c>
      <c r="J164" s="8"/>
      <c r="K164" s="8"/>
      <c r="L164" s="8"/>
      <c r="M164" s="20" t="s">
        <v>201</v>
      </c>
      <c r="N164" s="20" t="s">
        <v>134</v>
      </c>
      <c r="O164" s="20"/>
      <c r="P164" s="20"/>
      <c r="Q164" s="9" t="s">
        <v>297</v>
      </c>
      <c r="R164" s="9" t="s">
        <v>124</v>
      </c>
      <c r="S164" s="9" t="s">
        <v>181</v>
      </c>
      <c r="T164" s="9" t="s">
        <v>233</v>
      </c>
      <c r="U164" s="9"/>
      <c r="V164" s="13" t="s">
        <v>312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139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203</v>
      </c>
      <c r="O167" s="20"/>
      <c r="P167" s="20"/>
      <c r="Q167" s="9" t="s">
        <v>325</v>
      </c>
      <c r="R167" s="9" t="s">
        <v>118</v>
      </c>
      <c r="S167" s="9" t="s">
        <v>233</v>
      </c>
      <c r="T167" s="9" t="s">
        <v>202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355</v>
      </c>
      <c r="D171" s="10" t="s">
        <v>356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219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297</v>
      </c>
      <c r="S172" s="9" t="s">
        <v>233</v>
      </c>
      <c r="T172" s="9" t="s">
        <v>118</v>
      </c>
      <c r="U172" s="9"/>
      <c r="V172" s="13" t="s">
        <v>130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201</v>
      </c>
      <c r="F176" s="7"/>
      <c r="G176" s="7"/>
      <c r="H176" s="7"/>
      <c r="I176" s="8" t="s">
        <v>174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297</v>
      </c>
      <c r="S176" s="9" t="s">
        <v>233</v>
      </c>
      <c r="T176" s="9" t="s">
        <v>122</v>
      </c>
      <c r="U176" s="9"/>
      <c r="V176" s="13" t="s">
        <v>236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202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355</v>
      </c>
      <c r="D183" s="10" t="s">
        <v>396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233</v>
      </c>
      <c r="F186" s="7" t="s">
        <v>98</v>
      </c>
      <c r="G186" s="7" t="s">
        <v>139</v>
      </c>
      <c r="H186" s="7" t="s">
        <v>95</v>
      </c>
      <c r="I186" s="8"/>
      <c r="J186" s="8" t="s">
        <v>219</v>
      </c>
      <c r="K186" s="8" t="s">
        <v>135</v>
      </c>
      <c r="L186" s="8"/>
      <c r="M186" s="20" t="s">
        <v>139</v>
      </c>
      <c r="N186" s="20" t="s">
        <v>219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219</v>
      </c>
      <c r="F190" s="7"/>
      <c r="G190" s="7"/>
      <c r="H190" s="7"/>
      <c r="I190" s="8" t="s">
        <v>195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5" spans="2:22" x14ac:dyDescent="0.25">
      <c r="B195" s="11">
        <v>46205</v>
      </c>
      <c r="C195" s="10" t="s">
        <v>355</v>
      </c>
      <c r="D195" s="10" t="s">
        <v>355</v>
      </c>
      <c r="E195" s="77" t="s">
        <v>82</v>
      </c>
      <c r="F195" s="77"/>
      <c r="G195" s="77"/>
      <c r="H195" s="77"/>
      <c r="I195" s="78" t="s">
        <v>85</v>
      </c>
      <c r="J195" s="78"/>
      <c r="K195" s="78"/>
      <c r="L195" s="78"/>
      <c r="M195" s="79" t="s">
        <v>84</v>
      </c>
      <c r="N195" s="79"/>
      <c r="O195" s="79"/>
      <c r="P195" s="79"/>
      <c r="Q195" s="80" t="s">
        <v>78</v>
      </c>
      <c r="R195" s="80"/>
      <c r="S195" s="80"/>
      <c r="T195" s="80"/>
      <c r="U195" s="80"/>
      <c r="V195" s="80"/>
    </row>
    <row r="196" spans="2:22" x14ac:dyDescent="0.25">
      <c r="B196" s="81" t="s">
        <v>400</v>
      </c>
      <c r="C196" s="75">
        <v>0</v>
      </c>
      <c r="D196" s="75">
        <v>1</v>
      </c>
      <c r="E196" s="7"/>
      <c r="F196" s="7"/>
      <c r="G196" s="7"/>
      <c r="H196" s="7"/>
      <c r="I196" s="8"/>
      <c r="J196" s="8"/>
      <c r="K196" s="8"/>
      <c r="L196" s="8"/>
      <c r="M196" s="20"/>
      <c r="N196" s="20"/>
      <c r="O196" s="20"/>
      <c r="P196" s="20"/>
      <c r="Q196" s="9"/>
      <c r="R196" s="9"/>
      <c r="S196" s="9"/>
      <c r="T196" s="9"/>
      <c r="U196" s="9"/>
      <c r="V196" s="13"/>
    </row>
    <row r="197" spans="2:22" x14ac:dyDescent="0.25">
      <c r="B197" s="74"/>
      <c r="C197" s="76"/>
      <c r="D197" s="76"/>
      <c r="E197" s="7" t="s">
        <v>311</v>
      </c>
      <c r="F197" s="7"/>
      <c r="G197" s="7"/>
      <c r="H197" s="7"/>
      <c r="I197" s="8"/>
      <c r="J197" s="8"/>
      <c r="K197" s="8"/>
      <c r="L197" s="8"/>
      <c r="M197" s="20" t="s">
        <v>311</v>
      </c>
      <c r="N197" s="20" t="s">
        <v>359</v>
      </c>
      <c r="O197" s="20" t="s">
        <v>103</v>
      </c>
      <c r="P197" s="20"/>
      <c r="Q197" s="9" t="s">
        <v>372</v>
      </c>
      <c r="R197" s="9" t="s">
        <v>366</v>
      </c>
      <c r="S197" s="9" t="s">
        <v>297</v>
      </c>
      <c r="T197" s="9" t="s">
        <v>195</v>
      </c>
      <c r="U197" s="9"/>
      <c r="V197" s="13" t="s">
        <v>108</v>
      </c>
    </row>
    <row r="198" spans="2:22" x14ac:dyDescent="0.25">
      <c r="B198" s="81" t="s">
        <v>399</v>
      </c>
      <c r="C198" s="75">
        <v>0</v>
      </c>
      <c r="D198" s="75">
        <v>0</v>
      </c>
      <c r="E198" s="7"/>
      <c r="F198" s="7"/>
      <c r="G198" s="7"/>
      <c r="H198" s="7"/>
      <c r="I198" s="8"/>
      <c r="J198" s="8"/>
      <c r="K198" s="8"/>
      <c r="L198" s="8"/>
      <c r="M198" s="20"/>
      <c r="N198" s="20"/>
      <c r="O198" s="20"/>
      <c r="P198" s="20"/>
      <c r="Q198" s="9" t="s">
        <v>297</v>
      </c>
      <c r="R198" s="9" t="s">
        <v>195</v>
      </c>
      <c r="S198" s="9" t="s">
        <v>352</v>
      </c>
      <c r="T198" s="9" t="s">
        <v>366</v>
      </c>
      <c r="U198" s="9"/>
      <c r="V198" s="13" t="s">
        <v>108</v>
      </c>
    </row>
    <row r="199" spans="2:22" x14ac:dyDescent="0.25">
      <c r="B199" s="74"/>
      <c r="C199" s="76"/>
      <c r="D199" s="76"/>
      <c r="E199" s="7"/>
      <c r="F199" s="7"/>
      <c r="G199" s="7"/>
      <c r="H199" s="7"/>
      <c r="I199" s="8"/>
      <c r="J199" s="8"/>
      <c r="K199" s="8"/>
      <c r="L199" s="8"/>
      <c r="M199" s="20"/>
      <c r="N199" s="20"/>
      <c r="O199" s="20"/>
      <c r="P199" s="20"/>
      <c r="Q199" s="9" t="s">
        <v>325</v>
      </c>
      <c r="R199" s="9" t="s">
        <v>99</v>
      </c>
      <c r="S199" s="9" t="s">
        <v>118</v>
      </c>
      <c r="T199" s="9"/>
      <c r="U199" s="9"/>
      <c r="V199" s="13" t="s">
        <v>162</v>
      </c>
    </row>
    <row r="200" spans="2:22" x14ac:dyDescent="0.25">
      <c r="B200" s="81" t="s">
        <v>401</v>
      </c>
      <c r="C200" s="75">
        <v>0</v>
      </c>
      <c r="D200" s="75">
        <v>2</v>
      </c>
      <c r="E200" s="7"/>
      <c r="F200" s="7"/>
      <c r="G200" s="7"/>
      <c r="H200" s="7"/>
      <c r="I200" s="8"/>
      <c r="J200" s="8"/>
      <c r="K200" s="8"/>
      <c r="L200" s="8"/>
      <c r="M200" s="20"/>
      <c r="N200" s="20"/>
      <c r="O200" s="20"/>
      <c r="P200" s="20"/>
      <c r="Q200" s="9"/>
      <c r="R200" s="9"/>
      <c r="S200" s="9"/>
      <c r="T200" s="9"/>
      <c r="U200" s="9"/>
      <c r="V200" s="13"/>
    </row>
    <row r="201" spans="2:22" x14ac:dyDescent="0.25">
      <c r="B201" s="74"/>
      <c r="C201" s="76"/>
      <c r="D201" s="76"/>
      <c r="E201" s="7" t="s">
        <v>201</v>
      </c>
      <c r="F201" s="7" t="s">
        <v>98</v>
      </c>
      <c r="G201" s="7"/>
      <c r="H201" s="7"/>
      <c r="I201" s="8" t="s">
        <v>201</v>
      </c>
      <c r="J201" s="8" t="s">
        <v>203</v>
      </c>
      <c r="K201" s="8" t="s">
        <v>111</v>
      </c>
      <c r="L201" s="8"/>
      <c r="M201" s="20"/>
      <c r="N201" s="20"/>
      <c r="O201" s="20"/>
      <c r="P201" s="20"/>
      <c r="Q201" s="9" t="s">
        <v>361</v>
      </c>
      <c r="R201" s="9" t="s">
        <v>360</v>
      </c>
      <c r="S201" s="9" t="s">
        <v>404</v>
      </c>
      <c r="T201" s="9" t="s">
        <v>312</v>
      </c>
      <c r="U201" s="9"/>
      <c r="V201" s="13" t="s">
        <v>108</v>
      </c>
    </row>
    <row r="202" spans="2:22" x14ac:dyDescent="0.25">
      <c r="B202" s="81" t="s">
        <v>400</v>
      </c>
      <c r="C202" s="75">
        <v>1</v>
      </c>
      <c r="D202" s="75">
        <v>0</v>
      </c>
      <c r="E202" s="7" t="s">
        <v>341</v>
      </c>
      <c r="F202" s="7"/>
      <c r="G202" s="7"/>
      <c r="H202" s="7"/>
      <c r="I202" s="8" t="s">
        <v>404</v>
      </c>
      <c r="J202" s="8"/>
      <c r="K202" s="8"/>
      <c r="L202" s="8"/>
      <c r="M202" s="20" t="s">
        <v>201</v>
      </c>
      <c r="N202" s="20" t="s">
        <v>111</v>
      </c>
      <c r="O202" s="20" t="s">
        <v>203</v>
      </c>
      <c r="P202" s="20"/>
      <c r="Q202" s="9" t="s">
        <v>122</v>
      </c>
      <c r="R202" s="9" t="s">
        <v>404</v>
      </c>
      <c r="S202" s="9" t="s">
        <v>92</v>
      </c>
      <c r="T202" s="9" t="s">
        <v>312</v>
      </c>
      <c r="U202" s="9"/>
      <c r="V202" s="13" t="s">
        <v>162</v>
      </c>
    </row>
    <row r="203" spans="2:22" x14ac:dyDescent="0.25">
      <c r="B203" s="74"/>
      <c r="C203" s="76"/>
      <c r="D203" s="76"/>
      <c r="E203" s="7"/>
      <c r="F203" s="7"/>
      <c r="G203" s="7"/>
      <c r="H203" s="7"/>
      <c r="I203" s="8"/>
      <c r="J203" s="8"/>
      <c r="K203" s="8"/>
      <c r="L203" s="8"/>
      <c r="M203" s="20"/>
      <c r="N203" s="20"/>
      <c r="O203" s="20"/>
      <c r="P203" s="20"/>
      <c r="Q203" s="9"/>
      <c r="R203" s="9"/>
      <c r="S203" s="9"/>
      <c r="T203" s="9"/>
      <c r="U203" s="9"/>
      <c r="V203" s="13"/>
    </row>
    <row r="204" spans="2:22" x14ac:dyDescent="0.25">
      <c r="B204" s="81" t="s">
        <v>399</v>
      </c>
      <c r="C204" s="75">
        <v>0</v>
      </c>
      <c r="D204" s="75">
        <v>1</v>
      </c>
      <c r="E204" s="7"/>
      <c r="F204" s="7"/>
      <c r="G204" s="7"/>
      <c r="H204" s="7"/>
      <c r="I204" s="8"/>
      <c r="J204" s="8"/>
      <c r="K204" s="8"/>
      <c r="L204" s="8"/>
      <c r="M204" s="20"/>
      <c r="N204" s="20"/>
      <c r="O204" s="20"/>
      <c r="P204" s="20"/>
      <c r="Q204" s="9"/>
      <c r="R204" s="9"/>
      <c r="S204" s="9"/>
      <c r="T204" s="9"/>
      <c r="U204" s="9"/>
      <c r="V204" s="13"/>
    </row>
    <row r="205" spans="2:22" x14ac:dyDescent="0.25">
      <c r="B205" s="74"/>
      <c r="C205" s="76"/>
      <c r="D205" s="76"/>
      <c r="E205" s="7"/>
      <c r="F205" s="7"/>
      <c r="G205" s="7"/>
      <c r="H205" s="7"/>
      <c r="I205" s="8"/>
      <c r="J205" s="8"/>
      <c r="K205" s="8"/>
      <c r="L205" s="8"/>
      <c r="M205" s="20" t="s">
        <v>313</v>
      </c>
      <c r="N205" s="20" t="s">
        <v>298</v>
      </c>
      <c r="O205" s="20" t="s">
        <v>402</v>
      </c>
      <c r="P205" s="20"/>
      <c r="Q205" s="9" t="s">
        <v>118</v>
      </c>
      <c r="R205" s="9" t="s">
        <v>325</v>
      </c>
      <c r="S205" s="9" t="s">
        <v>99</v>
      </c>
      <c r="T205" s="9"/>
      <c r="U205" s="9"/>
      <c r="V205" s="13" t="s">
        <v>174</v>
      </c>
    </row>
    <row r="206" spans="2:22" ht="15.6" customHeight="1" x14ac:dyDescent="0.25">
      <c r="B206" s="81" t="s">
        <v>401</v>
      </c>
      <c r="C206" s="75">
        <v>0</v>
      </c>
      <c r="D206" s="75">
        <v>1</v>
      </c>
      <c r="E206" s="7"/>
      <c r="F206" s="7"/>
      <c r="G206" s="7"/>
      <c r="H206" s="7"/>
      <c r="I206" s="8"/>
      <c r="J206" s="8"/>
      <c r="K206" s="8"/>
      <c r="L206" s="8"/>
      <c r="M206" s="20"/>
      <c r="N206" s="20"/>
      <c r="O206" s="20"/>
      <c r="P206" s="20"/>
      <c r="Q206" s="9"/>
      <c r="R206" s="9"/>
      <c r="S206" s="9"/>
      <c r="T206" s="9"/>
      <c r="U206" s="9"/>
      <c r="V206" s="13"/>
    </row>
    <row r="207" spans="2:22" x14ac:dyDescent="0.25">
      <c r="B207" s="74"/>
      <c r="C207" s="76"/>
      <c r="D207" s="76"/>
      <c r="E207" s="7" t="s">
        <v>341</v>
      </c>
      <c r="F207" s="7"/>
      <c r="G207" s="7"/>
      <c r="H207" s="7"/>
      <c r="I207" s="8" t="s">
        <v>98</v>
      </c>
      <c r="J207" s="8"/>
      <c r="K207" s="8"/>
      <c r="L207" s="8"/>
      <c r="M207" s="20" t="s">
        <v>203</v>
      </c>
      <c r="N207" s="20" t="s">
        <v>201</v>
      </c>
      <c r="O207" s="20" t="s">
        <v>95</v>
      </c>
      <c r="P207" s="20"/>
      <c r="Q207" s="9" t="s">
        <v>122</v>
      </c>
      <c r="R207" s="9" t="s">
        <v>130</v>
      </c>
      <c r="S207" s="9" t="s">
        <v>312</v>
      </c>
      <c r="T207" s="9" t="s">
        <v>92</v>
      </c>
      <c r="U207" s="9"/>
      <c r="V207" s="13" t="s">
        <v>162</v>
      </c>
    </row>
    <row r="208" spans="2:22" x14ac:dyDescent="0.25">
      <c r="B208" s="2" t="s">
        <v>89</v>
      </c>
      <c r="C208" s="2">
        <f>SUM(C196:C203)</f>
        <v>1</v>
      </c>
      <c r="D208" s="2">
        <f>SUM(D196:D203)</f>
        <v>3</v>
      </c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</row>
    <row r="211" spans="2:22" x14ac:dyDescent="0.25">
      <c r="B211" s="11">
        <v>46212</v>
      </c>
      <c r="C211" s="10" t="s">
        <v>355</v>
      </c>
      <c r="D211" s="10" t="s">
        <v>355</v>
      </c>
      <c r="E211" s="77" t="s">
        <v>82</v>
      </c>
      <c r="F211" s="77"/>
      <c r="G211" s="77"/>
      <c r="H211" s="77"/>
      <c r="I211" s="78" t="s">
        <v>85</v>
      </c>
      <c r="J211" s="78"/>
      <c r="K211" s="78"/>
      <c r="L211" s="78"/>
      <c r="M211" s="79" t="s">
        <v>84</v>
      </c>
      <c r="N211" s="79"/>
      <c r="O211" s="79"/>
      <c r="P211" s="79"/>
      <c r="Q211" s="80" t="s">
        <v>78</v>
      </c>
      <c r="R211" s="80"/>
      <c r="S211" s="80"/>
      <c r="T211" s="80"/>
      <c r="U211" s="80"/>
      <c r="V211" s="80"/>
    </row>
    <row r="212" spans="2:22" ht="15.6" customHeight="1" x14ac:dyDescent="0.25">
      <c r="B212" s="73" t="s">
        <v>65</v>
      </c>
      <c r="C212" s="75">
        <v>1</v>
      </c>
      <c r="D212" s="75">
        <v>1</v>
      </c>
      <c r="E212" s="7" t="s">
        <v>139</v>
      </c>
      <c r="F212" s="7"/>
      <c r="G212" s="7"/>
      <c r="H212" s="7"/>
      <c r="I212" s="8" t="s">
        <v>406</v>
      </c>
      <c r="J212" s="8"/>
      <c r="K212" s="8"/>
      <c r="L212" s="8"/>
      <c r="M212" s="20"/>
      <c r="N212" s="20"/>
      <c r="O212" s="20"/>
      <c r="P212" s="20"/>
      <c r="Q212" s="9"/>
      <c r="R212" s="9"/>
      <c r="S212" s="9"/>
      <c r="T212" s="9"/>
      <c r="U212" s="9"/>
      <c r="V212" s="13"/>
    </row>
    <row r="213" spans="2:22" x14ac:dyDescent="0.25">
      <c r="B213" s="74"/>
      <c r="C213" s="76"/>
      <c r="D213" s="76"/>
      <c r="E213" s="7" t="s">
        <v>111</v>
      </c>
      <c r="F213" s="7"/>
      <c r="G213" s="7"/>
      <c r="H213" s="7"/>
      <c r="I213" s="8"/>
      <c r="J213" s="8"/>
      <c r="K213" s="8"/>
      <c r="L213" s="8"/>
      <c r="M213" s="20"/>
      <c r="N213" s="20"/>
      <c r="O213" s="20"/>
      <c r="P213" s="20"/>
      <c r="Q213" s="9"/>
      <c r="R213" s="9"/>
      <c r="S213" s="9"/>
      <c r="T213" s="9"/>
      <c r="U213" s="9"/>
      <c r="V213" s="13"/>
    </row>
    <row r="214" spans="2:22" ht="15.6" customHeight="1" x14ac:dyDescent="0.25">
      <c r="B214" s="73" t="s">
        <v>71</v>
      </c>
      <c r="C214" s="75">
        <v>4</v>
      </c>
      <c r="D214" s="75">
        <v>2</v>
      </c>
      <c r="E214" s="7" t="s">
        <v>139</v>
      </c>
      <c r="F214" s="7" t="s">
        <v>139</v>
      </c>
      <c r="G214" s="7" t="s">
        <v>139</v>
      </c>
      <c r="H214" s="7" t="s">
        <v>311</v>
      </c>
      <c r="I214" s="8" t="s">
        <v>406</v>
      </c>
      <c r="J214" s="8"/>
      <c r="K214" s="8"/>
      <c r="L214" s="8"/>
      <c r="M214" s="20"/>
      <c r="N214" s="20"/>
      <c r="O214" s="20"/>
      <c r="P214" s="20"/>
      <c r="Q214" s="9"/>
      <c r="R214" s="9"/>
      <c r="S214" s="9"/>
      <c r="T214" s="9"/>
      <c r="U214" s="9"/>
      <c r="V214" s="13"/>
    </row>
    <row r="215" spans="2:22" x14ac:dyDescent="0.25">
      <c r="B215" s="74"/>
      <c r="C215" s="76"/>
      <c r="D215" s="76"/>
      <c r="E215" s="7" t="s">
        <v>98</v>
      </c>
      <c r="F215" s="7" t="s">
        <v>174</v>
      </c>
      <c r="G215" s="7"/>
      <c r="H215" s="7"/>
      <c r="I215" s="8"/>
      <c r="J215" s="8" t="s">
        <v>364</v>
      </c>
      <c r="K215" s="8"/>
      <c r="L215" s="8"/>
      <c r="M215" s="20"/>
      <c r="N215" s="20"/>
      <c r="O215" s="20"/>
      <c r="P215" s="20"/>
      <c r="Q215" s="9"/>
      <c r="R215" s="9"/>
      <c r="S215" s="9"/>
      <c r="T215" s="9"/>
      <c r="U215" s="9"/>
      <c r="V215" s="13"/>
    </row>
    <row r="216" spans="2:22" ht="15.6" customHeight="1" x14ac:dyDescent="0.25">
      <c r="B216" s="73" t="s">
        <v>73</v>
      </c>
      <c r="C216" s="75">
        <v>3</v>
      </c>
      <c r="D216" s="75">
        <v>2</v>
      </c>
      <c r="E216" s="7" t="s">
        <v>219</v>
      </c>
      <c r="F216" s="7" t="s">
        <v>406</v>
      </c>
      <c r="G216" s="7"/>
      <c r="H216" s="7"/>
      <c r="I216" s="8"/>
      <c r="J216" s="8" t="s">
        <v>101</v>
      </c>
      <c r="K216" s="8"/>
      <c r="L216" s="8"/>
      <c r="M216" s="20"/>
      <c r="N216" s="20"/>
      <c r="O216" s="20"/>
      <c r="P216" s="20"/>
      <c r="Q216" s="9"/>
      <c r="R216" s="9"/>
      <c r="S216" s="9"/>
      <c r="T216" s="9"/>
      <c r="U216" s="9"/>
      <c r="V216" s="13"/>
    </row>
    <row r="217" spans="2:22" x14ac:dyDescent="0.25">
      <c r="B217" s="74"/>
      <c r="C217" s="76"/>
      <c r="D217" s="76"/>
      <c r="E217" s="7" t="s">
        <v>174</v>
      </c>
      <c r="F217" s="7" t="s">
        <v>98</v>
      </c>
      <c r="G217" s="7"/>
      <c r="H217" s="7"/>
      <c r="I217" s="8" t="s">
        <v>98</v>
      </c>
      <c r="J217" s="8" t="s">
        <v>111</v>
      </c>
      <c r="K217" s="8"/>
      <c r="L217" s="8"/>
      <c r="M217" s="20"/>
      <c r="N217" s="20"/>
      <c r="O217" s="20"/>
      <c r="P217" s="20"/>
      <c r="Q217" s="9"/>
      <c r="R217" s="9"/>
      <c r="S217" s="9"/>
      <c r="T217" s="9"/>
      <c r="U217" s="9"/>
      <c r="V217" s="13"/>
    </row>
    <row r="218" spans="2:22" x14ac:dyDescent="0.25">
      <c r="B218" s="2" t="s">
        <v>89</v>
      </c>
      <c r="C218" s="2">
        <f>SUM(C212:C217)</f>
        <v>8</v>
      </c>
      <c r="D218" s="2">
        <f>SUM(D212:D217)</f>
        <v>5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</row>
    <row r="221" spans="2:22" x14ac:dyDescent="0.25">
      <c r="B221" s="11">
        <v>46219</v>
      </c>
      <c r="C221" s="10" t="s">
        <v>355</v>
      </c>
      <c r="D221" s="10" t="s">
        <v>355</v>
      </c>
      <c r="E221" s="77" t="s">
        <v>82</v>
      </c>
      <c r="F221" s="77"/>
      <c r="G221" s="77"/>
      <c r="H221" s="77"/>
      <c r="I221" s="78" t="s">
        <v>85</v>
      </c>
      <c r="J221" s="78"/>
      <c r="K221" s="78"/>
      <c r="L221" s="78"/>
      <c r="M221" s="79" t="s">
        <v>84</v>
      </c>
      <c r="N221" s="79"/>
      <c r="O221" s="79"/>
      <c r="P221" s="79"/>
      <c r="Q221" s="80" t="s">
        <v>78</v>
      </c>
      <c r="R221" s="80"/>
      <c r="S221" s="80"/>
      <c r="T221" s="80"/>
      <c r="U221" s="80"/>
      <c r="V221" s="80"/>
    </row>
    <row r="222" spans="2:22" x14ac:dyDescent="0.25">
      <c r="B222" s="73" t="s">
        <v>65</v>
      </c>
      <c r="C222" s="75">
        <v>0</v>
      </c>
      <c r="D222" s="75">
        <v>0</v>
      </c>
      <c r="E222" s="7"/>
      <c r="F222" s="7"/>
      <c r="G222" s="7"/>
      <c r="H222" s="7"/>
      <c r="I222" s="8"/>
      <c r="J222" s="8"/>
      <c r="K222" s="8"/>
      <c r="L222" s="8"/>
      <c r="M222" s="20"/>
      <c r="N222" s="20"/>
      <c r="O222" s="20"/>
      <c r="P222" s="20"/>
      <c r="Q222" s="9" t="s">
        <v>409</v>
      </c>
      <c r="R222" s="9" t="s">
        <v>325</v>
      </c>
      <c r="S222" s="9" t="s">
        <v>103</v>
      </c>
      <c r="T222" s="9" t="s">
        <v>115</v>
      </c>
      <c r="U222" s="9"/>
      <c r="V222" s="13" t="s">
        <v>300</v>
      </c>
    </row>
    <row r="223" spans="2:22" x14ac:dyDescent="0.25">
      <c r="B223" s="74"/>
      <c r="C223" s="76"/>
      <c r="D223" s="76"/>
      <c r="E223" s="7"/>
      <c r="F223" s="7"/>
      <c r="G223" s="7"/>
      <c r="H223" s="7"/>
      <c r="I223" s="8"/>
      <c r="J223" s="8"/>
      <c r="K223" s="8"/>
      <c r="L223" s="8"/>
      <c r="M223" s="20"/>
      <c r="N223" s="20"/>
      <c r="O223" s="20"/>
      <c r="P223" s="20"/>
      <c r="Q223" s="9" t="s">
        <v>131</v>
      </c>
      <c r="R223" s="9" t="s">
        <v>233</v>
      </c>
      <c r="S223" s="9" t="s">
        <v>181</v>
      </c>
      <c r="T223" s="9" t="s">
        <v>312</v>
      </c>
      <c r="U223" s="9"/>
      <c r="V223" s="13" t="s">
        <v>311</v>
      </c>
    </row>
    <row r="224" spans="2:22" x14ac:dyDescent="0.25">
      <c r="B224" s="73" t="s">
        <v>71</v>
      </c>
      <c r="C224" s="75">
        <v>2</v>
      </c>
      <c r="D224" s="75">
        <v>1</v>
      </c>
      <c r="E224" s="7" t="s">
        <v>98</v>
      </c>
      <c r="F224" s="7" t="s">
        <v>364</v>
      </c>
      <c r="G224" s="7"/>
      <c r="H224" s="7"/>
      <c r="I224" s="8"/>
      <c r="J224" s="8"/>
      <c r="K224" s="8"/>
      <c r="L224" s="8"/>
      <c r="M224" s="20"/>
      <c r="N224" s="20"/>
      <c r="O224" s="20"/>
      <c r="P224" s="20"/>
      <c r="Q224" s="9"/>
      <c r="R224" s="9"/>
      <c r="S224" s="9"/>
      <c r="T224" s="9"/>
      <c r="U224" s="9"/>
      <c r="V224" s="13"/>
    </row>
    <row r="225" spans="2:22" x14ac:dyDescent="0.25">
      <c r="B225" s="74"/>
      <c r="C225" s="76"/>
      <c r="D225" s="76"/>
      <c r="E225" s="7" t="s">
        <v>118</v>
      </c>
      <c r="F225" s="7"/>
      <c r="G225" s="7"/>
      <c r="H225" s="7"/>
      <c r="I225" s="8"/>
      <c r="J225" s="8"/>
      <c r="K225" s="8"/>
      <c r="L225" s="8"/>
      <c r="M225" s="20"/>
      <c r="N225" s="20"/>
      <c r="O225" s="20"/>
      <c r="P225" s="20"/>
      <c r="Q225" s="9"/>
      <c r="R225" s="9"/>
      <c r="S225" s="9"/>
      <c r="T225" s="9"/>
      <c r="U225" s="9"/>
      <c r="V225" s="13"/>
    </row>
    <row r="226" spans="2:22" x14ac:dyDescent="0.25">
      <c r="B226" s="73" t="s">
        <v>73</v>
      </c>
      <c r="C226" s="75">
        <v>3</v>
      </c>
      <c r="D226" s="75">
        <v>1</v>
      </c>
      <c r="E226" s="7" t="s">
        <v>139</v>
      </c>
      <c r="F226" s="7" t="s">
        <v>139</v>
      </c>
      <c r="G226" s="7" t="s">
        <v>174</v>
      </c>
      <c r="H226" s="7"/>
      <c r="I226" s="8" t="s">
        <v>95</v>
      </c>
      <c r="J226" s="8" t="s">
        <v>109</v>
      </c>
      <c r="K226" s="8"/>
      <c r="L226" s="8"/>
      <c r="M226" s="20"/>
      <c r="N226" s="20"/>
      <c r="O226" s="20"/>
      <c r="P226" s="20"/>
      <c r="Q226" s="9"/>
      <c r="R226" s="9"/>
      <c r="S226" s="9"/>
      <c r="T226" s="9"/>
      <c r="U226" s="9"/>
      <c r="V226" s="13"/>
    </row>
    <row r="227" spans="2:22" x14ac:dyDescent="0.25">
      <c r="B227" s="74"/>
      <c r="C227" s="76"/>
      <c r="D227" s="76"/>
      <c r="E227" s="7" t="s">
        <v>219</v>
      </c>
      <c r="F227" s="7"/>
      <c r="G227" s="7"/>
      <c r="H227" s="7"/>
      <c r="I227" s="8" t="s">
        <v>311</v>
      </c>
      <c r="J227" s="8"/>
      <c r="K227" s="8"/>
      <c r="L227" s="8"/>
      <c r="M227" s="20"/>
      <c r="N227" s="20"/>
      <c r="O227" s="20"/>
      <c r="P227" s="20"/>
      <c r="Q227" s="9"/>
      <c r="R227" s="9"/>
      <c r="S227" s="9"/>
      <c r="T227" s="9"/>
      <c r="U227" s="9"/>
      <c r="V227" s="13"/>
    </row>
    <row r="228" spans="2:22" x14ac:dyDescent="0.25">
      <c r="B228" s="73" t="s">
        <v>41</v>
      </c>
      <c r="C228" s="75">
        <v>0</v>
      </c>
      <c r="D228" s="75">
        <v>0</v>
      </c>
      <c r="E228" s="7"/>
      <c r="F228" s="7"/>
      <c r="G228" s="7"/>
      <c r="H228" s="7"/>
      <c r="I228" s="8"/>
      <c r="J228" s="8"/>
      <c r="K228" s="8"/>
      <c r="L228" s="8"/>
      <c r="M228" s="20"/>
      <c r="N228" s="20"/>
      <c r="O228" s="20"/>
      <c r="P228" s="20"/>
      <c r="Q228" s="9" t="s">
        <v>131</v>
      </c>
      <c r="R228" s="9" t="s">
        <v>195</v>
      </c>
      <c r="S228" s="9" t="s">
        <v>130</v>
      </c>
      <c r="T228" s="9" t="s">
        <v>364</v>
      </c>
      <c r="U228" s="9"/>
      <c r="V228" s="13" t="s">
        <v>409</v>
      </c>
    </row>
    <row r="229" spans="2:22" x14ac:dyDescent="0.25">
      <c r="B229" s="74"/>
      <c r="C229" s="76"/>
      <c r="D229" s="76"/>
      <c r="E229" s="7"/>
      <c r="F229" s="7"/>
      <c r="G229" s="7"/>
      <c r="H229" s="7"/>
      <c r="I229" s="8"/>
      <c r="J229" s="8"/>
      <c r="K229" s="8"/>
      <c r="L229" s="8"/>
      <c r="M229" s="20"/>
      <c r="N229" s="20"/>
      <c r="O229" s="20"/>
      <c r="P229" s="20"/>
      <c r="Q229" s="9" t="s">
        <v>233</v>
      </c>
      <c r="R229" s="9" t="s">
        <v>325</v>
      </c>
      <c r="S229" s="9" t="s">
        <v>181</v>
      </c>
      <c r="T229" s="9" t="s">
        <v>237</v>
      </c>
      <c r="U229" s="9"/>
      <c r="V229" s="13" t="s">
        <v>174</v>
      </c>
    </row>
    <row r="230" spans="2:22" x14ac:dyDescent="0.25">
      <c r="B230" s="2" t="s">
        <v>89</v>
      </c>
      <c r="C230" s="2">
        <f>SUM(C222:C229)</f>
        <v>5</v>
      </c>
      <c r="D230" s="2">
        <f>SUM(D222:D229)</f>
        <v>2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</row>
    <row r="233" spans="2:22" x14ac:dyDescent="0.25">
      <c r="B233" s="11">
        <v>46233</v>
      </c>
      <c r="C233" s="10" t="s">
        <v>355</v>
      </c>
      <c r="D233" s="10" t="s">
        <v>355</v>
      </c>
      <c r="E233" s="77" t="s">
        <v>82</v>
      </c>
      <c r="F233" s="77"/>
      <c r="G233" s="77"/>
      <c r="H233" s="77"/>
      <c r="I233" s="78" t="s">
        <v>85</v>
      </c>
      <c r="J233" s="78"/>
      <c r="K233" s="78"/>
      <c r="L233" s="78"/>
      <c r="M233" s="79" t="s">
        <v>84</v>
      </c>
      <c r="N233" s="79"/>
      <c r="O233" s="79"/>
      <c r="P233" s="79"/>
      <c r="Q233" s="80" t="s">
        <v>78</v>
      </c>
      <c r="R233" s="80"/>
      <c r="S233" s="80"/>
      <c r="T233" s="80"/>
      <c r="U233" s="80"/>
      <c r="V233" s="80"/>
    </row>
    <row r="234" spans="2:22" x14ac:dyDescent="0.25">
      <c r="B234" s="73" t="s">
        <v>65</v>
      </c>
      <c r="C234" s="75">
        <v>0</v>
      </c>
      <c r="D234" s="75">
        <v>0</v>
      </c>
      <c r="E234" s="7"/>
      <c r="F234" s="7"/>
      <c r="G234" s="7"/>
      <c r="H234" s="7"/>
      <c r="I234" s="8"/>
      <c r="J234" s="8"/>
      <c r="K234" s="8"/>
      <c r="L234" s="8"/>
      <c r="M234" s="20"/>
      <c r="N234" s="20"/>
      <c r="O234" s="20"/>
      <c r="P234" s="20"/>
      <c r="Q234" s="9" t="s">
        <v>202</v>
      </c>
      <c r="R234" s="9" t="s">
        <v>113</v>
      </c>
      <c r="S234" s="9" t="s">
        <v>181</v>
      </c>
      <c r="T234" s="9" t="s">
        <v>301</v>
      </c>
      <c r="U234" s="9"/>
      <c r="V234" s="13" t="s">
        <v>306</v>
      </c>
    </row>
    <row r="235" spans="2:22" x14ac:dyDescent="0.25">
      <c r="B235" s="74"/>
      <c r="C235" s="76"/>
      <c r="D235" s="76"/>
      <c r="E235" s="7"/>
      <c r="F235" s="7"/>
      <c r="G235" s="7"/>
      <c r="H235" s="7"/>
      <c r="I235" s="8"/>
      <c r="J235" s="8"/>
      <c r="K235" s="8"/>
      <c r="L235" s="8"/>
      <c r="M235" s="20"/>
      <c r="N235" s="20"/>
      <c r="O235" s="20"/>
      <c r="P235" s="20"/>
      <c r="Q235" s="9" t="s">
        <v>118</v>
      </c>
      <c r="R235" s="9" t="s">
        <v>124</v>
      </c>
      <c r="S235" s="9" t="s">
        <v>211</v>
      </c>
      <c r="T235" s="9" t="s">
        <v>352</v>
      </c>
      <c r="U235" s="9"/>
      <c r="V235" s="13" t="s">
        <v>108</v>
      </c>
    </row>
    <row r="236" spans="2:22" x14ac:dyDescent="0.25">
      <c r="B236" s="73" t="s">
        <v>71</v>
      </c>
      <c r="C236" s="75">
        <v>0</v>
      </c>
      <c r="D236" s="75">
        <v>0</v>
      </c>
      <c r="E236" s="7"/>
      <c r="F236" s="7"/>
      <c r="G236" s="7"/>
      <c r="H236" s="7"/>
      <c r="I236" s="8"/>
      <c r="J236" s="8"/>
      <c r="K236" s="8"/>
      <c r="L236" s="8"/>
      <c r="M236" s="20"/>
      <c r="N236" s="20"/>
      <c r="O236" s="20"/>
      <c r="P236" s="20"/>
      <c r="Q236" s="9" t="s">
        <v>202</v>
      </c>
      <c r="R236" s="9" t="s">
        <v>130</v>
      </c>
      <c r="S236" s="9" t="s">
        <v>411</v>
      </c>
      <c r="T236" s="9" t="s">
        <v>106</v>
      </c>
      <c r="U236" s="9"/>
      <c r="V236" s="13" t="s">
        <v>174</v>
      </c>
    </row>
    <row r="237" spans="2:22" x14ac:dyDescent="0.25">
      <c r="B237" s="74"/>
      <c r="C237" s="76"/>
      <c r="D237" s="76"/>
      <c r="E237" s="7"/>
      <c r="F237" s="7"/>
      <c r="G237" s="7"/>
      <c r="H237" s="7"/>
      <c r="I237" s="8"/>
      <c r="J237" s="8"/>
      <c r="K237" s="8"/>
      <c r="L237" s="8"/>
      <c r="M237" s="20"/>
      <c r="N237" s="20"/>
      <c r="O237" s="20"/>
      <c r="P237" s="20"/>
      <c r="Q237" s="9" t="s">
        <v>347</v>
      </c>
      <c r="R237" s="9" t="s">
        <v>92</v>
      </c>
      <c r="S237" s="9" t="s">
        <v>99</v>
      </c>
      <c r="T237" s="9" t="s">
        <v>352</v>
      </c>
      <c r="U237" s="9"/>
      <c r="V237" s="13" t="s">
        <v>108</v>
      </c>
    </row>
    <row r="238" spans="2:22" x14ac:dyDescent="0.25">
      <c r="B238" s="73" t="s">
        <v>73</v>
      </c>
      <c r="C238" s="75">
        <v>0</v>
      </c>
      <c r="D238" s="75">
        <v>0</v>
      </c>
      <c r="E238" s="7"/>
      <c r="F238" s="7"/>
      <c r="G238" s="7"/>
      <c r="H238" s="7"/>
      <c r="I238" s="8"/>
      <c r="J238" s="8"/>
      <c r="K238" s="8"/>
      <c r="L238" s="8"/>
      <c r="M238" s="20"/>
      <c r="N238" s="20"/>
      <c r="O238" s="20"/>
      <c r="P238" s="20"/>
      <c r="Q238" s="9" t="s">
        <v>347</v>
      </c>
      <c r="R238" s="9" t="s">
        <v>118</v>
      </c>
      <c r="S238" s="9" t="s">
        <v>124</v>
      </c>
      <c r="T238" s="9" t="s">
        <v>138</v>
      </c>
      <c r="U238" s="9"/>
      <c r="V238" s="13" t="s">
        <v>92</v>
      </c>
    </row>
    <row r="239" spans="2:22" x14ac:dyDescent="0.25">
      <c r="B239" s="74"/>
      <c r="C239" s="76"/>
      <c r="D239" s="76"/>
      <c r="E239" s="7"/>
      <c r="F239" s="7"/>
      <c r="G239" s="7"/>
      <c r="H239" s="7"/>
      <c r="I239" s="8"/>
      <c r="J239" s="8"/>
      <c r="K239" s="8"/>
      <c r="L239" s="8"/>
      <c r="M239" s="20"/>
      <c r="N239" s="20"/>
      <c r="O239" s="20"/>
      <c r="P239" s="20"/>
      <c r="Q239" s="9" t="s">
        <v>106</v>
      </c>
      <c r="R239" s="9" t="s">
        <v>181</v>
      </c>
      <c r="S239" s="9" t="s">
        <v>411</v>
      </c>
      <c r="T239" s="9" t="s">
        <v>301</v>
      </c>
      <c r="U239" s="9"/>
      <c r="V239" s="13" t="s">
        <v>130</v>
      </c>
    </row>
    <row r="240" spans="2:22" x14ac:dyDescent="0.25">
      <c r="B240" s="73" t="s">
        <v>41</v>
      </c>
      <c r="C240" s="75">
        <v>2</v>
      </c>
      <c r="D240" s="75">
        <v>2</v>
      </c>
      <c r="E240" s="7" t="s">
        <v>174</v>
      </c>
      <c r="F240" s="7" t="s">
        <v>310</v>
      </c>
      <c r="G240" s="7"/>
      <c r="H240" s="7"/>
      <c r="I240" s="8" t="s">
        <v>306</v>
      </c>
      <c r="J240" s="8"/>
      <c r="K240" s="8"/>
      <c r="L240" s="8"/>
      <c r="M240" s="20"/>
      <c r="N240" s="20"/>
      <c r="O240" s="20"/>
      <c r="P240" s="20"/>
      <c r="Q240" s="9"/>
      <c r="R240" s="9"/>
      <c r="S240" s="9"/>
      <c r="T240" s="9"/>
      <c r="U240" s="9"/>
      <c r="V240" s="13"/>
    </row>
    <row r="241" spans="2:22" x14ac:dyDescent="0.25">
      <c r="B241" s="74"/>
      <c r="C241" s="76"/>
      <c r="D241" s="76"/>
      <c r="E241" s="7" t="s">
        <v>98</v>
      </c>
      <c r="F241" s="7" t="s">
        <v>124</v>
      </c>
      <c r="G241" s="7"/>
      <c r="H241" s="7"/>
      <c r="I241" s="8" t="s">
        <v>139</v>
      </c>
      <c r="J241" s="8"/>
      <c r="K241" s="8"/>
      <c r="L241" s="8"/>
      <c r="M241" s="20"/>
      <c r="N241" s="20"/>
      <c r="O241" s="20"/>
      <c r="P241" s="20"/>
      <c r="Q241" s="9"/>
      <c r="R241" s="9"/>
      <c r="S241" s="9"/>
      <c r="T241" s="9"/>
      <c r="U241" s="9"/>
      <c r="V241" s="13"/>
    </row>
    <row r="242" spans="2:22" x14ac:dyDescent="0.25">
      <c r="B242" s="2" t="s">
        <v>89</v>
      </c>
      <c r="C242" s="2">
        <f>SUM(C234:C241)</f>
        <v>2</v>
      </c>
      <c r="D242" s="2">
        <f>SUM(D234:D241)</f>
        <v>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</row>
    <row r="245" spans="2:22" x14ac:dyDescent="0.25">
      <c r="B245" s="11">
        <v>46240</v>
      </c>
      <c r="C245" s="10" t="s">
        <v>355</v>
      </c>
      <c r="D245" s="10" t="s">
        <v>355</v>
      </c>
      <c r="E245" s="77" t="s">
        <v>82</v>
      </c>
      <c r="F245" s="77"/>
      <c r="G245" s="77"/>
      <c r="H245" s="77"/>
      <c r="I245" s="78" t="s">
        <v>85</v>
      </c>
      <c r="J245" s="78"/>
      <c r="K245" s="78"/>
      <c r="L245" s="78"/>
      <c r="M245" s="79" t="s">
        <v>84</v>
      </c>
      <c r="N245" s="79"/>
      <c r="O245" s="79"/>
      <c r="P245" s="79"/>
      <c r="Q245" s="80" t="s">
        <v>78</v>
      </c>
      <c r="R245" s="80"/>
      <c r="S245" s="80"/>
      <c r="T245" s="80"/>
      <c r="U245" s="80"/>
      <c r="V245" s="80"/>
    </row>
    <row r="246" spans="2:22" x14ac:dyDescent="0.25">
      <c r="B246" s="73" t="s">
        <v>65</v>
      </c>
      <c r="C246" s="75">
        <v>2</v>
      </c>
      <c r="D246" s="75">
        <v>1</v>
      </c>
      <c r="E246" s="7" t="s">
        <v>311</v>
      </c>
      <c r="F246" s="7" t="s">
        <v>134</v>
      </c>
      <c r="G246" s="7"/>
      <c r="H246" s="7"/>
      <c r="I246" s="8" t="s">
        <v>213</v>
      </c>
      <c r="J246" s="8" t="s">
        <v>107</v>
      </c>
      <c r="K246" s="8"/>
      <c r="L246" s="8"/>
      <c r="M246" s="20"/>
      <c r="N246" s="20"/>
      <c r="O246" s="20"/>
      <c r="P246" s="20"/>
      <c r="Q246" s="9"/>
      <c r="R246" s="9"/>
      <c r="S246" s="9"/>
      <c r="T246" s="9"/>
      <c r="U246" s="9"/>
      <c r="V246" s="13"/>
    </row>
    <row r="247" spans="2:22" x14ac:dyDescent="0.25">
      <c r="B247" s="74"/>
      <c r="C247" s="76"/>
      <c r="D247" s="76"/>
      <c r="E247" s="7"/>
      <c r="F247" s="7"/>
      <c r="G247" s="7"/>
      <c r="H247" s="7"/>
      <c r="I247" s="8"/>
      <c r="J247" s="8"/>
      <c r="K247" s="8"/>
      <c r="L247" s="8"/>
      <c r="M247" s="20"/>
      <c r="N247" s="20"/>
      <c r="O247" s="20"/>
      <c r="P247" s="20"/>
      <c r="Q247" s="9"/>
      <c r="R247" s="9"/>
      <c r="S247" s="9"/>
      <c r="T247" s="9"/>
      <c r="U247" s="9"/>
      <c r="V247" s="13"/>
    </row>
    <row r="248" spans="2:22" x14ac:dyDescent="0.25">
      <c r="B248" s="73" t="s">
        <v>71</v>
      </c>
      <c r="C248" s="75">
        <v>1</v>
      </c>
      <c r="D248" s="75">
        <v>1</v>
      </c>
      <c r="E248" s="7" t="s">
        <v>219</v>
      </c>
      <c r="F248" s="7"/>
      <c r="G248" s="7"/>
      <c r="H248" s="7"/>
      <c r="I248" s="8" t="s">
        <v>201</v>
      </c>
      <c r="J248" s="8"/>
      <c r="K248" s="8"/>
      <c r="L248" s="8"/>
      <c r="M248" s="20"/>
      <c r="N248" s="20"/>
      <c r="O248" s="20"/>
      <c r="P248" s="20"/>
      <c r="Q248" s="9"/>
      <c r="R248" s="9"/>
      <c r="S248" s="9"/>
      <c r="T248" s="9"/>
      <c r="U248" s="9"/>
      <c r="V248" s="13"/>
    </row>
    <row r="249" spans="2:22" x14ac:dyDescent="0.25">
      <c r="B249" s="74"/>
      <c r="C249" s="76"/>
      <c r="D249" s="76"/>
      <c r="E249" s="7" t="s">
        <v>103</v>
      </c>
      <c r="F249" s="7"/>
      <c r="G249" s="7"/>
      <c r="H249" s="7"/>
      <c r="I249" s="8"/>
      <c r="J249" s="8"/>
      <c r="K249" s="8"/>
      <c r="L249" s="8"/>
      <c r="M249" s="20"/>
      <c r="N249" s="20"/>
      <c r="O249" s="20"/>
      <c r="P249" s="20"/>
      <c r="Q249" s="9"/>
      <c r="R249" s="9"/>
      <c r="S249" s="9"/>
      <c r="T249" s="9"/>
      <c r="U249" s="9"/>
      <c r="V249" s="13"/>
    </row>
    <row r="250" spans="2:22" x14ac:dyDescent="0.25">
      <c r="B250" s="73" t="s">
        <v>73</v>
      </c>
      <c r="C250" s="75">
        <v>3</v>
      </c>
      <c r="D250" s="75">
        <v>0</v>
      </c>
      <c r="E250" s="7" t="s">
        <v>122</v>
      </c>
      <c r="F250" s="7" t="s">
        <v>306</v>
      </c>
      <c r="G250" s="7" t="s">
        <v>306</v>
      </c>
      <c r="H250" s="7"/>
      <c r="I250" s="8"/>
      <c r="J250" s="8" t="s">
        <v>341</v>
      </c>
      <c r="K250" s="8" t="s">
        <v>213</v>
      </c>
      <c r="L250" s="8"/>
      <c r="M250" s="20" t="s">
        <v>213</v>
      </c>
      <c r="N250" s="20" t="s">
        <v>124</v>
      </c>
      <c r="O250" s="20" t="s">
        <v>300</v>
      </c>
      <c r="P250" s="20"/>
      <c r="Q250" s="9" t="s">
        <v>297</v>
      </c>
      <c r="R250" s="9" t="s">
        <v>181</v>
      </c>
      <c r="S250" s="9" t="s">
        <v>122</v>
      </c>
      <c r="T250" s="9" t="s">
        <v>325</v>
      </c>
      <c r="U250" s="9"/>
      <c r="V250" s="13" t="s">
        <v>113</v>
      </c>
    </row>
    <row r="251" spans="2:22" x14ac:dyDescent="0.25">
      <c r="B251" s="74"/>
      <c r="C251" s="76"/>
      <c r="D251" s="76"/>
      <c r="E251" s="7"/>
      <c r="F251" s="7"/>
      <c r="G251" s="7"/>
      <c r="H251" s="7"/>
      <c r="I251" s="8"/>
      <c r="J251" s="8"/>
      <c r="K251" s="8"/>
      <c r="L251" s="8"/>
      <c r="M251" s="20"/>
      <c r="N251" s="20"/>
      <c r="O251" s="20"/>
      <c r="P251" s="20"/>
      <c r="Q251" s="9"/>
      <c r="R251" s="9"/>
      <c r="S251" s="9"/>
      <c r="T251" s="9"/>
      <c r="U251" s="9"/>
      <c r="V251" s="13"/>
    </row>
    <row r="252" spans="2:22" x14ac:dyDescent="0.25">
      <c r="B252" s="73" t="s">
        <v>41</v>
      </c>
      <c r="C252" s="75">
        <v>2</v>
      </c>
      <c r="D252" s="75">
        <v>0</v>
      </c>
      <c r="E252" s="7" t="s">
        <v>306</v>
      </c>
      <c r="F252" s="7" t="s">
        <v>341</v>
      </c>
      <c r="G252" s="7"/>
      <c r="H252" s="7"/>
      <c r="I252" s="8" t="s">
        <v>134</v>
      </c>
      <c r="J252" s="8" t="s">
        <v>300</v>
      </c>
      <c r="K252" s="8"/>
      <c r="L252" s="8"/>
      <c r="M252" s="20" t="s">
        <v>107</v>
      </c>
      <c r="N252" s="20" t="s">
        <v>300</v>
      </c>
      <c r="O252" s="20" t="s">
        <v>113</v>
      </c>
      <c r="P252" s="20"/>
      <c r="Q252" s="9" t="s">
        <v>311</v>
      </c>
      <c r="R252" s="9" t="s">
        <v>201</v>
      </c>
      <c r="S252" s="9" t="s">
        <v>213</v>
      </c>
      <c r="T252" s="9" t="s">
        <v>219</v>
      </c>
      <c r="U252" s="9"/>
      <c r="V252" s="13" t="s">
        <v>122</v>
      </c>
    </row>
    <row r="253" spans="2:22" x14ac:dyDescent="0.25">
      <c r="B253" s="74"/>
      <c r="C253" s="76"/>
      <c r="D253" s="76"/>
      <c r="E253" s="7"/>
      <c r="F253" s="7"/>
      <c r="G253" s="7"/>
      <c r="H253" s="7"/>
      <c r="I253" s="8"/>
      <c r="J253" s="8"/>
      <c r="K253" s="8"/>
      <c r="L253" s="8"/>
      <c r="M253" s="20"/>
      <c r="N253" s="20"/>
      <c r="O253" s="20"/>
      <c r="P253" s="20"/>
      <c r="Q253" s="9"/>
      <c r="R253" s="9"/>
      <c r="S253" s="9"/>
      <c r="T253" s="9"/>
      <c r="U253" s="9"/>
      <c r="V253" s="13"/>
    </row>
    <row r="254" spans="2:22" x14ac:dyDescent="0.25">
      <c r="B254" s="2" t="s">
        <v>89</v>
      </c>
      <c r="C254" s="2">
        <f>SUM(C246:C253)</f>
        <v>8</v>
      </c>
      <c r="D254" s="2">
        <f>SUM(D246:D253)</f>
        <v>2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</row>
    <row r="257" spans="2:22" x14ac:dyDescent="0.25">
      <c r="B257" s="11">
        <v>46246</v>
      </c>
      <c r="C257" s="10" t="s">
        <v>355</v>
      </c>
      <c r="D257" s="10" t="s">
        <v>208</v>
      </c>
      <c r="E257" s="77" t="s">
        <v>82</v>
      </c>
      <c r="F257" s="77"/>
      <c r="G257" s="77"/>
      <c r="H257" s="77"/>
      <c r="I257" s="78" t="s">
        <v>85</v>
      </c>
      <c r="J257" s="78"/>
      <c r="K257" s="78"/>
      <c r="L257" s="78"/>
      <c r="M257" s="79" t="s">
        <v>84</v>
      </c>
      <c r="N257" s="79"/>
      <c r="O257" s="79"/>
      <c r="P257" s="79"/>
      <c r="Q257" s="80" t="s">
        <v>78</v>
      </c>
      <c r="R257" s="80"/>
      <c r="S257" s="80"/>
      <c r="T257" s="80"/>
      <c r="U257" s="80"/>
      <c r="V257" s="80"/>
    </row>
    <row r="258" spans="2:22" x14ac:dyDescent="0.25">
      <c r="B258" s="73" t="s">
        <v>65</v>
      </c>
      <c r="C258" s="75">
        <v>2</v>
      </c>
      <c r="D258" s="75">
        <v>0</v>
      </c>
      <c r="E258" s="7" t="s">
        <v>310</v>
      </c>
      <c r="F258" s="7" t="s">
        <v>219</v>
      </c>
      <c r="G258" s="7"/>
      <c r="H258" s="7"/>
      <c r="I258" s="8"/>
      <c r="J258" s="8"/>
      <c r="K258" s="8"/>
      <c r="L258" s="8"/>
      <c r="M258" s="20" t="s">
        <v>219</v>
      </c>
      <c r="N258" s="20" t="s">
        <v>364</v>
      </c>
      <c r="O258" s="20" t="s">
        <v>134</v>
      </c>
      <c r="P258" s="20"/>
      <c r="Q258" s="9" t="s">
        <v>352</v>
      </c>
      <c r="R258" s="9" t="s">
        <v>201</v>
      </c>
      <c r="S258" s="9" t="s">
        <v>174</v>
      </c>
      <c r="T258" s="9" t="s">
        <v>325</v>
      </c>
      <c r="U258" s="9"/>
      <c r="V258" s="13" t="s">
        <v>111</v>
      </c>
    </row>
    <row r="259" spans="2:22" x14ac:dyDescent="0.25">
      <c r="B259" s="74"/>
      <c r="C259" s="76"/>
      <c r="D259" s="76"/>
      <c r="E259" s="7"/>
      <c r="F259" s="7"/>
      <c r="G259" s="7"/>
      <c r="H259" s="7"/>
      <c r="I259" s="8"/>
      <c r="J259" s="8"/>
      <c r="K259" s="8"/>
      <c r="L259" s="8"/>
      <c r="M259" s="20"/>
      <c r="N259" s="20"/>
      <c r="O259" s="20"/>
      <c r="P259" s="20"/>
      <c r="Q259" s="9"/>
      <c r="R259" s="9"/>
      <c r="S259" s="9"/>
      <c r="T259" s="9"/>
      <c r="U259" s="9"/>
      <c r="V259" s="13"/>
    </row>
    <row r="260" spans="2:22" x14ac:dyDescent="0.25">
      <c r="B260" s="73" t="s">
        <v>71</v>
      </c>
      <c r="C260" s="75">
        <v>1</v>
      </c>
      <c r="D260" s="75">
        <v>1</v>
      </c>
      <c r="E260" s="7" t="s">
        <v>348</v>
      </c>
      <c r="F260" s="7"/>
      <c r="G260" s="7"/>
      <c r="H260" s="7"/>
      <c r="I260" s="8" t="s">
        <v>125</v>
      </c>
      <c r="J260" s="8"/>
      <c r="K260" s="8"/>
      <c r="L260" s="8"/>
      <c r="M260" s="20"/>
      <c r="N260" s="20"/>
      <c r="O260" s="20"/>
      <c r="P260" s="20"/>
      <c r="Q260" s="9"/>
      <c r="R260" s="9"/>
      <c r="S260" s="9"/>
      <c r="T260" s="9"/>
      <c r="U260" s="9"/>
      <c r="V260" s="13"/>
    </row>
    <row r="261" spans="2:22" x14ac:dyDescent="0.25">
      <c r="B261" s="74"/>
      <c r="C261" s="76"/>
      <c r="D261" s="76"/>
      <c r="E261" s="7"/>
      <c r="F261" s="7"/>
      <c r="G261" s="7"/>
      <c r="H261" s="7"/>
      <c r="I261" s="8"/>
      <c r="J261" s="8"/>
      <c r="K261" s="8"/>
      <c r="L261" s="8"/>
      <c r="M261" s="20"/>
      <c r="N261" s="20"/>
      <c r="O261" s="20"/>
      <c r="P261" s="20"/>
      <c r="Q261" s="9"/>
      <c r="R261" s="9"/>
      <c r="S261" s="9"/>
      <c r="T261" s="9"/>
      <c r="U261" s="9"/>
      <c r="V261" s="13"/>
    </row>
    <row r="262" spans="2:22" x14ac:dyDescent="0.25">
      <c r="B262" s="73" t="s">
        <v>73</v>
      </c>
      <c r="C262" s="75">
        <v>3</v>
      </c>
      <c r="D262" s="75">
        <v>0</v>
      </c>
      <c r="E262" s="7" t="s">
        <v>311</v>
      </c>
      <c r="F262" s="7" t="s">
        <v>219</v>
      </c>
      <c r="G262" s="7" t="s">
        <v>201</v>
      </c>
      <c r="H262" s="7"/>
      <c r="I262" s="8" t="s">
        <v>105</v>
      </c>
      <c r="J262" s="8" t="s">
        <v>310</v>
      </c>
      <c r="K262" s="8"/>
      <c r="L262" s="8"/>
      <c r="M262" s="20" t="s">
        <v>311</v>
      </c>
      <c r="N262" s="20" t="s">
        <v>364</v>
      </c>
      <c r="O262" s="20" t="s">
        <v>201</v>
      </c>
      <c r="P262" s="20"/>
      <c r="Q262" s="9" t="s">
        <v>105</v>
      </c>
      <c r="R262" s="9" t="s">
        <v>325</v>
      </c>
      <c r="S262" s="9" t="s">
        <v>130</v>
      </c>
      <c r="T262" s="9" t="s">
        <v>352</v>
      </c>
      <c r="U262" s="9"/>
      <c r="V262" s="13" t="s">
        <v>348</v>
      </c>
    </row>
    <row r="263" spans="2:22" x14ac:dyDescent="0.25">
      <c r="B263" s="74"/>
      <c r="C263" s="76"/>
      <c r="D263" s="76"/>
      <c r="E263" s="7"/>
      <c r="F263" s="7"/>
      <c r="G263" s="7"/>
      <c r="H263" s="7"/>
      <c r="I263" s="8"/>
      <c r="J263" s="8"/>
      <c r="K263" s="8"/>
      <c r="L263" s="8"/>
      <c r="M263" s="20"/>
      <c r="N263" s="20"/>
      <c r="O263" s="20"/>
      <c r="P263" s="20"/>
      <c r="Q263" s="9"/>
      <c r="R263" s="9"/>
      <c r="S263" s="9"/>
      <c r="T263" s="9"/>
      <c r="U263" s="9"/>
      <c r="V263" s="13"/>
    </row>
    <row r="264" spans="2:22" x14ac:dyDescent="0.25">
      <c r="B264" s="73" t="s">
        <v>41</v>
      </c>
      <c r="C264" s="75">
        <v>0</v>
      </c>
      <c r="D264" s="75">
        <v>1</v>
      </c>
      <c r="E264" s="7"/>
      <c r="F264" s="7"/>
      <c r="G264" s="7"/>
      <c r="H264" s="7"/>
      <c r="I264" s="8"/>
      <c r="J264" s="8"/>
      <c r="K264" s="8"/>
      <c r="L264" s="8"/>
      <c r="M264" s="20"/>
      <c r="N264" s="20"/>
      <c r="O264" s="20"/>
      <c r="P264" s="20"/>
      <c r="Q264" s="9"/>
      <c r="R264" s="9"/>
      <c r="S264" s="9"/>
      <c r="T264" s="9"/>
      <c r="U264" s="9"/>
      <c r="V264" s="13"/>
    </row>
    <row r="265" spans="2:22" x14ac:dyDescent="0.25">
      <c r="B265" s="74"/>
      <c r="C265" s="76"/>
      <c r="D265" s="76"/>
      <c r="E265" s="7"/>
      <c r="F265" s="7"/>
      <c r="G265" s="7"/>
      <c r="H265" s="7"/>
      <c r="I265" s="8"/>
      <c r="J265" s="8"/>
      <c r="K265" s="8"/>
      <c r="L265" s="8"/>
      <c r="M265" s="20"/>
      <c r="N265" s="20"/>
      <c r="O265" s="20"/>
      <c r="P265" s="20"/>
      <c r="Q265" s="9" t="s">
        <v>297</v>
      </c>
      <c r="R265" s="9"/>
      <c r="S265" s="9"/>
      <c r="T265" s="9"/>
      <c r="U265" s="9"/>
      <c r="V265" s="13"/>
    </row>
    <row r="266" spans="2:22" x14ac:dyDescent="0.25">
      <c r="B266" s="2" t="s">
        <v>89</v>
      </c>
      <c r="C266" s="2">
        <f>SUM(C258:C265)</f>
        <v>6</v>
      </c>
      <c r="D266" s="2">
        <f>SUM(D258:D265)</f>
        <v>2</v>
      </c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</row>
    <row r="269" spans="2:22" x14ac:dyDescent="0.25">
      <c r="B269" s="11">
        <v>46254</v>
      </c>
      <c r="C269" s="10" t="s">
        <v>355</v>
      </c>
      <c r="D269" s="10" t="s">
        <v>355</v>
      </c>
      <c r="E269" s="77" t="s">
        <v>82</v>
      </c>
      <c r="F269" s="77"/>
      <c r="G269" s="77"/>
      <c r="H269" s="77"/>
      <c r="I269" s="78" t="s">
        <v>85</v>
      </c>
      <c r="J269" s="78"/>
      <c r="K269" s="78"/>
      <c r="L269" s="78"/>
      <c r="M269" s="79" t="s">
        <v>84</v>
      </c>
      <c r="N269" s="79"/>
      <c r="O269" s="79"/>
      <c r="P269" s="79"/>
      <c r="Q269" s="80" t="s">
        <v>78</v>
      </c>
      <c r="R269" s="80"/>
      <c r="S269" s="80"/>
      <c r="T269" s="80"/>
      <c r="U269" s="80"/>
      <c r="V269" s="80"/>
    </row>
    <row r="270" spans="2:22" x14ac:dyDescent="0.25">
      <c r="B270" s="73" t="s">
        <v>65</v>
      </c>
      <c r="C270" s="75">
        <v>1</v>
      </c>
      <c r="D270" s="75">
        <v>1</v>
      </c>
      <c r="E270" s="7" t="s">
        <v>174</v>
      </c>
      <c r="F270" s="7"/>
      <c r="G270" s="7"/>
      <c r="H270" s="7"/>
      <c r="I270" s="8"/>
      <c r="J270" s="8"/>
      <c r="K270" s="8"/>
      <c r="L270" s="8"/>
      <c r="M270" s="20"/>
      <c r="N270" s="20"/>
      <c r="O270" s="20"/>
      <c r="P270" s="20"/>
      <c r="Q270" s="9"/>
      <c r="R270" s="9"/>
      <c r="S270" s="9"/>
      <c r="T270" s="9"/>
      <c r="U270" s="9"/>
      <c r="V270" s="13"/>
    </row>
    <row r="271" spans="2:22" x14ac:dyDescent="0.25">
      <c r="B271" s="74"/>
      <c r="C271" s="76"/>
      <c r="D271" s="76"/>
      <c r="E271" s="7" t="s">
        <v>306</v>
      </c>
      <c r="F271" s="7"/>
      <c r="G271" s="7"/>
      <c r="H271" s="7"/>
      <c r="I271" s="8"/>
      <c r="J271" s="8"/>
      <c r="K271" s="8"/>
      <c r="L271" s="8"/>
      <c r="M271" s="20"/>
      <c r="N271" s="20"/>
      <c r="O271" s="20"/>
      <c r="P271" s="20"/>
      <c r="Q271" s="9"/>
      <c r="R271" s="9"/>
      <c r="S271" s="9"/>
      <c r="T271" s="9"/>
      <c r="U271" s="9"/>
      <c r="V271" s="13"/>
    </row>
    <row r="272" spans="2:22" x14ac:dyDescent="0.25">
      <c r="B272" s="73" t="s">
        <v>71</v>
      </c>
      <c r="C272" s="75">
        <v>0</v>
      </c>
      <c r="D272" s="75">
        <v>1</v>
      </c>
      <c r="E272" s="7"/>
      <c r="F272" s="7"/>
      <c r="G272" s="7"/>
      <c r="H272" s="7"/>
      <c r="I272" s="8"/>
      <c r="J272" s="8"/>
      <c r="K272" s="8"/>
      <c r="L272" s="8"/>
      <c r="M272" s="20"/>
      <c r="N272" s="20"/>
      <c r="O272" s="20"/>
      <c r="P272" s="20"/>
      <c r="Q272" s="9"/>
      <c r="R272" s="9"/>
      <c r="S272" s="9"/>
      <c r="T272" s="9"/>
      <c r="U272" s="9"/>
      <c r="V272" s="13"/>
    </row>
    <row r="273" spans="2:22" x14ac:dyDescent="0.25">
      <c r="B273" s="74"/>
      <c r="C273" s="76"/>
      <c r="D273" s="76"/>
      <c r="E273" s="7" t="s">
        <v>306</v>
      </c>
      <c r="F273" s="7"/>
      <c r="G273" s="7"/>
      <c r="H273" s="7"/>
      <c r="I273" s="8" t="s">
        <v>300</v>
      </c>
      <c r="J273" s="8"/>
      <c r="K273" s="8"/>
      <c r="L273" s="8"/>
      <c r="M273" s="20" t="s">
        <v>306</v>
      </c>
      <c r="N273" s="20" t="s">
        <v>300</v>
      </c>
      <c r="O273" s="20" t="s">
        <v>203</v>
      </c>
      <c r="P273" s="20"/>
      <c r="Q273" s="9" t="s">
        <v>233</v>
      </c>
      <c r="R273" s="9" t="s">
        <v>201</v>
      </c>
      <c r="S273" s="9" t="s">
        <v>410</v>
      </c>
      <c r="T273" s="9" t="s">
        <v>135</v>
      </c>
      <c r="U273" s="9"/>
      <c r="V273" s="13" t="s">
        <v>104</v>
      </c>
    </row>
    <row r="274" spans="2:22" x14ac:dyDescent="0.25">
      <c r="B274" s="73" t="s">
        <v>73</v>
      </c>
      <c r="C274" s="75">
        <v>2</v>
      </c>
      <c r="D274" s="75">
        <v>4</v>
      </c>
      <c r="E274" s="7" t="s">
        <v>174</v>
      </c>
      <c r="F274" s="7" t="s">
        <v>130</v>
      </c>
      <c r="G274" s="7"/>
      <c r="H274" s="7"/>
      <c r="I274" s="8" t="s">
        <v>95</v>
      </c>
      <c r="J274" s="8" t="s">
        <v>202</v>
      </c>
      <c r="K274" s="8"/>
      <c r="L274" s="8"/>
      <c r="M274" s="20"/>
      <c r="N274" s="20"/>
      <c r="O274" s="20"/>
      <c r="P274" s="20"/>
      <c r="Q274" s="9"/>
      <c r="R274" s="9"/>
      <c r="S274" s="9"/>
      <c r="T274" s="9"/>
      <c r="U274" s="9"/>
      <c r="V274" s="13"/>
    </row>
    <row r="275" spans="2:22" x14ac:dyDescent="0.25">
      <c r="B275" s="74"/>
      <c r="C275" s="76"/>
      <c r="D275" s="76"/>
      <c r="E275" s="7" t="s">
        <v>98</v>
      </c>
      <c r="F275" s="7" t="s">
        <v>98</v>
      </c>
      <c r="G275" s="7" t="s">
        <v>311</v>
      </c>
      <c r="H275" s="7" t="s">
        <v>311</v>
      </c>
      <c r="I275" s="8" t="s">
        <v>306</v>
      </c>
      <c r="J275" s="8" t="s">
        <v>203</v>
      </c>
      <c r="K275" s="8" t="s">
        <v>163</v>
      </c>
      <c r="L275" s="8" t="s">
        <v>98</v>
      </c>
      <c r="M275" s="20" t="s">
        <v>201</v>
      </c>
      <c r="N275" s="20" t="s">
        <v>203</v>
      </c>
      <c r="O275" s="20" t="s">
        <v>306</v>
      </c>
      <c r="P275" s="20"/>
      <c r="Q275" s="9"/>
      <c r="R275" s="9"/>
      <c r="S275" s="9"/>
      <c r="T275" s="9"/>
      <c r="U275" s="9"/>
      <c r="V275" s="13"/>
    </row>
    <row r="276" spans="2:22" x14ac:dyDescent="0.25">
      <c r="B276" s="2" t="s">
        <v>89</v>
      </c>
      <c r="C276" s="2">
        <f>SUM(C270:C275)</f>
        <v>3</v>
      </c>
      <c r="D276" s="2">
        <f>SUM(D270:D275)</f>
        <v>6</v>
      </c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</row>
  </sheetData>
  <mergeCells count="374">
    <mergeCell ref="B262:B263"/>
    <mergeCell ref="C262:C263"/>
    <mergeCell ref="D262:D263"/>
    <mergeCell ref="B264:B265"/>
    <mergeCell ref="C264:C265"/>
    <mergeCell ref="D264:D265"/>
    <mergeCell ref="E257:H257"/>
    <mergeCell ref="I257:L257"/>
    <mergeCell ref="M257:P257"/>
    <mergeCell ref="Q257:V257"/>
    <mergeCell ref="B258:B259"/>
    <mergeCell ref="C258:C259"/>
    <mergeCell ref="D258:D259"/>
    <mergeCell ref="B260:B261"/>
    <mergeCell ref="C260:C261"/>
    <mergeCell ref="D260:D261"/>
    <mergeCell ref="B252:B253"/>
    <mergeCell ref="C252:C253"/>
    <mergeCell ref="D252:D253"/>
    <mergeCell ref="Q245:V245"/>
    <mergeCell ref="B246:B247"/>
    <mergeCell ref="C246:C247"/>
    <mergeCell ref="D246:D247"/>
    <mergeCell ref="B248:B249"/>
    <mergeCell ref="C248:C249"/>
    <mergeCell ref="D248:D249"/>
    <mergeCell ref="B250:B251"/>
    <mergeCell ref="C250:C251"/>
    <mergeCell ref="D250:D251"/>
    <mergeCell ref="B238:B239"/>
    <mergeCell ref="C238:C239"/>
    <mergeCell ref="D238:D239"/>
    <mergeCell ref="B240:B241"/>
    <mergeCell ref="C240:C241"/>
    <mergeCell ref="D240:D241"/>
    <mergeCell ref="E245:H245"/>
    <mergeCell ref="I245:L245"/>
    <mergeCell ref="M245:P245"/>
    <mergeCell ref="E233:H233"/>
    <mergeCell ref="I233:L233"/>
    <mergeCell ref="M233:P233"/>
    <mergeCell ref="Q233:V233"/>
    <mergeCell ref="B234:B235"/>
    <mergeCell ref="C234:C235"/>
    <mergeCell ref="D234:D235"/>
    <mergeCell ref="B236:B237"/>
    <mergeCell ref="C236:C237"/>
    <mergeCell ref="D236:D237"/>
    <mergeCell ref="E159:H159"/>
    <mergeCell ref="I159:L159"/>
    <mergeCell ref="M159:P159"/>
    <mergeCell ref="B160:B161"/>
    <mergeCell ref="C160:C161"/>
    <mergeCell ref="D160:D161"/>
    <mergeCell ref="B188:B189"/>
    <mergeCell ref="C188:C189"/>
    <mergeCell ref="D188:D189"/>
    <mergeCell ref="B162:B163"/>
    <mergeCell ref="C162:C163"/>
    <mergeCell ref="D162:D163"/>
    <mergeCell ref="B172:B173"/>
    <mergeCell ref="C172:C173"/>
    <mergeCell ref="D172:D173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  <mergeCell ref="C152:C153"/>
    <mergeCell ref="D152:D153"/>
    <mergeCell ref="D164:D165"/>
    <mergeCell ref="B166:B167"/>
    <mergeCell ref="C166:C167"/>
    <mergeCell ref="D166:D167"/>
    <mergeCell ref="B154:B155"/>
    <mergeCell ref="C154:C155"/>
    <mergeCell ref="D154:D155"/>
    <mergeCell ref="Q159:V159"/>
    <mergeCell ref="Q171:V171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B142:B143"/>
    <mergeCell ref="C142:C143"/>
    <mergeCell ref="D142:D143"/>
    <mergeCell ref="E147:H147"/>
    <mergeCell ref="I147:L147"/>
    <mergeCell ref="M147:P147"/>
    <mergeCell ref="B164:B165"/>
    <mergeCell ref="C164:C165"/>
    <mergeCell ref="B150:B151"/>
    <mergeCell ref="C150:C151"/>
    <mergeCell ref="D150:D151"/>
    <mergeCell ref="B152:B153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Q125:V125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B31:B32"/>
    <mergeCell ref="C31:C32"/>
    <mergeCell ref="D31:D32"/>
    <mergeCell ref="B27:B28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B114:B115"/>
    <mergeCell ref="C114:C115"/>
    <mergeCell ref="D114:D115"/>
    <mergeCell ref="B70:B71"/>
    <mergeCell ref="C70:C71"/>
    <mergeCell ref="D70:D71"/>
    <mergeCell ref="B72:B73"/>
    <mergeCell ref="C72:C73"/>
    <mergeCell ref="D72:D73"/>
    <mergeCell ref="B78:B79"/>
    <mergeCell ref="C78:C79"/>
    <mergeCell ref="D78:D79"/>
    <mergeCell ref="C94:C95"/>
    <mergeCell ref="D94:D95"/>
    <mergeCell ref="B96:B97"/>
    <mergeCell ref="C96:C97"/>
    <mergeCell ref="D96:D97"/>
    <mergeCell ref="B102:B103"/>
    <mergeCell ref="C102:C103"/>
    <mergeCell ref="D102:D103"/>
    <mergeCell ref="B104:B105"/>
    <mergeCell ref="C104:C105"/>
    <mergeCell ref="D104:D105"/>
    <mergeCell ref="B106:B107"/>
    <mergeCell ref="E113:H113"/>
    <mergeCell ref="I113:L113"/>
    <mergeCell ref="M113:P113"/>
    <mergeCell ref="B80:B81"/>
    <mergeCell ref="C80:C81"/>
    <mergeCell ref="D80:D81"/>
    <mergeCell ref="M77:P77"/>
    <mergeCell ref="Q89:V89"/>
    <mergeCell ref="M89:P89"/>
    <mergeCell ref="B94:B95"/>
    <mergeCell ref="Q113:V113"/>
    <mergeCell ref="Q77:V77"/>
    <mergeCell ref="E101:H101"/>
    <mergeCell ref="I101:L101"/>
    <mergeCell ref="M101:P101"/>
    <mergeCell ref="Q101:V101"/>
    <mergeCell ref="C106:C107"/>
    <mergeCell ref="D106:D107"/>
    <mergeCell ref="B108:B109"/>
    <mergeCell ref="C108:C109"/>
    <mergeCell ref="D108:D109"/>
    <mergeCell ref="B116:B117"/>
    <mergeCell ref="C116:C117"/>
    <mergeCell ref="D116:D117"/>
    <mergeCell ref="B118:B119"/>
    <mergeCell ref="C118:C119"/>
    <mergeCell ref="D118:D119"/>
    <mergeCell ref="B130:B131"/>
    <mergeCell ref="C130:C131"/>
    <mergeCell ref="D130:D131"/>
    <mergeCell ref="B120:B121"/>
    <mergeCell ref="C120:C121"/>
    <mergeCell ref="D120:D121"/>
    <mergeCell ref="B126:B127"/>
    <mergeCell ref="C126:C127"/>
    <mergeCell ref="D126:D127"/>
    <mergeCell ref="B128:B129"/>
    <mergeCell ref="C128:C129"/>
    <mergeCell ref="D128:D129"/>
    <mergeCell ref="B174:B175"/>
    <mergeCell ref="C174:C175"/>
    <mergeCell ref="D174:D175"/>
    <mergeCell ref="E195:H195"/>
    <mergeCell ref="I195:L195"/>
    <mergeCell ref="M195:P195"/>
    <mergeCell ref="Q195:V195"/>
    <mergeCell ref="B196:B197"/>
    <mergeCell ref="C196:C197"/>
    <mergeCell ref="D196:D197"/>
    <mergeCell ref="Q183:V183"/>
    <mergeCell ref="B184:B185"/>
    <mergeCell ref="C184:C185"/>
    <mergeCell ref="D184:D185"/>
    <mergeCell ref="B190:B191"/>
    <mergeCell ref="C190:C191"/>
    <mergeCell ref="D190:D191"/>
    <mergeCell ref="E183:H183"/>
    <mergeCell ref="I183:L183"/>
    <mergeCell ref="M183:P183"/>
    <mergeCell ref="B186:B187"/>
    <mergeCell ref="C186:C187"/>
    <mergeCell ref="D186:D187"/>
    <mergeCell ref="B198:B199"/>
    <mergeCell ref="C198:C199"/>
    <mergeCell ref="D198:D199"/>
    <mergeCell ref="B206:B207"/>
    <mergeCell ref="C206:C207"/>
    <mergeCell ref="D206:D207"/>
    <mergeCell ref="B200:B201"/>
    <mergeCell ref="C200:C201"/>
    <mergeCell ref="D200:D201"/>
    <mergeCell ref="B202:B203"/>
    <mergeCell ref="C202:C203"/>
    <mergeCell ref="D202:D203"/>
    <mergeCell ref="B204:B205"/>
    <mergeCell ref="C204:C205"/>
    <mergeCell ref="D204:D205"/>
    <mergeCell ref="E211:H211"/>
    <mergeCell ref="I211:L211"/>
    <mergeCell ref="M211:P211"/>
    <mergeCell ref="Q211:V211"/>
    <mergeCell ref="B212:B213"/>
    <mergeCell ref="C212:C213"/>
    <mergeCell ref="D212:D213"/>
    <mergeCell ref="B214:B215"/>
    <mergeCell ref="C214:C215"/>
    <mergeCell ref="D214:D215"/>
    <mergeCell ref="Q221:V221"/>
    <mergeCell ref="B222:B223"/>
    <mergeCell ref="C222:C223"/>
    <mergeCell ref="D222:D223"/>
    <mergeCell ref="B224:B225"/>
    <mergeCell ref="C224:C225"/>
    <mergeCell ref="D224:D225"/>
    <mergeCell ref="B216:B217"/>
    <mergeCell ref="C216:C217"/>
    <mergeCell ref="D216:D217"/>
    <mergeCell ref="B226:B227"/>
    <mergeCell ref="C226:C227"/>
    <mergeCell ref="D226:D227"/>
    <mergeCell ref="B228:B229"/>
    <mergeCell ref="C228:C229"/>
    <mergeCell ref="D228:D229"/>
    <mergeCell ref="E221:H221"/>
    <mergeCell ref="I221:L221"/>
    <mergeCell ref="M221:P221"/>
    <mergeCell ref="B274:B275"/>
    <mergeCell ref="C274:C275"/>
    <mergeCell ref="D274:D275"/>
    <mergeCell ref="E269:H269"/>
    <mergeCell ref="I269:L269"/>
    <mergeCell ref="M269:P269"/>
    <mergeCell ref="Q269:V269"/>
    <mergeCell ref="B270:B271"/>
    <mergeCell ref="C270:C271"/>
    <mergeCell ref="D270:D271"/>
    <mergeCell ref="B272:B273"/>
    <mergeCell ref="C272:C273"/>
    <mergeCell ref="D272:D273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4"/>
  <sheetViews>
    <sheetView showGridLines="0" zoomScaleNormal="125" workbookViewId="0">
      <selection activeCell="Q22" sqref="Q2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122</v>
      </c>
      <c r="E2" s="15">
        <f>SUM(E4:E95)</f>
        <v>85</v>
      </c>
      <c r="F2" s="15">
        <f>SUM(F4:F95)</f>
        <v>87</v>
      </c>
      <c r="G2" s="15">
        <f>SUM(G4:G95)</f>
        <v>162</v>
      </c>
      <c r="H2" s="15">
        <f>SUM(H4:H95)</f>
        <v>45</v>
      </c>
    </row>
    <row r="3" spans="1:33" x14ac:dyDescent="0.25">
      <c r="A3" s="2" t="s">
        <v>238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129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2</v>
      </c>
      <c r="D4" s="14">
        <f>COUNTIF(경기기록Sheet!$E:$H,B4)</f>
        <v>3</v>
      </c>
      <c r="E4" s="14">
        <f>COUNTIF(경기기록Sheet!$I:$L,B4)</f>
        <v>5</v>
      </c>
      <c r="F4" s="14">
        <f>COUNTIF(경기기록Sheet!$M:$P,B4)</f>
        <v>0</v>
      </c>
      <c r="G4" s="14">
        <f>COUNTIF(경기기록Sheet!$Q:$U,B4)</f>
        <v>1</v>
      </c>
      <c r="H4" s="14">
        <f>COUNTIF(경기기록Sheet!$V:$V,B4)</f>
        <v>1</v>
      </c>
      <c r="I4" s="14">
        <f t="shared" ref="I4:I35" si="1">SUM(D4:H4)</f>
        <v>10</v>
      </c>
      <c r="J4" s="15"/>
      <c r="K4" s="2">
        <v>1</v>
      </c>
      <c r="L4" s="32" t="s">
        <v>351</v>
      </c>
      <c r="M4" s="21">
        <f t="shared" ref="M4:M16" si="2">VLOOKUP(L4,$B$4:$H$137,3,FALSE)</f>
        <v>22</v>
      </c>
      <c r="N4" s="33" t="s">
        <v>351</v>
      </c>
      <c r="O4" s="22">
        <f t="shared" ref="O4:O18" si="3">VLOOKUP(N4,$B$4:$H$137,4,FALSE)</f>
        <v>9</v>
      </c>
      <c r="P4" s="34" t="s">
        <v>221</v>
      </c>
      <c r="Q4" s="23">
        <f t="shared" ref="Q4:Q18" si="4">VLOOKUP(P4,$B$4:$H$137,5,FALSE)</f>
        <v>16</v>
      </c>
      <c r="R4" s="35" t="s">
        <v>322</v>
      </c>
      <c r="S4" s="55">
        <f t="shared" ref="S4:S16" si="5">VLOOKUP(R4,$B$4:$H$137,6,FALSE)</f>
        <v>23</v>
      </c>
      <c r="T4" s="36" t="s">
        <v>228</v>
      </c>
      <c r="U4" s="56">
        <f t="shared" ref="U4:U13" si="6">VLOOKUP(T4,$B$4:$H$137,7,FALSE)</f>
        <v>12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0.90000000000000013</v>
      </c>
      <c r="D5" s="14">
        <f>COUNTIF(경기기록Sheet!$E:$H,B5)</f>
        <v>1</v>
      </c>
      <c r="E5" s="14">
        <f>COUNTIF(경기기록Sheet!$I:$L,B5)</f>
        <v>1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 t="shared" si="1"/>
        <v>4</v>
      </c>
      <c r="J5" s="15"/>
      <c r="K5" s="2">
        <v>2</v>
      </c>
      <c r="L5" s="32" t="s">
        <v>223</v>
      </c>
      <c r="M5" s="21">
        <f t="shared" si="2"/>
        <v>15</v>
      </c>
      <c r="N5" s="33" t="s">
        <v>357</v>
      </c>
      <c r="O5" s="22">
        <f t="shared" si="3"/>
        <v>7</v>
      </c>
      <c r="P5" s="34" t="s">
        <v>304</v>
      </c>
      <c r="Q5" s="23">
        <f t="shared" si="4"/>
        <v>14</v>
      </c>
      <c r="R5" s="35" t="s">
        <v>230</v>
      </c>
      <c r="S5" s="55">
        <f t="shared" si="5"/>
        <v>20</v>
      </c>
      <c r="T5" s="36" t="s">
        <v>42</v>
      </c>
      <c r="U5" s="56">
        <f t="shared" si="6"/>
        <v>10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221</v>
      </c>
      <c r="M6" s="21">
        <f t="shared" si="2"/>
        <v>12</v>
      </c>
      <c r="N6" s="33" t="s">
        <v>221</v>
      </c>
      <c r="O6" s="22">
        <f t="shared" si="3"/>
        <v>6</v>
      </c>
      <c r="P6" s="34" t="s">
        <v>64</v>
      </c>
      <c r="Q6" s="23">
        <f t="shared" si="4"/>
        <v>9</v>
      </c>
      <c r="R6" s="35" t="s">
        <v>354</v>
      </c>
      <c r="S6" s="55">
        <f t="shared" si="5"/>
        <v>16</v>
      </c>
      <c r="T6" s="36" t="s">
        <v>220</v>
      </c>
      <c r="U6" s="56">
        <f t="shared" si="6"/>
        <v>5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231</v>
      </c>
      <c r="M7" s="21">
        <f t="shared" si="2"/>
        <v>11</v>
      </c>
      <c r="N7" s="33" t="s">
        <v>53</v>
      </c>
      <c r="O7" s="22">
        <f t="shared" si="3"/>
        <v>6</v>
      </c>
      <c r="P7" s="34" t="s">
        <v>298</v>
      </c>
      <c r="Q7" s="23">
        <f t="shared" si="4"/>
        <v>8</v>
      </c>
      <c r="R7" s="35" t="s">
        <v>360</v>
      </c>
      <c r="S7" s="55">
        <f t="shared" si="5"/>
        <v>16</v>
      </c>
      <c r="T7" s="36" t="s">
        <v>354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357</v>
      </c>
      <c r="M8" s="21">
        <f t="shared" si="2"/>
        <v>10</v>
      </c>
      <c r="N8" s="33" t="s">
        <v>50</v>
      </c>
      <c r="O8" s="22">
        <f t="shared" si="3"/>
        <v>5</v>
      </c>
      <c r="P8" s="34" t="s">
        <v>376</v>
      </c>
      <c r="Q8" s="23">
        <f t="shared" si="4"/>
        <v>7</v>
      </c>
      <c r="R8" s="35" t="s">
        <v>232</v>
      </c>
      <c r="S8" s="55">
        <f t="shared" si="5"/>
        <v>14</v>
      </c>
      <c r="T8" s="36" t="s">
        <v>397</v>
      </c>
      <c r="U8" s="56">
        <f t="shared" si="6"/>
        <v>3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0.60000000000000009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1</v>
      </c>
      <c r="I9" s="14">
        <f t="shared" si="1"/>
        <v>3</v>
      </c>
      <c r="J9" s="15"/>
      <c r="K9" s="2">
        <v>6</v>
      </c>
      <c r="L9" s="32" t="s">
        <v>353</v>
      </c>
      <c r="M9" s="21">
        <f t="shared" si="2"/>
        <v>9</v>
      </c>
      <c r="N9" s="33" t="s">
        <v>223</v>
      </c>
      <c r="O9" s="22">
        <f t="shared" si="3"/>
        <v>4</v>
      </c>
      <c r="P9" s="34" t="s">
        <v>382</v>
      </c>
      <c r="Q9" s="23">
        <f t="shared" si="4"/>
        <v>7</v>
      </c>
      <c r="R9" s="35" t="s">
        <v>392</v>
      </c>
      <c r="S9" s="55">
        <f t="shared" si="5"/>
        <v>13</v>
      </c>
      <c r="T9" s="36" t="s">
        <v>298</v>
      </c>
      <c r="U9" s="56">
        <f t="shared" si="6"/>
        <v>2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3.6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8</v>
      </c>
      <c r="G10" s="14">
        <f>COUNTIF(경기기록Sheet!$Q:$U,B10)</f>
        <v>0</v>
      </c>
      <c r="H10" s="14">
        <f>COUNTIF(경기기록Sheet!$V:$V,B10)</f>
        <v>2</v>
      </c>
      <c r="I10" s="14">
        <f t="shared" si="1"/>
        <v>14</v>
      </c>
      <c r="J10" s="15"/>
      <c r="K10" s="2">
        <v>7</v>
      </c>
      <c r="L10" s="32" t="s">
        <v>398</v>
      </c>
      <c r="M10" s="21">
        <f t="shared" si="2"/>
        <v>9</v>
      </c>
      <c r="N10" s="33" t="s">
        <v>403</v>
      </c>
      <c r="O10" s="22">
        <f t="shared" si="3"/>
        <v>4</v>
      </c>
      <c r="P10" s="34" t="s">
        <v>53</v>
      </c>
      <c r="Q10" s="23">
        <f t="shared" si="4"/>
        <v>6</v>
      </c>
      <c r="R10" s="35" t="s">
        <v>62</v>
      </c>
      <c r="S10" s="55">
        <f t="shared" si="5"/>
        <v>12</v>
      </c>
      <c r="T10" s="36" t="s">
        <v>299</v>
      </c>
      <c r="U10" s="56">
        <f t="shared" si="6"/>
        <v>2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4.7</v>
      </c>
      <c r="D11" s="14">
        <f>COUNTIF(경기기록Sheet!$E:$H,B11)</f>
        <v>15</v>
      </c>
      <c r="E11" s="14">
        <f>COUNTIF(경기기록Sheet!$I:$L,B11)</f>
        <v>4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22</v>
      </c>
      <c r="J11" s="15"/>
      <c r="K11" s="2">
        <v>8</v>
      </c>
      <c r="L11" s="32" t="s">
        <v>228</v>
      </c>
      <c r="M11" s="21">
        <f t="shared" si="2"/>
        <v>8</v>
      </c>
      <c r="N11" s="33" t="s">
        <v>353</v>
      </c>
      <c r="O11" s="22">
        <f t="shared" si="3"/>
        <v>3</v>
      </c>
      <c r="P11" s="34" t="s">
        <v>7</v>
      </c>
      <c r="Q11" s="23">
        <f t="shared" si="4"/>
        <v>5</v>
      </c>
      <c r="R11" s="35" t="s">
        <v>302</v>
      </c>
      <c r="S11" s="55">
        <f t="shared" si="5"/>
        <v>10</v>
      </c>
      <c r="T11" s="36" t="s">
        <v>353</v>
      </c>
      <c r="U11" s="56">
        <f t="shared" si="6"/>
        <v>2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407</v>
      </c>
      <c r="M12" s="21">
        <f t="shared" si="2"/>
        <v>7</v>
      </c>
      <c r="N12" s="33" t="s">
        <v>313</v>
      </c>
      <c r="O12" s="22">
        <f t="shared" si="3"/>
        <v>3</v>
      </c>
      <c r="P12" s="34" t="s">
        <v>383</v>
      </c>
      <c r="Q12" s="23">
        <f t="shared" si="4"/>
        <v>5</v>
      </c>
      <c r="R12" s="35" t="s">
        <v>221</v>
      </c>
      <c r="S12" s="55">
        <f t="shared" si="5"/>
        <v>9</v>
      </c>
      <c r="T12" s="36" t="s">
        <v>361</v>
      </c>
      <c r="U12" s="56">
        <f t="shared" si="6"/>
        <v>2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314</v>
      </c>
      <c r="M13" s="21">
        <f t="shared" si="2"/>
        <v>6</v>
      </c>
      <c r="N13" s="33" t="s">
        <v>224</v>
      </c>
      <c r="O13" s="22">
        <f t="shared" si="3"/>
        <v>3</v>
      </c>
      <c r="P13" s="34" t="s">
        <v>316</v>
      </c>
      <c r="Q13" s="23">
        <f t="shared" si="4"/>
        <v>4</v>
      </c>
      <c r="R13" s="35" t="s">
        <v>241</v>
      </c>
      <c r="S13" s="55">
        <f t="shared" si="5"/>
        <v>9</v>
      </c>
      <c r="T13" s="36" t="s">
        <v>360</v>
      </c>
      <c r="U13" s="56">
        <f t="shared" si="6"/>
        <v>2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220</v>
      </c>
      <c r="M14" s="21">
        <f t="shared" si="2"/>
        <v>5</v>
      </c>
      <c r="N14" s="33" t="s">
        <v>7</v>
      </c>
      <c r="O14" s="22">
        <f t="shared" si="3"/>
        <v>3</v>
      </c>
      <c r="P14" s="34" t="s">
        <v>313</v>
      </c>
      <c r="Q14" s="23">
        <f t="shared" si="4"/>
        <v>4</v>
      </c>
      <c r="R14" s="55" t="s">
        <v>361</v>
      </c>
      <c r="S14" s="55">
        <f t="shared" si="5"/>
        <v>9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권민강</v>
      </c>
      <c r="C15" s="2">
        <f t="shared" si="0"/>
        <v>0.60000000000000009</v>
      </c>
      <c r="D15" s="14">
        <f>COUNTIF(경기기록Sheet!$E:$H,B15)</f>
        <v>1</v>
      </c>
      <c r="E15" s="14">
        <f>COUNTIF(경기기록Sheet!$I:$L,B15)</f>
        <v>2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3</v>
      </c>
      <c r="J15" s="15"/>
      <c r="K15" s="2">
        <v>12</v>
      </c>
      <c r="L15" s="21" t="s">
        <v>304</v>
      </c>
      <c r="M15" s="21">
        <f t="shared" si="2"/>
        <v>5</v>
      </c>
      <c r="N15" s="33" t="s">
        <v>230</v>
      </c>
      <c r="O15" s="22">
        <f t="shared" si="3"/>
        <v>3</v>
      </c>
      <c r="P15" s="23" t="s">
        <v>403</v>
      </c>
      <c r="Q15" s="23">
        <f t="shared" si="4"/>
        <v>4</v>
      </c>
      <c r="R15" s="55" t="s">
        <v>308</v>
      </c>
      <c r="S15" s="55">
        <f t="shared" si="5"/>
        <v>9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2.5</v>
      </c>
      <c r="D16" s="14">
        <f>COUNTIF(경기기록Sheet!$E:$H,B16)</f>
        <v>2</v>
      </c>
      <c r="E16" s="14">
        <f>COUNTIF(경기기록Sheet!$I:$L,B16)</f>
        <v>2</v>
      </c>
      <c r="F16" s="14">
        <f>COUNTIF(경기기록Sheet!$M:$P,B16)</f>
        <v>3</v>
      </c>
      <c r="G16" s="14">
        <f>COUNTIF(경기기록Sheet!$Q:$U,B16)</f>
        <v>2</v>
      </c>
      <c r="H16" s="14">
        <f>COUNTIF(경기기록Sheet!$V:$V,B16)</f>
        <v>2</v>
      </c>
      <c r="I16" s="14">
        <f t="shared" si="1"/>
        <v>11</v>
      </c>
      <c r="J16" s="15"/>
      <c r="K16" s="2">
        <v>13</v>
      </c>
      <c r="L16" s="21" t="s">
        <v>383</v>
      </c>
      <c r="M16" s="21">
        <f t="shared" si="2"/>
        <v>4</v>
      </c>
      <c r="N16" s="22" t="s">
        <v>398</v>
      </c>
      <c r="O16" s="22">
        <f t="shared" si="3"/>
        <v>3</v>
      </c>
      <c r="P16" s="23" t="s">
        <v>223</v>
      </c>
      <c r="Q16" s="23">
        <f t="shared" si="4"/>
        <v>3</v>
      </c>
      <c r="R16" s="55" t="s">
        <v>67</v>
      </c>
      <c r="S16" s="55">
        <f t="shared" si="5"/>
        <v>8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3.8000000000000003</v>
      </c>
      <c r="D17" s="14">
        <f>COUNTIF(경기기록Sheet!$E:$H,B17)</f>
        <v>10</v>
      </c>
      <c r="E17" s="14">
        <f>COUNTIF(경기기록Sheet!$I:$L,B17)</f>
        <v>7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1"/>
        <v>19</v>
      </c>
      <c r="J17" s="15"/>
      <c r="K17" s="2">
        <v>14</v>
      </c>
      <c r="L17" s="21"/>
      <c r="M17" s="21"/>
      <c r="N17" s="22" t="s">
        <v>304</v>
      </c>
      <c r="O17" s="22">
        <f t="shared" si="3"/>
        <v>3</v>
      </c>
      <c r="P17" s="23" t="s">
        <v>299</v>
      </c>
      <c r="Q17" s="23">
        <f t="shared" si="4"/>
        <v>3</v>
      </c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 t="s">
        <v>360</v>
      </c>
      <c r="O18" s="22">
        <f t="shared" si="3"/>
        <v>3</v>
      </c>
      <c r="P18" s="23" t="s">
        <v>231</v>
      </c>
      <c r="Q18" s="23">
        <f t="shared" si="4"/>
        <v>3</v>
      </c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김도원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김동인</v>
      </c>
      <c r="C20" s="2">
        <f t="shared" si="0"/>
        <v>0</v>
      </c>
      <c r="D20" s="14">
        <f>COUNTIF(경기기록Sheet!$E:$H,B20)</f>
        <v>0</v>
      </c>
      <c r="E20" s="14">
        <f>COUNTIF(경기기록Sheet!$I:$L,B20)</f>
        <v>0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0</v>
      </c>
      <c r="J20" s="15"/>
    </row>
    <row r="21" spans="1:21" x14ac:dyDescent="0.25">
      <c r="A21" s="2">
        <f>종합Sheet!A21</f>
        <v>18</v>
      </c>
      <c r="B21" s="2" t="str">
        <f>종합Sheet!B21</f>
        <v>김류현</v>
      </c>
      <c r="C21" s="2">
        <f t="shared" si="0"/>
        <v>0.4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1</v>
      </c>
      <c r="H21" s="14">
        <f>COUNTIF(경기기록Sheet!$V:$V,B21)</f>
        <v>1</v>
      </c>
      <c r="I21" s="14">
        <f t="shared" si="1"/>
        <v>2</v>
      </c>
      <c r="J21" s="15"/>
    </row>
    <row r="22" spans="1:21" x14ac:dyDescent="0.25">
      <c r="A22" s="2">
        <f>종합Sheet!A22</f>
        <v>19</v>
      </c>
      <c r="B22" s="2" t="str">
        <f>종합Sheet!B22</f>
        <v>김민섭</v>
      </c>
      <c r="C22" s="2">
        <f t="shared" si="0"/>
        <v>0.4</v>
      </c>
      <c r="D22" s="14">
        <f>COUNTIF(경기기록Sheet!$E:$H,B22)</f>
        <v>0</v>
      </c>
      <c r="E22" s="14">
        <f>COUNTIF(경기기록Sheet!$I:$L,B22)</f>
        <v>1</v>
      </c>
      <c r="F22" s="14">
        <f>COUNTIF(경기기록Sheet!$M:$P,B22)</f>
        <v>0</v>
      </c>
      <c r="G22" s="14">
        <f>COUNTIF(경기기록Sheet!$Q:$U,B22)</f>
        <v>1</v>
      </c>
      <c r="H22" s="14">
        <f>COUNTIF(경기기록Sheet!$V:$V,B22)</f>
        <v>0</v>
      </c>
      <c r="I22" s="14">
        <f t="shared" si="1"/>
        <v>2</v>
      </c>
      <c r="J22" s="15"/>
    </row>
    <row r="23" spans="1:21" x14ac:dyDescent="0.25">
      <c r="A23" s="2">
        <f>종합Sheet!A23</f>
        <v>20</v>
      </c>
      <c r="B23" s="2" t="str">
        <f>종합Sheet!B23</f>
        <v>김민찬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김범기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김병준</v>
      </c>
      <c r="C25" s="2">
        <f t="shared" si="0"/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김부건</v>
      </c>
      <c r="C26" s="2">
        <f t="shared" si="0"/>
        <v>0.8</v>
      </c>
      <c r="D26" s="14">
        <f>COUNTIF(경기기록Sheet!$E:$H,B26)</f>
        <v>2</v>
      </c>
      <c r="E26" s="14">
        <f>COUNTIF(경기기록Sheet!$I:$L,B26)</f>
        <v>2</v>
      </c>
      <c r="F26" s="14">
        <f>COUNTIF(경기기록Sheet!$M:$P,B26)</f>
        <v>0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4</v>
      </c>
      <c r="J26" s="15"/>
    </row>
    <row r="27" spans="1:21" x14ac:dyDescent="0.25">
      <c r="A27" s="2">
        <f>종합Sheet!A27</f>
        <v>24</v>
      </c>
      <c r="B27" s="2" t="str">
        <f>종합Sheet!B27</f>
        <v>김성수</v>
      </c>
      <c r="C27" s="2">
        <f t="shared" si="0"/>
        <v>2.5</v>
      </c>
      <c r="D27" s="14">
        <f>COUNTIF(경기기록Sheet!$E:$H,B27)</f>
        <v>1</v>
      </c>
      <c r="E27" s="14">
        <f>COUNTIF(경기기록Sheet!$I:$L,B27)</f>
        <v>1</v>
      </c>
      <c r="F27" s="14">
        <f>COUNTIF(경기기록Sheet!$M:$P,B27)</f>
        <v>7</v>
      </c>
      <c r="G27" s="14">
        <f>COUNTIF(경기기록Sheet!$Q:$U,B27)</f>
        <v>0</v>
      </c>
      <c r="H27" s="14">
        <f>COUNTIF(경기기록Sheet!$V:$V,B27)</f>
        <v>0</v>
      </c>
      <c r="I27" s="14">
        <f t="shared" si="1"/>
        <v>9</v>
      </c>
      <c r="J27" s="15"/>
    </row>
    <row r="28" spans="1:21" x14ac:dyDescent="0.25">
      <c r="A28" s="2">
        <f>종합Sheet!A28</f>
        <v>25</v>
      </c>
      <c r="B28" s="2" t="str">
        <f>종합Sheet!B28</f>
        <v>김성준</v>
      </c>
      <c r="C28" s="2">
        <f t="shared" si="0"/>
        <v>10.4</v>
      </c>
      <c r="D28" s="14">
        <f>COUNTIF(경기기록Sheet!$E:$H,B28)</f>
        <v>12</v>
      </c>
      <c r="E28" s="14">
        <f>COUNTIF(경기기록Sheet!$I:$L,B28)</f>
        <v>6</v>
      </c>
      <c r="F28" s="14">
        <f>COUNTIF(경기기록Sheet!$M:$P,B28)</f>
        <v>16</v>
      </c>
      <c r="G28" s="14">
        <f>COUNTIF(경기기록Sheet!$Q:$U,B28)</f>
        <v>9</v>
      </c>
      <c r="H28" s="14">
        <f>COUNTIF(경기기록Sheet!$V:$V,B28)</f>
        <v>1</v>
      </c>
      <c r="I28" s="14">
        <f t="shared" si="1"/>
        <v>44</v>
      </c>
      <c r="J28" s="15"/>
    </row>
    <row r="29" spans="1:21" x14ac:dyDescent="0.25">
      <c r="A29" s="2">
        <f>종합Sheet!A29</f>
        <v>26</v>
      </c>
      <c r="B29" s="2" t="str">
        <f>종합Sheet!B29</f>
        <v>김송환</v>
      </c>
      <c r="C29" s="2">
        <f t="shared" si="0"/>
        <v>3.0999999999999996</v>
      </c>
      <c r="D29" s="14">
        <f>COUNTIF(경기기록Sheet!$E:$H,B29)</f>
        <v>0</v>
      </c>
      <c r="E29" s="14">
        <f>COUNTIF(경기기록Sheet!$I:$L,B29)</f>
        <v>1</v>
      </c>
      <c r="F29" s="14">
        <f>COUNTIF(경기기록Sheet!$M:$P,B29)</f>
        <v>9</v>
      </c>
      <c r="G29" s="14">
        <f>COUNTIF(경기기록Sheet!$Q:$U,B29)</f>
        <v>0</v>
      </c>
      <c r="H29" s="14">
        <f>COUNTIF(경기기록Sheet!$V:$V,B29)</f>
        <v>1</v>
      </c>
      <c r="I29" s="14">
        <f t="shared" si="1"/>
        <v>11</v>
      </c>
      <c r="J29" s="15"/>
    </row>
    <row r="30" spans="1:21" x14ac:dyDescent="0.25">
      <c r="A30" s="2">
        <f>종합Sheet!A30</f>
        <v>27</v>
      </c>
      <c r="B30" s="2" t="str">
        <f>종합Sheet!B30</f>
        <v>김영태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김용빈</v>
      </c>
      <c r="C31" s="2">
        <f t="shared" si="0"/>
        <v>0</v>
      </c>
      <c r="D31" s="14">
        <f>COUNTIF(경기기록Sheet!$E:$H,B31)</f>
        <v>0</v>
      </c>
      <c r="E31" s="14">
        <f>COUNTIF(경기기록Sheet!$I:$L,B31)</f>
        <v>0</v>
      </c>
      <c r="F31" s="14">
        <f>COUNTIF(경기기록Sheet!$M:$P,B31)</f>
        <v>0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0</v>
      </c>
      <c r="J31" s="15"/>
    </row>
    <row r="32" spans="1:21" x14ac:dyDescent="0.25">
      <c r="A32" s="2">
        <f>종합Sheet!A32</f>
        <v>29</v>
      </c>
      <c r="B32" s="2" t="str">
        <f>종합Sheet!B32</f>
        <v>김용현</v>
      </c>
      <c r="C32" s="2">
        <f t="shared" si="0"/>
        <v>3.5999999999999996</v>
      </c>
      <c r="D32" s="14">
        <f>COUNTIF(경기기록Sheet!$E:$H,B32)</f>
        <v>2</v>
      </c>
      <c r="E32" s="14">
        <f>COUNTIF(경기기록Sheet!$I:$L,B32)</f>
        <v>6</v>
      </c>
      <c r="F32" s="14">
        <f>COUNTIF(경기기록Sheet!$M:$P,B32)</f>
        <v>6</v>
      </c>
      <c r="G32" s="14">
        <f>COUNTIF(경기기록Sheet!$Q:$U,B32)</f>
        <v>1</v>
      </c>
      <c r="H32" s="14">
        <f>COUNTIF(경기기록Sheet!$V:$V,B32)</f>
        <v>0</v>
      </c>
      <c r="I32" s="14">
        <f t="shared" si="1"/>
        <v>15</v>
      </c>
      <c r="J32" s="15"/>
    </row>
    <row r="33" spans="1:10" x14ac:dyDescent="0.25">
      <c r="A33" s="2">
        <f>종합Sheet!A33</f>
        <v>30</v>
      </c>
      <c r="B33" s="2" t="str">
        <f>종합Sheet!B33</f>
        <v>김우인</v>
      </c>
      <c r="C33" s="2">
        <f t="shared" si="0"/>
        <v>4.8000000000000007</v>
      </c>
      <c r="D33" s="14">
        <f>COUNTIF(경기기록Sheet!$E:$H,B33)</f>
        <v>8</v>
      </c>
      <c r="E33" s="14">
        <f>COUNTIF(경기기록Sheet!$I:$L,B33)</f>
        <v>1</v>
      </c>
      <c r="F33" s="14">
        <f>COUNTIF(경기기록Sheet!$M:$P,B33)</f>
        <v>0</v>
      </c>
      <c r="G33" s="14">
        <f>COUNTIF(경기기록Sheet!$Q:$U,B33)</f>
        <v>3</v>
      </c>
      <c r="H33" s="14">
        <f>COUNTIF(경기기록Sheet!$V:$V,B33)</f>
        <v>12</v>
      </c>
      <c r="I33" s="14">
        <f t="shared" si="1"/>
        <v>24</v>
      </c>
      <c r="J33" s="15"/>
    </row>
    <row r="34" spans="1:10" x14ac:dyDescent="0.25">
      <c r="A34" s="2">
        <f>종합Sheet!A34</f>
        <v>31</v>
      </c>
      <c r="B34" s="2" t="str">
        <f>종합Sheet!B34</f>
        <v>김종준</v>
      </c>
      <c r="C34" s="2">
        <f t="shared" si="0"/>
        <v>0.4</v>
      </c>
      <c r="D34" s="14">
        <f>COUNTIF(경기기록Sheet!$E:$H,B34)</f>
        <v>0</v>
      </c>
      <c r="E34" s="14">
        <f>COUNTIF(경기기록Sheet!$I:$L,B34)</f>
        <v>0</v>
      </c>
      <c r="F34" s="14">
        <f>COUNTIF(경기기록Sheet!$M:$P,B34)</f>
        <v>0</v>
      </c>
      <c r="G34" s="14">
        <f>COUNTIF(경기기록Sheet!$Q:$U,B34)</f>
        <v>2</v>
      </c>
      <c r="H34" s="14">
        <f>COUNTIF(경기기록Sheet!$V:$V,B34)</f>
        <v>0</v>
      </c>
      <c r="I34" s="14">
        <f t="shared" si="1"/>
        <v>2</v>
      </c>
      <c r="J34" s="15"/>
    </row>
    <row r="35" spans="1:10" x14ac:dyDescent="0.25">
      <c r="A35" s="2">
        <f>종합Sheet!A35</f>
        <v>32</v>
      </c>
      <c r="B35" s="2" t="str">
        <f>종합Sheet!B35</f>
        <v>김종혁</v>
      </c>
      <c r="C35" s="2">
        <f t="shared" si="0"/>
        <v>3.6</v>
      </c>
      <c r="D35" s="14">
        <f>COUNTIF(경기기록Sheet!$E:$H,B35)</f>
        <v>9</v>
      </c>
      <c r="E35" s="14">
        <f>COUNTIF(경기기록Sheet!$I:$L,B35)</f>
        <v>3</v>
      </c>
      <c r="F35" s="14">
        <f>COUNTIF(경기기록Sheet!$M:$P,B35)</f>
        <v>2</v>
      </c>
      <c r="G35" s="14">
        <f>COUNTIF(경기기록Sheet!$Q:$U,B35)</f>
        <v>1</v>
      </c>
      <c r="H35" s="14">
        <f>COUNTIF(경기기록Sheet!$V:$V,B35)</f>
        <v>2</v>
      </c>
      <c r="I35" s="14">
        <f t="shared" si="1"/>
        <v>17</v>
      </c>
      <c r="J35" s="15"/>
    </row>
    <row r="36" spans="1:10" x14ac:dyDescent="0.25">
      <c r="A36" s="2">
        <f>종합Sheet!A36</f>
        <v>33</v>
      </c>
      <c r="B36" s="2" t="str">
        <f>종합Sheet!B36</f>
        <v>김준영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김진형</v>
      </c>
      <c r="C37" s="2">
        <f t="shared" si="7"/>
        <v>0</v>
      </c>
      <c r="D37" s="14">
        <f>COUNTIF(경기기록Sheet!$E:$H,B37)</f>
        <v>0</v>
      </c>
      <c r="E37" s="14">
        <f>COUNTIF(경기기록Sheet!$I:$L,B37)</f>
        <v>0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0</v>
      </c>
      <c r="J37" s="15"/>
    </row>
    <row r="38" spans="1:10" x14ac:dyDescent="0.25">
      <c r="A38" s="2">
        <f>종합Sheet!A38</f>
        <v>35</v>
      </c>
      <c r="B38" s="2" t="str">
        <f>종합Sheet!B38</f>
        <v>김진호</v>
      </c>
      <c r="C38" s="2">
        <f t="shared" si="7"/>
        <v>6.2</v>
      </c>
      <c r="D38" s="14">
        <f>COUNTIF(경기기록Sheet!$E:$H,B38)</f>
        <v>22</v>
      </c>
      <c r="E38" s="14">
        <f>COUNTIF(경기기록Sheet!$I:$L,B38)</f>
        <v>9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31</v>
      </c>
      <c r="J38" s="15"/>
    </row>
    <row r="39" spans="1:10" x14ac:dyDescent="0.25">
      <c r="A39" s="2">
        <f>종합Sheet!A39</f>
        <v>36</v>
      </c>
      <c r="B39" s="2" t="str">
        <f>종합Sheet!B39</f>
        <v>김태성</v>
      </c>
      <c r="C39" s="2">
        <f t="shared" si="7"/>
        <v>0.60000000000000009</v>
      </c>
      <c r="D39" s="14">
        <f>COUNTIF(경기기록Sheet!$E:$H,B39)</f>
        <v>1</v>
      </c>
      <c r="E39" s="14">
        <f>COUNTIF(경기기록Sheet!$I:$L,B39)</f>
        <v>2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3</v>
      </c>
      <c r="J39" s="15"/>
    </row>
    <row r="40" spans="1:10" x14ac:dyDescent="0.25">
      <c r="A40" s="2">
        <f>종합Sheet!A40</f>
        <v>37</v>
      </c>
      <c r="B40" s="2" t="str">
        <f>종합Sheet!B40</f>
        <v>김태양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김태완</v>
      </c>
      <c r="C41" s="2">
        <f t="shared" si="7"/>
        <v>0.4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2</v>
      </c>
      <c r="H41" s="14">
        <f>COUNTIF(경기기록Sheet!$V:$V,B41)</f>
        <v>0</v>
      </c>
      <c r="I41" s="14">
        <f t="shared" si="8"/>
        <v>2</v>
      </c>
      <c r="J41" s="15"/>
    </row>
    <row r="42" spans="1:10" x14ac:dyDescent="0.25">
      <c r="A42" s="2">
        <f>종합Sheet!A42</f>
        <v>39</v>
      </c>
      <c r="B42" s="2" t="str">
        <f>종합Sheet!B42</f>
        <v>김태호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김현우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김형원</v>
      </c>
      <c r="C44" s="2">
        <f t="shared" si="7"/>
        <v>0.4</v>
      </c>
      <c r="D44" s="14">
        <f>COUNTIF(경기기록Sheet!$E:$H,B44)</f>
        <v>0</v>
      </c>
      <c r="E44" s="14">
        <f>COUNTIF(경기기록Sheet!$I:$L,B44)</f>
        <v>0</v>
      </c>
      <c r="F44" s="14">
        <f>COUNTIF(경기기록Sheet!$M:$P,B44)</f>
        <v>0</v>
      </c>
      <c r="G44" s="14">
        <f>COUNTIF(경기기록Sheet!$Q:$U,B44)</f>
        <v>2</v>
      </c>
      <c r="H44" s="14">
        <f>COUNTIF(경기기록Sheet!$V:$V,B44)</f>
        <v>0</v>
      </c>
      <c r="I44" s="14">
        <f t="shared" si="8"/>
        <v>2</v>
      </c>
      <c r="J44" s="15"/>
    </row>
    <row r="45" spans="1:10" x14ac:dyDescent="0.25">
      <c r="A45" s="2">
        <f>종합Sheet!A45</f>
        <v>42</v>
      </c>
      <c r="B45" s="2" t="str">
        <f>종합Sheet!B45</f>
        <v>노민준</v>
      </c>
      <c r="C45" s="2">
        <f t="shared" si="7"/>
        <v>4.2</v>
      </c>
      <c r="D45" s="14">
        <f>COUNTIF(경기기록Sheet!$E:$H,B45)</f>
        <v>1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16</v>
      </c>
      <c r="H45" s="14">
        <f>COUNTIF(경기기록Sheet!$V:$V,B45)</f>
        <v>3</v>
      </c>
      <c r="I45" s="14">
        <f t="shared" si="8"/>
        <v>21</v>
      </c>
      <c r="J45" s="15"/>
    </row>
    <row r="46" spans="1:10" x14ac:dyDescent="0.25">
      <c r="A46" s="2">
        <f>종합Sheet!A46</f>
        <v>43</v>
      </c>
      <c r="B46" s="2" t="str">
        <f>종합Sheet!B46</f>
        <v>노성호</v>
      </c>
      <c r="C46" s="2">
        <f t="shared" si="7"/>
        <v>0.2</v>
      </c>
      <c r="D46" s="14">
        <f>COUNTIF(경기기록Sheet!$E:$H,B46)</f>
        <v>0</v>
      </c>
      <c r="E46" s="14">
        <f>COUNTIF(경기기록Sheet!$I:$L,B46)</f>
        <v>1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1</v>
      </c>
      <c r="J46" s="15"/>
    </row>
    <row r="47" spans="1:10" x14ac:dyDescent="0.25">
      <c r="A47" s="2">
        <f>종합Sheet!A47</f>
        <v>44</v>
      </c>
      <c r="B47" s="2" t="str">
        <f>종합Sheet!B47</f>
        <v>류서진</v>
      </c>
      <c r="C47" s="2">
        <f t="shared" si="7"/>
        <v>2.4</v>
      </c>
      <c r="D47" s="14">
        <f>COUNTIF(경기기록Sheet!$E:$H,B47)</f>
        <v>7</v>
      </c>
      <c r="E47" s="14">
        <f>COUNTIF(경기기록Sheet!$I:$L,B47)</f>
        <v>1</v>
      </c>
      <c r="F47" s="14">
        <f>COUNTIF(경기기록Sheet!$M:$P,B47)</f>
        <v>2</v>
      </c>
      <c r="G47" s="14">
        <f>COUNTIF(경기기록Sheet!$Q:$U,B47)</f>
        <v>1</v>
      </c>
      <c r="H47" s="14">
        <f>COUNTIF(경기기록Sheet!$V:$V,B47)</f>
        <v>0</v>
      </c>
      <c r="I47" s="14">
        <f t="shared" si="8"/>
        <v>11</v>
      </c>
      <c r="J47" s="15"/>
    </row>
    <row r="48" spans="1:10" x14ac:dyDescent="0.25">
      <c r="A48" s="2">
        <f>종합Sheet!A48</f>
        <v>45</v>
      </c>
      <c r="B48" s="2" t="str">
        <f>종합Sheet!B48</f>
        <v>마창기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문준수</v>
      </c>
      <c r="C49" s="2">
        <f t="shared" si="7"/>
        <v>3.2</v>
      </c>
      <c r="D49" s="14">
        <f>COUNTIF(경기기록Sheet!$E:$H,B49)</f>
        <v>1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14</v>
      </c>
      <c r="H49" s="14">
        <f>COUNTIF(경기기록Sheet!$V:$V,B49)</f>
        <v>1</v>
      </c>
      <c r="I49" s="14">
        <f t="shared" si="8"/>
        <v>16</v>
      </c>
      <c r="J49" s="15"/>
    </row>
    <row r="50" spans="1:10" x14ac:dyDescent="0.25">
      <c r="A50" s="2">
        <f>종합Sheet!A50</f>
        <v>47</v>
      </c>
      <c r="B50" s="2" t="str">
        <f>종합Sheet!B50</f>
        <v>민건호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박수천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박정호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박주연</v>
      </c>
      <c r="C53" s="2">
        <f t="shared" si="7"/>
        <v>2.2000000000000002</v>
      </c>
      <c r="D53" s="14">
        <f>COUNTIF(경기기록Sheet!$E:$H,B53)</f>
        <v>1</v>
      </c>
      <c r="E53" s="14">
        <f>COUNTIF(경기기록Sheet!$I:$L,B53)</f>
        <v>1</v>
      </c>
      <c r="F53" s="14">
        <f>COUNTIF(경기기록Sheet!$M:$P,B53)</f>
        <v>0</v>
      </c>
      <c r="G53" s="14">
        <f>COUNTIF(경기기록Sheet!$Q:$U,B53)</f>
        <v>9</v>
      </c>
      <c r="H53" s="14">
        <f>COUNTIF(경기기록Sheet!$V:$V,B53)</f>
        <v>0</v>
      </c>
      <c r="I53" s="14">
        <f t="shared" si="8"/>
        <v>11</v>
      </c>
      <c r="J53" s="15"/>
    </row>
    <row r="54" spans="1:10" x14ac:dyDescent="0.25">
      <c r="A54" s="2">
        <f>종합Sheet!A54</f>
        <v>51</v>
      </c>
      <c r="B54" s="2" t="str">
        <f>종합Sheet!B54</f>
        <v>박주현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박준영</v>
      </c>
      <c r="C55" s="2">
        <f t="shared" si="7"/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 t="shared" si="8"/>
        <v>1</v>
      </c>
      <c r="J55" s="15"/>
    </row>
    <row r="56" spans="1:10" x14ac:dyDescent="0.25">
      <c r="A56" s="2">
        <f>종합Sheet!A56</f>
        <v>53</v>
      </c>
      <c r="B56" s="2" t="str">
        <f>종합Sheet!B56</f>
        <v>박태현</v>
      </c>
      <c r="C56" s="2">
        <f t="shared" si="7"/>
        <v>0.4</v>
      </c>
      <c r="D56" s="14">
        <f>COUNTIF(경기기록Sheet!$E:$H,B56)</f>
        <v>0</v>
      </c>
      <c r="E56" s="14">
        <f>COUNTIF(경기기록Sheet!$I:$L,B56)</f>
        <v>2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박하빈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박형기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손경호</v>
      </c>
      <c r="C59" s="2">
        <f t="shared" si="7"/>
        <v>3.4000000000000004</v>
      </c>
      <c r="D59" s="14">
        <f>COUNTIF(경기기록Sheet!$E:$H,B59)</f>
        <v>5</v>
      </c>
      <c r="E59" s="14">
        <f>COUNTIF(경기기록Sheet!$I:$L,B59)</f>
        <v>2</v>
      </c>
      <c r="F59" s="14">
        <f>COUNTIF(경기기록Sheet!$M:$P,B59)</f>
        <v>0</v>
      </c>
      <c r="G59" s="14">
        <f>COUNTIF(경기기록Sheet!$Q:$U,B59)</f>
        <v>5</v>
      </c>
      <c r="H59" s="14">
        <f>COUNTIF(경기기록Sheet!$V:$V,B59)</f>
        <v>5</v>
      </c>
      <c r="I59" s="14">
        <f t="shared" si="8"/>
        <v>17</v>
      </c>
      <c r="J59" s="15"/>
    </row>
    <row r="60" spans="1:10" x14ac:dyDescent="0.25">
      <c r="A60" s="2">
        <f>종합Sheet!A60</f>
        <v>57</v>
      </c>
      <c r="B60" s="2" t="str">
        <f>종합Sheet!B60</f>
        <v>송윤상</v>
      </c>
      <c r="C60" s="2">
        <f t="shared" si="7"/>
        <v>0.6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2</v>
      </c>
      <c r="G60" s="14">
        <f>COUNTIF(경기기록Sheet!$Q:$U,B60)</f>
        <v>0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신기웅</v>
      </c>
      <c r="C61" s="2">
        <f t="shared" si="7"/>
        <v>1.9000000000000001</v>
      </c>
      <c r="D61" s="14">
        <f>COUNTIF(경기기록Sheet!$E:$H,B61)</f>
        <v>3</v>
      </c>
      <c r="E61" s="14">
        <f>COUNTIF(경기기록Sheet!$I:$L,B61)</f>
        <v>0</v>
      </c>
      <c r="F61" s="14">
        <f>COUNTIF(경기기록Sheet!$M:$P,B61)</f>
        <v>1</v>
      </c>
      <c r="G61" s="14">
        <f>COUNTIF(경기기록Sheet!$Q:$U,B61)</f>
        <v>5</v>
      </c>
      <c r="H61" s="14">
        <f>COUNTIF(경기기록Sheet!$V:$V,B61)</f>
        <v>0</v>
      </c>
      <c r="I61" s="14">
        <f t="shared" si="8"/>
        <v>9</v>
      </c>
      <c r="J61" s="15"/>
    </row>
    <row r="62" spans="1:10" x14ac:dyDescent="0.25">
      <c r="A62" s="2">
        <f>종합Sheet!A62</f>
        <v>59</v>
      </c>
      <c r="B62" s="2" t="str">
        <f>종합Sheet!B62</f>
        <v>신종훈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안진혁</v>
      </c>
      <c r="C63" s="2">
        <f t="shared" si="7"/>
        <v>0.60000000000000009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3</v>
      </c>
      <c r="H63" s="14">
        <f>COUNTIF(경기기록Sheet!$V:$V,B63)</f>
        <v>0</v>
      </c>
      <c r="I63" s="14">
        <f t="shared" si="8"/>
        <v>3</v>
      </c>
      <c r="J63" s="15"/>
    </row>
    <row r="64" spans="1:10" x14ac:dyDescent="0.25">
      <c r="A64" s="2">
        <f>종합Sheet!A64</f>
        <v>61</v>
      </c>
      <c r="B64" s="2" t="str">
        <f>종합Sheet!B64</f>
        <v>양진웅</v>
      </c>
      <c r="C64" s="2">
        <f t="shared" si="7"/>
        <v>2</v>
      </c>
      <c r="D64" s="14">
        <f>COUNTIF(경기기록Sheet!$E:$H,B64)</f>
        <v>0</v>
      </c>
      <c r="E64" s="14">
        <f>COUNTIF(경기기록Sheet!$I:$L,B64)</f>
        <v>2</v>
      </c>
      <c r="F64" s="14">
        <f>COUNTIF(경기기록Sheet!$M:$P,B64)</f>
        <v>4</v>
      </c>
      <c r="G64" s="14">
        <f>COUNTIF(경기기록Sheet!$Q:$U,B64)</f>
        <v>1</v>
      </c>
      <c r="H64" s="14">
        <f>COUNTIF(경기기록Sheet!$V:$V,B64)</f>
        <v>1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오상준</v>
      </c>
      <c r="C65" s="2">
        <f t="shared" si="7"/>
        <v>3.3000000000000003</v>
      </c>
      <c r="D65" s="14">
        <f>COUNTIF(경기기록Sheet!$E:$H,B65)</f>
        <v>3</v>
      </c>
      <c r="E65" s="14">
        <f>COUNTIF(경기기록Sheet!$I:$L,B65)</f>
        <v>2</v>
      </c>
      <c r="F65" s="14">
        <f>COUNTIF(경기기록Sheet!$M:$P,B65)</f>
        <v>7</v>
      </c>
      <c r="G65" s="14">
        <f>COUNTIF(경기기록Sheet!$Q:$U,B65)</f>
        <v>1</v>
      </c>
      <c r="H65" s="14">
        <f>COUNTIF(경기기록Sheet!$V:$V,B65)</f>
        <v>0</v>
      </c>
      <c r="I65" s="14">
        <f t="shared" si="8"/>
        <v>13</v>
      </c>
      <c r="J65" s="15"/>
    </row>
    <row r="66" spans="1:10" x14ac:dyDescent="0.25">
      <c r="A66" s="2">
        <f>종합Sheet!A66</f>
        <v>63</v>
      </c>
      <c r="B66" s="2" t="str">
        <f>종합Sheet!B66</f>
        <v>오성찬</v>
      </c>
      <c r="C66" s="2">
        <f t="shared" si="7"/>
        <v>0.3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1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1</v>
      </c>
      <c r="J66" s="15"/>
    </row>
    <row r="67" spans="1:10" x14ac:dyDescent="0.25">
      <c r="A67" s="2">
        <f>종합Sheet!A67</f>
        <v>64</v>
      </c>
      <c r="B67" s="2" t="str">
        <f>종합Sheet!B67</f>
        <v>오우영</v>
      </c>
      <c r="C67" s="2">
        <f t="shared" si="7"/>
        <v>2</v>
      </c>
      <c r="D67" s="14">
        <f>COUNTIF(경기기록Sheet!$E:$H,B67)</f>
        <v>1</v>
      </c>
      <c r="E67" s="14">
        <f>COUNTIF(경기기록Sheet!$I:$L,B67)</f>
        <v>3</v>
      </c>
      <c r="F67" s="14">
        <f>COUNTIF(경기기록Sheet!$M:$P,B67)</f>
        <v>4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8</v>
      </c>
      <c r="J67" s="15"/>
    </row>
    <row r="68" spans="1:10" x14ac:dyDescent="0.25">
      <c r="A68" s="2">
        <f>종합Sheet!A68</f>
        <v>65</v>
      </c>
      <c r="B68" s="2" t="str">
        <f>종합Sheet!B68</f>
        <v>오운용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오준서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우보광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유상근</v>
      </c>
      <c r="C71" s="2">
        <f t="shared" si="9"/>
        <v>5</v>
      </c>
      <c r="D71" s="14">
        <f>COUNTIF(경기기록Sheet!$E:$H,B71)</f>
        <v>0</v>
      </c>
      <c r="E71" s="14">
        <f>COUNTIF(경기기록Sheet!$I:$L,B71)</f>
        <v>1</v>
      </c>
      <c r="F71" s="14">
        <f>COUNTIF(경기기록Sheet!$M:$P,B71)</f>
        <v>0</v>
      </c>
      <c r="G71" s="14">
        <f>COUNTIF(경기기록Sheet!$Q:$U,B71)</f>
        <v>23</v>
      </c>
      <c r="H71" s="14">
        <f>COUNTIF(경기기록Sheet!$V:$V,B71)</f>
        <v>1</v>
      </c>
      <c r="I71" s="14">
        <f t="shared" si="10"/>
        <v>25</v>
      </c>
      <c r="J71" s="15"/>
    </row>
    <row r="72" spans="1:10" x14ac:dyDescent="0.25">
      <c r="A72" s="2">
        <f>종합Sheet!A72</f>
        <v>69</v>
      </c>
      <c r="B72" s="2" t="str">
        <f>종합Sheet!B72</f>
        <v>유우진</v>
      </c>
      <c r="C72" s="2">
        <f t="shared" si="9"/>
        <v>0.4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2</v>
      </c>
      <c r="H72" s="14">
        <f>COUNTIF(경기기록Sheet!$V:$V,B72)</f>
        <v>0</v>
      </c>
      <c r="I72" s="14">
        <f t="shared" si="10"/>
        <v>2</v>
      </c>
      <c r="J72" s="15"/>
    </row>
    <row r="73" spans="1:10" x14ac:dyDescent="0.25">
      <c r="A73" s="2">
        <f>종합Sheet!A73</f>
        <v>70</v>
      </c>
      <c r="B73" s="2" t="str">
        <f>종합Sheet!B73</f>
        <v>유인상</v>
      </c>
      <c r="C73" s="2">
        <f t="shared" si="9"/>
        <v>0.2</v>
      </c>
      <c r="D73" s="14">
        <f>COUNTIF(경기기록Sheet!$E:$H,B73)</f>
        <v>0</v>
      </c>
      <c r="E73" s="14">
        <f>COUNTIF(경기기록Sheet!$I:$L,B73)</f>
        <v>1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1</v>
      </c>
      <c r="J73" s="15"/>
    </row>
    <row r="74" spans="1:10" x14ac:dyDescent="0.25">
      <c r="A74" s="2">
        <f>종합Sheet!A74</f>
        <v>71</v>
      </c>
      <c r="B74" s="2" t="str">
        <f>종합Sheet!B74</f>
        <v>유정훈</v>
      </c>
      <c r="C74" s="2">
        <f t="shared" si="9"/>
        <v>1.2000000000000002</v>
      </c>
      <c r="D74" s="14">
        <f>COUNTIF(경기기록Sheet!$E:$H,B74)</f>
        <v>0</v>
      </c>
      <c r="E74" s="14">
        <f>COUNTIF(경기기록Sheet!$I:$L,B74)</f>
        <v>3</v>
      </c>
      <c r="F74" s="14">
        <f>COUNTIF(경기기록Sheet!$M:$P,B74)</f>
        <v>2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5</v>
      </c>
      <c r="J74" s="15"/>
    </row>
    <row r="75" spans="1:10" x14ac:dyDescent="0.25">
      <c r="A75" s="2">
        <f>종합Sheet!A75</f>
        <v>72</v>
      </c>
      <c r="B75" s="2" t="str">
        <f>종합Sheet!B75</f>
        <v>유진효</v>
      </c>
      <c r="C75" s="2">
        <f t="shared" si="9"/>
        <v>0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0</v>
      </c>
      <c r="J75" s="15"/>
    </row>
    <row r="76" spans="1:10" x14ac:dyDescent="0.25">
      <c r="A76" s="2">
        <f>종합Sheet!A76</f>
        <v>73</v>
      </c>
      <c r="B76" s="2" t="str">
        <f>종합Sheet!B76</f>
        <v>윤원택</v>
      </c>
      <c r="C76" s="2">
        <f t="shared" si="9"/>
        <v>1.2000000000000002</v>
      </c>
      <c r="D76" s="14">
        <f>COUNTIF(경기기록Sheet!$E:$H,B76)</f>
        <v>0</v>
      </c>
      <c r="E76" s="14">
        <f>COUNTIF(경기기록Sheet!$I:$L,B76)</f>
        <v>1</v>
      </c>
      <c r="F76" s="14">
        <f>COUNTIF(경기기록Sheet!$M:$P,B76)</f>
        <v>2</v>
      </c>
      <c r="G76" s="14">
        <f>COUNTIF(경기기록Sheet!$Q:$U,B76)</f>
        <v>2</v>
      </c>
      <c r="H76" s="14">
        <f>COUNTIF(경기기록Sheet!$V:$V,B76)</f>
        <v>0</v>
      </c>
      <c r="I76" s="14">
        <f t="shared" si="10"/>
        <v>5</v>
      </c>
      <c r="J76" s="15"/>
    </row>
    <row r="77" spans="1:10" x14ac:dyDescent="0.25">
      <c r="A77" s="2">
        <f>종합Sheet!A77</f>
        <v>74</v>
      </c>
      <c r="B77" s="2" t="str">
        <f>종합Sheet!B77</f>
        <v>윤창현</v>
      </c>
      <c r="C77" s="2">
        <f t="shared" si="9"/>
        <v>1.6</v>
      </c>
      <c r="D77" s="14">
        <f>COUNTIF(경기기록Sheet!$E:$H,B77)</f>
        <v>0</v>
      </c>
      <c r="E77" s="14">
        <f>COUNTIF(경기기록Sheet!$I:$L,B77)</f>
        <v>2</v>
      </c>
      <c r="F77" s="14">
        <f>COUNTIF(경기기록Sheet!$M:$P,B77)</f>
        <v>0</v>
      </c>
      <c r="G77" s="14">
        <f>COUNTIF(경기기록Sheet!$Q:$U,B77)</f>
        <v>6</v>
      </c>
      <c r="H77" s="14">
        <f>COUNTIF(경기기록Sheet!$V:$V,B77)</f>
        <v>0</v>
      </c>
      <c r="I77" s="14">
        <f t="shared" si="10"/>
        <v>8</v>
      </c>
      <c r="J77" s="15"/>
    </row>
    <row r="78" spans="1:10" x14ac:dyDescent="0.25">
      <c r="A78" s="2">
        <f>종합Sheet!A78</f>
        <v>75</v>
      </c>
      <c r="B78" s="2" t="str">
        <f>종합Sheet!B78</f>
        <v>윤현기</v>
      </c>
      <c r="C78" s="2">
        <f t="shared" si="9"/>
        <v>1.1000000000000001</v>
      </c>
      <c r="D78" s="14">
        <f>COUNTIF(경기기록Sheet!$E:$H,B78)</f>
        <v>3</v>
      </c>
      <c r="E78" s="14">
        <f>COUNTIF(경기기록Sheet!$I:$L,B78)</f>
        <v>0</v>
      </c>
      <c r="F78" s="14">
        <f>COUNTIF(경기기록Sheet!$M:$P,B78)</f>
        <v>1</v>
      </c>
      <c r="G78" s="14">
        <f>COUNTIF(경기기록Sheet!$Q:$U,B78)</f>
        <v>0</v>
      </c>
      <c r="H78" s="14">
        <f>COUNTIF(경기기록Sheet!$V:$V,B78)</f>
        <v>1</v>
      </c>
      <c r="I78" s="14">
        <f t="shared" si="10"/>
        <v>5</v>
      </c>
      <c r="J78" s="15"/>
    </row>
    <row r="79" spans="1:10" x14ac:dyDescent="0.25">
      <c r="A79" s="2">
        <f>종합Sheet!A79</f>
        <v>76</v>
      </c>
      <c r="B79" s="2" t="str">
        <f>종합Sheet!B79</f>
        <v>이경석</v>
      </c>
      <c r="C79" s="2">
        <f t="shared" si="9"/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이민재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3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이병현</v>
      </c>
      <c r="C81" s="2">
        <f t="shared" si="9"/>
        <v>1</v>
      </c>
      <c r="D81" s="14">
        <f>COUNTIF(경기기록Sheet!$E:$H,B81)</f>
        <v>0</v>
      </c>
      <c r="E81" s="14">
        <f>COUNTIF(경기기록Sheet!$I:$L,B81)</f>
        <v>1</v>
      </c>
      <c r="F81" s="14">
        <f>COUNTIF(경기기록Sheet!$M:$P,B81)</f>
        <v>0</v>
      </c>
      <c r="G81" s="14">
        <f>COUNTIF(경기기록Sheet!$Q:$U,B81)</f>
        <v>4</v>
      </c>
      <c r="H81" s="14">
        <f>COUNTIF(경기기록Sheet!$V:$V,B81)</f>
        <v>0</v>
      </c>
      <c r="I81" s="14">
        <f t="shared" si="10"/>
        <v>5</v>
      </c>
      <c r="J81" s="15"/>
    </row>
    <row r="82" spans="1:10" x14ac:dyDescent="0.25">
      <c r="A82" s="2">
        <f>종합Sheet!A82</f>
        <v>79</v>
      </c>
      <c r="B82" s="2" t="str">
        <f>종합Sheet!B82</f>
        <v>이상민</v>
      </c>
      <c r="C82" s="2">
        <f t="shared" si="9"/>
        <v>0.4</v>
      </c>
      <c r="D82" s="14">
        <f>COUNTIF(경기기록Sheet!$E:$H,B82)</f>
        <v>1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1</v>
      </c>
      <c r="H82" s="14">
        <f>COUNTIF(경기기록Sheet!$V:$V,B82)</f>
        <v>0</v>
      </c>
      <c r="I82" s="14">
        <f t="shared" si="10"/>
        <v>2</v>
      </c>
      <c r="J82" s="15"/>
    </row>
    <row r="83" spans="1:10" x14ac:dyDescent="0.25">
      <c r="A83" s="2">
        <f>종합Sheet!A83</f>
        <v>80</v>
      </c>
      <c r="B83" s="2" t="str">
        <f>종합Sheet!B83</f>
        <v>이상현</v>
      </c>
      <c r="C83" s="2">
        <f t="shared" si="9"/>
        <v>2.5</v>
      </c>
      <c r="D83" s="14">
        <f>COUNTIF(경기기록Sheet!$E:$H,B83)</f>
        <v>1</v>
      </c>
      <c r="E83" s="14">
        <f>COUNTIF(경기기록Sheet!$I:$L,B83)</f>
        <v>3</v>
      </c>
      <c r="F83" s="14">
        <f>COUNTIF(경기기록Sheet!$M:$P,B83)</f>
        <v>5</v>
      </c>
      <c r="G83" s="14">
        <f>COUNTIF(경기기록Sheet!$Q:$U,B83)</f>
        <v>1</v>
      </c>
      <c r="H83" s="14">
        <f>COUNTIF(경기기록Sheet!$V:$V,B83)</f>
        <v>0</v>
      </c>
      <c r="I83" s="14">
        <f t="shared" si="10"/>
        <v>10</v>
      </c>
      <c r="J83" s="15"/>
    </row>
    <row r="84" spans="1:10" x14ac:dyDescent="0.25">
      <c r="A84" s="2">
        <f>종합Sheet!A84</f>
        <v>81</v>
      </c>
      <c r="B84" s="2" t="str">
        <f>종합Sheet!B84</f>
        <v>이새샘</v>
      </c>
      <c r="C84" s="2">
        <f t="shared" si="9"/>
        <v>2.4000000000000004</v>
      </c>
      <c r="D84" s="14">
        <f>COUNTIF(경기기록Sheet!$E:$H,B84)</f>
        <v>0</v>
      </c>
      <c r="E84" s="14">
        <f>COUNTIF(경기기록Sheet!$I:$L,B84)</f>
        <v>1</v>
      </c>
      <c r="F84" s="14">
        <f>COUNTIF(경기기록Sheet!$M:$P,B84)</f>
        <v>0</v>
      </c>
      <c r="G84" s="14">
        <f>COUNTIF(경기기록Sheet!$Q:$U,B84)</f>
        <v>9</v>
      </c>
      <c r="H84" s="14">
        <f>COUNTIF(경기기록Sheet!$V:$V,B84)</f>
        <v>2</v>
      </c>
      <c r="I84" s="14">
        <f t="shared" si="10"/>
        <v>12</v>
      </c>
      <c r="J84" s="15"/>
    </row>
    <row r="85" spans="1:10" x14ac:dyDescent="0.25">
      <c r="A85" s="2">
        <f>종합Sheet!A85</f>
        <v>82</v>
      </c>
      <c r="B85" s="2" t="str">
        <f>종합Sheet!B85</f>
        <v>이성관</v>
      </c>
      <c r="C85" s="2">
        <f t="shared" si="9"/>
        <v>1.4000000000000001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6</v>
      </c>
      <c r="H85" s="14">
        <f>COUNTIF(경기기록Sheet!$V:$V,B85)</f>
        <v>1</v>
      </c>
      <c r="I85" s="14">
        <f t="shared" si="10"/>
        <v>7</v>
      </c>
      <c r="J85" s="15"/>
    </row>
    <row r="86" spans="1:10" x14ac:dyDescent="0.25">
      <c r="A86" s="2">
        <f>종합Sheet!A86</f>
        <v>83</v>
      </c>
      <c r="B86" s="2" t="str">
        <f>종합Sheet!B86</f>
        <v>이승윤</v>
      </c>
      <c r="C86" s="2">
        <f t="shared" si="9"/>
        <v>2</v>
      </c>
      <c r="D86" s="14">
        <f>COUNTIF(경기기록Sheet!$E:$H,B86)</f>
        <v>1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9</v>
      </c>
      <c r="H86" s="14">
        <f>COUNTIF(경기기록Sheet!$V:$V,B86)</f>
        <v>0</v>
      </c>
      <c r="I86" s="14">
        <f t="shared" si="10"/>
        <v>10</v>
      </c>
      <c r="J86" s="15"/>
    </row>
    <row r="87" spans="1:10" x14ac:dyDescent="0.25">
      <c r="A87" s="2">
        <f>종합Sheet!A87</f>
        <v>84</v>
      </c>
      <c r="B87" s="2" t="str">
        <f>종합Sheet!B87</f>
        <v>이연길</v>
      </c>
      <c r="C87" s="2">
        <f t="shared" si="9"/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2</v>
      </c>
      <c r="J87" s="15"/>
    </row>
    <row r="88" spans="1:10" x14ac:dyDescent="0.25">
      <c r="A88" s="2">
        <f>종합Sheet!A88</f>
        <v>85</v>
      </c>
      <c r="B88" s="2" t="str">
        <f>종합Sheet!B88</f>
        <v>이영준</v>
      </c>
      <c r="C88" s="2">
        <f t="shared" si="9"/>
        <v>0.90000000000000013</v>
      </c>
      <c r="D88" s="14">
        <f>COUNTIF(경기기록Sheet!$E:$H,B88)</f>
        <v>1</v>
      </c>
      <c r="E88" s="14">
        <f>COUNTIF(경기기록Sheet!$I:$L,B88)</f>
        <v>0</v>
      </c>
      <c r="F88" s="14">
        <f>COUNTIF(경기기록Sheet!$M:$P,B88)</f>
        <v>1</v>
      </c>
      <c r="G88" s="14">
        <f>COUNTIF(경기기록Sheet!$Q:$U,B88)</f>
        <v>2</v>
      </c>
      <c r="H88" s="14">
        <f>COUNTIF(경기기록Sheet!$V:$V,B88)</f>
        <v>0</v>
      </c>
      <c r="I88" s="14">
        <f t="shared" si="10"/>
        <v>4</v>
      </c>
      <c r="J88" s="15"/>
    </row>
    <row r="89" spans="1:10" x14ac:dyDescent="0.25">
      <c r="A89" s="2">
        <f>종합Sheet!A89</f>
        <v>86</v>
      </c>
      <c r="B89" s="2" t="str">
        <f>종합Sheet!B89</f>
        <v>이정범</v>
      </c>
      <c r="C89" s="2">
        <f t="shared" si="9"/>
        <v>1.2000000000000002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5</v>
      </c>
      <c r="H89" s="14">
        <f>COUNTIF(경기기록Sheet!$V:$V,B89)</f>
        <v>1</v>
      </c>
      <c r="I89" s="14">
        <f t="shared" si="10"/>
        <v>6</v>
      </c>
      <c r="J89" s="15"/>
    </row>
    <row r="90" spans="1:10" x14ac:dyDescent="0.25">
      <c r="A90" s="2">
        <f>종합Sheet!A90</f>
        <v>87</v>
      </c>
      <c r="B90" s="2" t="str">
        <f>종합Sheet!B90</f>
        <v>이종수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이현택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이호행</v>
      </c>
      <c r="C95" s="2">
        <f t="shared" si="9"/>
        <v>0.8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4</v>
      </c>
      <c r="H95" s="14">
        <f>COUNTIF(경기기록Sheet!$V:$V,B95)</f>
        <v>0</v>
      </c>
      <c r="I95" s="14">
        <f t="shared" si="10"/>
        <v>4</v>
      </c>
      <c r="J95" s="15"/>
    </row>
    <row r="96" spans="1:10" x14ac:dyDescent="0.25">
      <c r="A96" s="2">
        <f>종합Sheet!A96</f>
        <v>93</v>
      </c>
      <c r="B96" s="2" t="str">
        <f>종합Sheet!B96</f>
        <v>임수철</v>
      </c>
      <c r="C96" s="2">
        <f t="shared" si="9"/>
        <v>0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0</v>
      </c>
      <c r="H96" s="14">
        <f>COUNTIF(경기기록Sheet!$V:$V,B96)</f>
        <v>0</v>
      </c>
      <c r="I96" s="14">
        <f t="shared" si="10"/>
        <v>0</v>
      </c>
      <c r="J96" s="15"/>
    </row>
    <row r="97" spans="1:10" x14ac:dyDescent="0.25">
      <c r="A97" s="2">
        <f>종합Sheet!A97</f>
        <v>94</v>
      </c>
      <c r="B97" s="2" t="str">
        <f>종합Sheet!B97</f>
        <v>임태환</v>
      </c>
      <c r="C97" s="2">
        <f t="shared" si="9"/>
        <v>3.7</v>
      </c>
      <c r="D97" s="14">
        <f>COUNTIF(경기기록Sheet!$E:$H,B97)</f>
        <v>11</v>
      </c>
      <c r="E97" s="14">
        <f>COUNTIF(경기기록Sheet!$I:$L,B97)</f>
        <v>2</v>
      </c>
      <c r="F97" s="14">
        <f>COUNTIF(경기기록Sheet!$M:$P,B97)</f>
        <v>3</v>
      </c>
      <c r="G97" s="14">
        <f>COUNTIF(경기기록Sheet!$Q:$U,B97)</f>
        <v>0</v>
      </c>
      <c r="H97" s="14">
        <f>COUNTIF(경기기록Sheet!$V:$V,B97)</f>
        <v>1</v>
      </c>
      <c r="I97" s="14">
        <f t="shared" si="10"/>
        <v>17</v>
      </c>
      <c r="J97" s="15"/>
    </row>
    <row r="98" spans="1:10" x14ac:dyDescent="0.25">
      <c r="A98" s="2">
        <f>종합Sheet!A98</f>
        <v>95</v>
      </c>
      <c r="B98" s="2" t="str">
        <f>종합Sheet!B98</f>
        <v>장희도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장희준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전나현</v>
      </c>
      <c r="C100" s="2">
        <f t="shared" ref="C100:C131" si="11">((D100+E100+G100+H100)*0.2)+(F100*0.3)</f>
        <v>2.2000000000000002</v>
      </c>
      <c r="D100" s="14">
        <f>COUNTIF(경기기록Sheet!$E:$H,B100)</f>
        <v>1</v>
      </c>
      <c r="E100" s="14">
        <f>COUNTIF(경기기록Sheet!$I:$L,B100)</f>
        <v>4</v>
      </c>
      <c r="F100" s="14">
        <f>COUNTIF(경기기록Sheet!$M:$P,B100)</f>
        <v>4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31" si="12">SUM(D100:H100)</f>
        <v>9</v>
      </c>
      <c r="J100" s="15"/>
    </row>
    <row r="101" spans="1:10" x14ac:dyDescent="0.25">
      <c r="A101" s="2">
        <f>종합Sheet!A101</f>
        <v>98</v>
      </c>
      <c r="B101" s="2" t="str">
        <f>종합Sheet!B101</f>
        <v>전성환</v>
      </c>
      <c r="C101" s="2">
        <f t="shared" si="11"/>
        <v>0.2</v>
      </c>
      <c r="D101" s="14">
        <f>COUNTIF(경기기록Sheet!$E:$H,B101)</f>
        <v>1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0</v>
      </c>
      <c r="H101" s="14">
        <f>COUNTIF(경기기록Sheet!$V:$V,B101)</f>
        <v>0</v>
      </c>
      <c r="I101" s="14">
        <f t="shared" si="12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전하늘</v>
      </c>
      <c r="C102" s="2">
        <f t="shared" si="11"/>
        <v>0.7</v>
      </c>
      <c r="D102" s="14">
        <f>COUNTIF(경기기록Sheet!$E:$H,B102)</f>
        <v>0</v>
      </c>
      <c r="E102" s="14">
        <f>COUNTIF(경기기록Sheet!$I:$L,B102)</f>
        <v>1</v>
      </c>
      <c r="F102" s="14">
        <f>COUNTIF(경기기록Sheet!$M:$P,B102)</f>
        <v>1</v>
      </c>
      <c r="G102" s="14">
        <f>COUNTIF(경기기록Sheet!$Q:$U,B102)</f>
        <v>1</v>
      </c>
      <c r="H102" s="14">
        <f>COUNTIF(경기기록Sheet!$V:$V,B102)</f>
        <v>0</v>
      </c>
      <c r="I102" s="14">
        <f t="shared" si="12"/>
        <v>3</v>
      </c>
      <c r="J102" s="15"/>
    </row>
    <row r="103" spans="1:10" x14ac:dyDescent="0.25">
      <c r="A103" s="2">
        <f>종합Sheet!A103</f>
        <v>100</v>
      </c>
      <c r="B103" s="2" t="str">
        <f>종합Sheet!B103</f>
        <v>정민수</v>
      </c>
      <c r="C103" s="2">
        <f t="shared" si="11"/>
        <v>4.8000000000000007</v>
      </c>
      <c r="D103" s="14">
        <f>COUNTIF(경기기록Sheet!$E:$H,B103)</f>
        <v>1</v>
      </c>
      <c r="E103" s="14">
        <f>COUNTIF(경기기록Sheet!$I:$L,B103)</f>
        <v>3</v>
      </c>
      <c r="F103" s="14">
        <f>COUNTIF(경기기록Sheet!$M:$P,B103)</f>
        <v>0</v>
      </c>
      <c r="G103" s="14">
        <f>COUNTIF(경기기록Sheet!$Q:$U,B103)</f>
        <v>20</v>
      </c>
      <c r="H103" s="14">
        <f>COUNTIF(경기기록Sheet!$V:$V,B103)</f>
        <v>0</v>
      </c>
      <c r="I103" s="14">
        <f t="shared" si="12"/>
        <v>24</v>
      </c>
      <c r="J103" s="15"/>
    </row>
    <row r="104" spans="1:10" x14ac:dyDescent="0.25">
      <c r="A104" s="2">
        <f>종합Sheet!A104</f>
        <v>101</v>
      </c>
      <c r="B104" s="2" t="str">
        <f>종합Sheet!B104</f>
        <v>정재명</v>
      </c>
      <c r="C104" s="2">
        <f t="shared" si="11"/>
        <v>2.4000000000000004</v>
      </c>
      <c r="D104" s="14">
        <f>COUNTIF(경기기록Sheet!$E:$H,B104)</f>
        <v>9</v>
      </c>
      <c r="E104" s="14">
        <f>COUNTIF(경기기록Sheet!$I:$L,B104)</f>
        <v>3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12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11"/>
        <v>1.2000000000000002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2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5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11"/>
        <v>5.8000000000000007</v>
      </c>
      <c r="D106" s="14">
        <f>COUNTIF(경기기록Sheet!$E:$H,B106)</f>
        <v>5</v>
      </c>
      <c r="E106" s="14">
        <f>COUNTIF(경기기록Sheet!$I:$L,B106)</f>
        <v>3</v>
      </c>
      <c r="F106" s="14">
        <f>COUNTIF(경기기록Sheet!$M:$P,B106)</f>
        <v>14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22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11"/>
        <v>2.4000000000000004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12</v>
      </c>
      <c r="H107" s="14">
        <f>COUNTIF(경기기록Sheet!$V:$V,B107)</f>
        <v>0</v>
      </c>
      <c r="I107" s="14">
        <f t="shared" si="12"/>
        <v>12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11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2"/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 t="shared" si="11"/>
        <v>4.6000000000000005</v>
      </c>
      <c r="D109" s="14">
        <f>COUNTIF(경기기록Sheet!$E:$H,B109)</f>
        <v>2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16</v>
      </c>
      <c r="H109" s="14">
        <f>COUNTIF(경기기록Sheet!$V:$V,B109)</f>
        <v>2</v>
      </c>
      <c r="I109" s="14">
        <f t="shared" si="12"/>
        <v>23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 t="shared" si="11"/>
        <v>2.8000000000000003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13</v>
      </c>
      <c r="H111" s="14">
        <f>COUNTIF(경기기록Sheet!$V:$V,B111)</f>
        <v>0</v>
      </c>
      <c r="I111" s="14">
        <f t="shared" si="12"/>
        <v>14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 t="shared" si="11"/>
        <v>1.6</v>
      </c>
      <c r="D112" s="14">
        <f>COUNTIF(경기기록Sheet!$E:$H,B112)</f>
        <v>0</v>
      </c>
      <c r="E112" s="14">
        <f>COUNTIF(경기기록Sheet!$I:$L,B112)</f>
        <v>2</v>
      </c>
      <c r="F112" s="14">
        <f>COUNTIF(경기기록Sheet!$M:$P,B112)</f>
        <v>0</v>
      </c>
      <c r="G112" s="14">
        <f>COUNTIF(경기기록Sheet!$Q:$U,B112)</f>
        <v>6</v>
      </c>
      <c r="H112" s="14">
        <f>COUNTIF(경기기록Sheet!$V:$V,B112)</f>
        <v>0</v>
      </c>
      <c r="I112" s="14">
        <f t="shared" si="12"/>
        <v>8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 t="shared" si="11"/>
        <v>1.8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8</v>
      </c>
      <c r="H113" s="14">
        <f>COUNTIF(경기기록Sheet!$V:$V,B113)</f>
        <v>1</v>
      </c>
      <c r="I113" s="14">
        <f t="shared" si="12"/>
        <v>9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 t="shared" si="11"/>
        <v>2.6</v>
      </c>
      <c r="D114" s="14">
        <f>COUNTIF(경기기록Sheet!$E:$H,B114)</f>
        <v>6</v>
      </c>
      <c r="E114" s="14">
        <f>COUNTIF(경기기록Sheet!$I:$L,B114)</f>
        <v>3</v>
      </c>
      <c r="F114" s="14">
        <f>COUNTIF(경기기록Sheet!$M:$P,B114)</f>
        <v>2</v>
      </c>
      <c r="G114" s="14">
        <f>COUNTIF(경기기록Sheet!$Q:$U,B114)</f>
        <v>0</v>
      </c>
      <c r="H114" s="14">
        <f>COUNTIF(경기기록Sheet!$V:$V,B114)</f>
        <v>1</v>
      </c>
      <c r="I114" s="14">
        <f t="shared" si="12"/>
        <v>12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 t="shared" si="11"/>
        <v>1.6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2</v>
      </c>
      <c r="G115" s="14">
        <f>COUNTIF(경기기록Sheet!$Q:$U,B115)</f>
        <v>1</v>
      </c>
      <c r="H115" s="14">
        <f>COUNTIF(경기기록Sheet!$V:$V,B115)</f>
        <v>1</v>
      </c>
      <c r="I115" s="14">
        <f t="shared" si="12"/>
        <v>7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 t="shared" si="11"/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 t="shared" si="12"/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 t="shared" si="11"/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 t="shared" si="11"/>
        <v>3.0000000000000004</v>
      </c>
      <c r="D118" s="14">
        <f>COUNTIF(경기기록Sheet!$E:$H,B118)</f>
        <v>1</v>
      </c>
      <c r="E118" s="14">
        <f>COUNTIF(경기기록Sheet!$I:$L,B118)</f>
        <v>0</v>
      </c>
      <c r="F118" s="14">
        <f>COUNTIF(경기기록Sheet!$M:$P,B118)</f>
        <v>2</v>
      </c>
      <c r="G118" s="14">
        <f>COUNTIF(경기기록Sheet!$Q:$U,B118)</f>
        <v>10</v>
      </c>
      <c r="H118" s="14">
        <f>COUNTIF(경기기록Sheet!$V:$V,B118)</f>
        <v>1</v>
      </c>
      <c r="I118" s="14">
        <f t="shared" si="12"/>
        <v>14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 t="shared" si="11"/>
        <v>0.4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2</v>
      </c>
      <c r="H119" s="14">
        <f>COUNTIF(경기기록Sheet!$V:$V,B119)</f>
        <v>0</v>
      </c>
      <c r="I119" s="14">
        <f t="shared" si="12"/>
        <v>2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 t="shared" si="11"/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3.2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10</v>
      </c>
      <c r="I123" s="14">
        <f t="shared" si="12"/>
        <v>16</v>
      </c>
    </row>
    <row r="124" spans="1:9" x14ac:dyDescent="0.25">
      <c r="A124" s="2">
        <f>종합Sheet!A124</f>
        <v>121</v>
      </c>
      <c r="B124" s="2" t="str">
        <f>종합Sheet!B124</f>
        <v>박지수</v>
      </c>
      <c r="C124" s="2">
        <f t="shared" si="11"/>
        <v>0.60000000000000009</v>
      </c>
      <c r="D124" s="14">
        <f>COUNTIF(경기기록Sheet!$E:$H,B124)</f>
        <v>0</v>
      </c>
      <c r="E124" s="14">
        <f>COUNTIF(경기기록Sheet!$I:$L,B124)</f>
        <v>0</v>
      </c>
      <c r="F124" s="14">
        <f>COUNTIF(경기기록Sheet!$M:$P,B124)</f>
        <v>0</v>
      </c>
      <c r="G124" s="14">
        <f>COUNTIF(경기기록Sheet!$Q:$U,B124)</f>
        <v>3</v>
      </c>
      <c r="H124" s="14">
        <f>COUNTIF(경기기록Sheet!$V:$V,B124)</f>
        <v>0</v>
      </c>
      <c r="I124" s="14">
        <f t="shared" si="12"/>
        <v>3</v>
      </c>
    </row>
  </sheetData>
  <phoneticPr fontId="2" type="noConversion"/>
  <conditionalFormatting sqref="D4:D124">
    <cfRule type="top10" dxfId="9" priority="953" rank="7"/>
  </conditionalFormatting>
  <conditionalFormatting sqref="E4:E124">
    <cfRule type="top10" dxfId="8" priority="954" rank="7"/>
  </conditionalFormatting>
  <conditionalFormatting sqref="F4:F124">
    <cfRule type="top10" dxfId="7" priority="955" rank="7"/>
  </conditionalFormatting>
  <conditionalFormatting sqref="G4:G124">
    <cfRule type="top10" dxfId="6" priority="956" rank="7"/>
  </conditionalFormatting>
  <conditionalFormatting sqref="H4:H124">
    <cfRule type="top10" dxfId="5" priority="957" rank="3"/>
    <cfRule type="top10" priority="958" rank="5"/>
  </conditionalFormatting>
  <conditionalFormatting sqref="I4:I124">
    <cfRule type="top10" dxfId="4" priority="959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145</v>
      </c>
      <c r="C3" s="2" t="s">
        <v>146</v>
      </c>
      <c r="D3" s="2" t="s">
        <v>152</v>
      </c>
      <c r="E3" s="2" t="s">
        <v>184</v>
      </c>
      <c r="F3" s="2"/>
      <c r="G3" s="2" t="s">
        <v>185</v>
      </c>
      <c r="H3" s="2"/>
      <c r="I3" s="2" t="s">
        <v>186</v>
      </c>
      <c r="J3" s="2"/>
      <c r="K3" s="2" t="s">
        <v>187</v>
      </c>
      <c r="L3" s="2"/>
      <c r="M3" s="2" t="s">
        <v>188</v>
      </c>
      <c r="N3" s="2"/>
      <c r="P3" s="39" t="s">
        <v>273</v>
      </c>
      <c r="Q3" s="40" t="s">
        <v>252</v>
      </c>
      <c r="R3" s="41" t="s">
        <v>272</v>
      </c>
    </row>
    <row r="4" spans="1:18" x14ac:dyDescent="0.25">
      <c r="A4" s="2">
        <v>1</v>
      </c>
      <c r="B4" s="2" t="s">
        <v>151</v>
      </c>
      <c r="C4" s="2" t="s">
        <v>183</v>
      </c>
      <c r="D4" s="2" t="s">
        <v>180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254</v>
      </c>
      <c r="R4" s="43" t="s">
        <v>267</v>
      </c>
    </row>
    <row r="5" spans="1:18" x14ac:dyDescent="0.25">
      <c r="A5" s="2">
        <v>2</v>
      </c>
      <c r="B5" s="2" t="s">
        <v>140</v>
      </c>
      <c r="C5" s="2" t="s">
        <v>147</v>
      </c>
      <c r="D5" s="2" t="s">
        <v>190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134</v>
      </c>
      <c r="L5" s="2">
        <v>12</v>
      </c>
      <c r="M5" s="2" t="s">
        <v>130</v>
      </c>
      <c r="N5" s="2">
        <v>10</v>
      </c>
      <c r="P5" s="42">
        <v>2</v>
      </c>
      <c r="Q5" s="2" t="s">
        <v>255</v>
      </c>
      <c r="R5" s="43" t="s">
        <v>268</v>
      </c>
    </row>
    <row r="6" spans="1:18" x14ac:dyDescent="0.25">
      <c r="A6" s="2">
        <v>3</v>
      </c>
      <c r="B6" s="2" t="s">
        <v>141</v>
      </c>
      <c r="C6" s="2" t="s">
        <v>148</v>
      </c>
      <c r="D6" s="2" t="s">
        <v>190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134</v>
      </c>
      <c r="N6" s="2">
        <v>8</v>
      </c>
      <c r="P6" s="42">
        <v>3</v>
      </c>
      <c r="Q6" s="2" t="s">
        <v>256</v>
      </c>
      <c r="R6" s="43" t="s">
        <v>266</v>
      </c>
    </row>
    <row r="7" spans="1:18" x14ac:dyDescent="0.25">
      <c r="A7" s="2">
        <v>4</v>
      </c>
      <c r="B7" s="2" t="s">
        <v>143</v>
      </c>
      <c r="C7" s="2" t="s">
        <v>149</v>
      </c>
      <c r="D7" s="2" t="s">
        <v>190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134</v>
      </c>
      <c r="L7" s="2">
        <v>19</v>
      </c>
      <c r="M7" s="2" t="s">
        <v>103</v>
      </c>
      <c r="N7" s="2">
        <v>17</v>
      </c>
      <c r="P7" s="42">
        <v>4</v>
      </c>
      <c r="Q7" s="2" t="s">
        <v>257</v>
      </c>
      <c r="R7" s="43" t="s">
        <v>269</v>
      </c>
    </row>
    <row r="8" spans="1:18" x14ac:dyDescent="0.25">
      <c r="A8" s="2">
        <v>5</v>
      </c>
      <c r="B8" s="2" t="s">
        <v>142</v>
      </c>
      <c r="C8" s="2" t="s">
        <v>150</v>
      </c>
      <c r="D8" s="2" t="s">
        <v>191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133</v>
      </c>
      <c r="N8" s="2">
        <v>24</v>
      </c>
      <c r="P8" s="42">
        <v>5</v>
      </c>
      <c r="Q8" s="2" t="s">
        <v>253</v>
      </c>
      <c r="R8" s="43" t="s">
        <v>269</v>
      </c>
    </row>
    <row r="9" spans="1:18" x14ac:dyDescent="0.25">
      <c r="A9" s="2">
        <v>6</v>
      </c>
      <c r="B9" s="2" t="s">
        <v>144</v>
      </c>
      <c r="C9" s="2" t="s">
        <v>150</v>
      </c>
      <c r="D9" s="2" t="s">
        <v>190</v>
      </c>
      <c r="E9" s="29" t="s">
        <v>108</v>
      </c>
      <c r="F9" s="29">
        <v>34</v>
      </c>
      <c r="G9" s="2" t="s">
        <v>161</v>
      </c>
      <c r="H9" s="2">
        <v>15</v>
      </c>
      <c r="I9" s="2" t="s">
        <v>189</v>
      </c>
      <c r="J9" s="2">
        <v>8</v>
      </c>
      <c r="K9" s="2"/>
      <c r="L9" s="2"/>
      <c r="M9" s="2"/>
      <c r="N9" s="2"/>
      <c r="P9" s="42">
        <v>6</v>
      </c>
      <c r="Q9" s="2" t="s">
        <v>258</v>
      </c>
      <c r="R9" s="43" t="s">
        <v>270</v>
      </c>
    </row>
    <row r="10" spans="1:18" x14ac:dyDescent="0.25">
      <c r="A10" s="82">
        <v>7</v>
      </c>
      <c r="B10" s="82" t="s">
        <v>156</v>
      </c>
      <c r="C10" s="82" t="s">
        <v>157</v>
      </c>
      <c r="D10" s="82" t="s">
        <v>192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259</v>
      </c>
      <c r="R10" s="43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134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260</v>
      </c>
      <c r="R11" s="43"/>
    </row>
    <row r="12" spans="1:18" x14ac:dyDescent="0.25">
      <c r="A12" s="2">
        <v>8</v>
      </c>
      <c r="B12" s="2" t="s">
        <v>153</v>
      </c>
      <c r="C12" s="2" t="s">
        <v>159</v>
      </c>
      <c r="D12" s="2" t="s">
        <v>160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135</v>
      </c>
      <c r="L12" s="2">
        <v>23</v>
      </c>
      <c r="M12" s="2" t="s">
        <v>130</v>
      </c>
      <c r="N12" s="2">
        <v>23</v>
      </c>
      <c r="P12" s="42">
        <v>9</v>
      </c>
      <c r="Q12" s="2" t="s">
        <v>261</v>
      </c>
      <c r="R12" s="43"/>
    </row>
    <row r="13" spans="1:18" x14ac:dyDescent="0.25">
      <c r="A13" s="2">
        <v>9</v>
      </c>
      <c r="B13" s="2" t="s">
        <v>154</v>
      </c>
      <c r="C13" s="2" t="s">
        <v>158</v>
      </c>
      <c r="D13" s="2" t="s">
        <v>160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243</v>
      </c>
      <c r="R13" s="43"/>
    </row>
    <row r="14" spans="1:18" x14ac:dyDescent="0.25">
      <c r="A14" s="2">
        <v>10</v>
      </c>
      <c r="B14" s="2" t="s">
        <v>155</v>
      </c>
      <c r="C14" s="2" t="s">
        <v>175</v>
      </c>
      <c r="D14" s="2" t="s">
        <v>160</v>
      </c>
      <c r="E14" s="29" t="s">
        <v>135</v>
      </c>
      <c r="F14" s="29">
        <v>23</v>
      </c>
      <c r="G14" s="29" t="s">
        <v>130</v>
      </c>
      <c r="H14" s="29">
        <v>23</v>
      </c>
      <c r="I14" s="26" t="s">
        <v>134</v>
      </c>
      <c r="J14" s="26">
        <v>22</v>
      </c>
      <c r="K14" s="2" t="s">
        <v>125</v>
      </c>
      <c r="L14" s="2">
        <v>20</v>
      </c>
      <c r="M14" s="2" t="s">
        <v>133</v>
      </c>
      <c r="N14" s="2">
        <v>19</v>
      </c>
      <c r="P14" s="42">
        <v>11</v>
      </c>
      <c r="Q14" s="2" t="s">
        <v>262</v>
      </c>
      <c r="R14" s="43"/>
    </row>
    <row r="15" spans="1:18" x14ac:dyDescent="0.25">
      <c r="A15" s="2">
        <v>11</v>
      </c>
      <c r="B15" s="2" t="s">
        <v>176</v>
      </c>
      <c r="C15" s="2" t="s">
        <v>177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263</v>
      </c>
      <c r="R15" s="43" t="s">
        <v>271</v>
      </c>
    </row>
    <row r="16" spans="1:18" x14ac:dyDescent="0.25">
      <c r="P16" s="42">
        <v>13</v>
      </c>
      <c r="Q16" s="2" t="s">
        <v>264</v>
      </c>
      <c r="R16" s="43" t="s">
        <v>271</v>
      </c>
    </row>
    <row r="17" spans="1:18" x14ac:dyDescent="0.25">
      <c r="A17" s="30" t="s">
        <v>193</v>
      </c>
      <c r="P17" s="42">
        <v>14</v>
      </c>
      <c r="Q17" s="2" t="s">
        <v>242</v>
      </c>
      <c r="R17" s="43" t="s">
        <v>271</v>
      </c>
    </row>
    <row r="18" spans="1:18" ht="16.2" thickBot="1" x14ac:dyDescent="0.3">
      <c r="A18" s="30" t="s">
        <v>194</v>
      </c>
      <c r="P18" s="44">
        <v>15</v>
      </c>
      <c r="Q18" s="45" t="s">
        <v>265</v>
      </c>
      <c r="R18" s="46" t="s">
        <v>271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2" t="s">
        <v>184</v>
      </c>
      <c r="E2" s="92"/>
      <c r="F2" s="92"/>
      <c r="G2" s="92"/>
      <c r="H2" s="92"/>
      <c r="J2" s="84" t="s">
        <v>185</v>
      </c>
      <c r="K2" s="84"/>
      <c r="L2" s="84"/>
      <c r="M2" s="84"/>
      <c r="N2" s="84"/>
      <c r="P2" s="84" t="s">
        <v>186</v>
      </c>
      <c r="Q2" s="84"/>
      <c r="R2" s="84"/>
      <c r="S2" s="84"/>
      <c r="T2" s="84"/>
      <c r="U2" s="84"/>
      <c r="V2" s="84"/>
    </row>
    <row r="3" spans="1:22" x14ac:dyDescent="0.25">
      <c r="A3" s="1" t="s">
        <v>248</v>
      </c>
      <c r="B3" s="1" t="s">
        <v>226</v>
      </c>
      <c r="D3" s="92" t="s">
        <v>248</v>
      </c>
      <c r="E3" s="92"/>
      <c r="F3" s="47" t="s">
        <v>226</v>
      </c>
      <c r="G3" s="47" t="s">
        <v>275</v>
      </c>
      <c r="H3" s="47"/>
      <c r="J3" s="84" t="s">
        <v>248</v>
      </c>
      <c r="K3" s="84"/>
      <c r="L3" s="50" t="s">
        <v>226</v>
      </c>
      <c r="M3" s="50" t="s">
        <v>276</v>
      </c>
      <c r="N3" s="50" t="s">
        <v>277</v>
      </c>
      <c r="P3" s="84" t="s">
        <v>248</v>
      </c>
      <c r="Q3" s="84"/>
      <c r="R3" s="50" t="s">
        <v>226</v>
      </c>
      <c r="S3" s="50" t="s">
        <v>276</v>
      </c>
      <c r="T3" s="50" t="s">
        <v>277</v>
      </c>
      <c r="U3" s="50" t="s">
        <v>277</v>
      </c>
      <c r="V3" s="50" t="s">
        <v>277</v>
      </c>
    </row>
    <row r="4" spans="1:22" ht="15.6" customHeight="1" x14ac:dyDescent="0.25">
      <c r="A4" s="1" t="s">
        <v>151</v>
      </c>
      <c r="B4" s="1" t="s">
        <v>130</v>
      </c>
      <c r="D4" s="85" t="s">
        <v>245</v>
      </c>
      <c r="E4" s="48">
        <v>1</v>
      </c>
      <c r="F4" s="47" t="s">
        <v>278</v>
      </c>
      <c r="G4" s="47"/>
      <c r="H4" s="47"/>
      <c r="J4" s="88" t="s">
        <v>250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1" t="s">
        <v>251</v>
      </c>
      <c r="Q4" s="51">
        <v>1</v>
      </c>
      <c r="R4" s="50" t="s">
        <v>220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249</v>
      </c>
      <c r="B5" s="1" t="s">
        <v>97</v>
      </c>
      <c r="D5" s="86"/>
      <c r="E5" s="48">
        <v>2</v>
      </c>
      <c r="F5" s="49" t="s">
        <v>279</v>
      </c>
      <c r="G5" s="47" t="s">
        <v>151</v>
      </c>
      <c r="H5" s="47" t="s">
        <v>246</v>
      </c>
      <c r="J5" s="89"/>
      <c r="K5" s="51">
        <v>2</v>
      </c>
      <c r="L5" s="50" t="s">
        <v>220</v>
      </c>
      <c r="M5" s="51">
        <v>30</v>
      </c>
      <c r="N5" s="50" t="str">
        <f t="shared" ref="N5:N19" si="0">IF(1=COUNTIF($F$5:$F$15,L5),"수상","미수상")</f>
        <v>수상</v>
      </c>
      <c r="P5" s="91"/>
      <c r="Q5" s="51">
        <v>2</v>
      </c>
      <c r="R5" s="50" t="s">
        <v>228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244</v>
      </c>
      <c r="B6" s="1" t="s">
        <v>134</v>
      </c>
      <c r="D6" s="86"/>
      <c r="E6" s="48">
        <v>3</v>
      </c>
      <c r="F6" s="49" t="s">
        <v>280</v>
      </c>
      <c r="G6" s="47" t="s">
        <v>247</v>
      </c>
      <c r="H6" s="47"/>
      <c r="J6" s="89"/>
      <c r="K6" s="51">
        <v>3</v>
      </c>
      <c r="L6" s="50" t="s">
        <v>224</v>
      </c>
      <c r="M6" s="51">
        <v>30</v>
      </c>
      <c r="N6" s="50" t="str">
        <f t="shared" si="0"/>
        <v>수상</v>
      </c>
      <c r="P6" s="91"/>
      <c r="Q6" s="51">
        <v>3</v>
      </c>
      <c r="R6" s="50" t="s">
        <v>241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235</v>
      </c>
      <c r="B7" s="38" t="s">
        <v>134</v>
      </c>
      <c r="D7" s="86"/>
      <c r="E7" s="48">
        <v>4</v>
      </c>
      <c r="F7" s="49" t="s">
        <v>281</v>
      </c>
      <c r="G7" s="47" t="s">
        <v>247</v>
      </c>
      <c r="H7" s="47"/>
      <c r="J7" s="89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1"/>
      <c r="Q7" s="51">
        <v>4</v>
      </c>
      <c r="R7" s="50" t="s">
        <v>231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246</v>
      </c>
      <c r="B8" s="1" t="s">
        <v>97</v>
      </c>
      <c r="D8" s="86"/>
      <c r="E8" s="48">
        <v>5</v>
      </c>
      <c r="F8" s="49" t="s">
        <v>282</v>
      </c>
      <c r="G8" s="47"/>
      <c r="H8" s="47"/>
      <c r="J8" s="89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1"/>
      <c r="Q8" s="51">
        <v>5</v>
      </c>
      <c r="R8" s="50" t="s">
        <v>221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247</v>
      </c>
      <c r="B9" s="1" t="s">
        <v>118</v>
      </c>
      <c r="D9" s="86"/>
      <c r="E9" s="48">
        <v>6</v>
      </c>
      <c r="F9" s="49" t="s">
        <v>283</v>
      </c>
      <c r="G9" s="47"/>
      <c r="H9" s="47"/>
      <c r="J9" s="89"/>
      <c r="K9" s="51">
        <v>6</v>
      </c>
      <c r="L9" s="50" t="s">
        <v>223</v>
      </c>
      <c r="M9" s="51">
        <v>27</v>
      </c>
      <c r="N9" s="50" t="str">
        <f t="shared" si="0"/>
        <v>수상</v>
      </c>
      <c r="P9" s="91"/>
      <c r="Q9" s="51">
        <v>6</v>
      </c>
      <c r="R9" s="50" t="s">
        <v>286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247</v>
      </c>
      <c r="B10" s="1" t="s">
        <v>108</v>
      </c>
      <c r="D10" s="86"/>
      <c r="E10" s="48">
        <v>7</v>
      </c>
      <c r="F10" s="49" t="s">
        <v>284</v>
      </c>
      <c r="G10" s="47" t="s">
        <v>151</v>
      </c>
      <c r="H10" s="47"/>
      <c r="J10" s="89"/>
      <c r="K10" s="51">
        <v>7</v>
      </c>
      <c r="L10" s="50" t="s">
        <v>232</v>
      </c>
      <c r="M10" s="51">
        <v>27</v>
      </c>
      <c r="N10" s="50" t="str">
        <f t="shared" si="0"/>
        <v>수상</v>
      </c>
      <c r="P10" s="91"/>
      <c r="Q10" s="51">
        <v>7</v>
      </c>
      <c r="R10" s="52" t="s">
        <v>293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6"/>
      <c r="E11" s="48">
        <v>8</v>
      </c>
      <c r="F11" s="49" t="s">
        <v>285</v>
      </c>
      <c r="G11" s="47"/>
      <c r="H11" s="47"/>
      <c r="J11" s="89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1"/>
      <c r="Q11" s="51">
        <v>8</v>
      </c>
      <c r="R11" s="52" t="s">
        <v>229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6"/>
      <c r="E12" s="48">
        <v>9</v>
      </c>
      <c r="F12" s="49" t="s">
        <v>286</v>
      </c>
      <c r="G12" s="47" t="s">
        <v>244</v>
      </c>
      <c r="H12" s="47" t="s">
        <v>235</v>
      </c>
      <c r="J12" s="89"/>
      <c r="K12" s="51">
        <v>9</v>
      </c>
      <c r="L12" s="50" t="s">
        <v>228</v>
      </c>
      <c r="M12" s="51">
        <v>26</v>
      </c>
      <c r="N12" s="50" t="str">
        <f t="shared" si="0"/>
        <v>수상</v>
      </c>
      <c r="P12" s="91"/>
      <c r="Q12" s="51">
        <v>9</v>
      </c>
      <c r="R12" s="52" t="s">
        <v>212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6"/>
      <c r="E13" s="48">
        <v>10</v>
      </c>
      <c r="F13" s="49" t="s">
        <v>287</v>
      </c>
      <c r="G13" s="47"/>
      <c r="H13" s="47"/>
      <c r="J13" s="89"/>
      <c r="K13" s="51">
        <v>10</v>
      </c>
      <c r="L13" s="52" t="s">
        <v>241</v>
      </c>
      <c r="M13" s="51">
        <v>25</v>
      </c>
      <c r="N13" s="50" t="str">
        <f t="shared" si="0"/>
        <v>미수상</v>
      </c>
      <c r="P13" s="91"/>
      <c r="Q13" s="51">
        <v>10</v>
      </c>
      <c r="R13" s="52" t="s">
        <v>230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6"/>
      <c r="E14" s="48">
        <v>11</v>
      </c>
      <c r="F14" s="49" t="s">
        <v>288</v>
      </c>
      <c r="G14" s="47"/>
      <c r="H14" s="47"/>
      <c r="J14" s="89"/>
      <c r="K14" s="51">
        <v>11</v>
      </c>
      <c r="L14" s="52" t="s">
        <v>231</v>
      </c>
      <c r="M14" s="51">
        <v>25</v>
      </c>
      <c r="N14" s="50" t="str">
        <f t="shared" si="0"/>
        <v>미수상</v>
      </c>
      <c r="P14" s="91"/>
      <c r="Q14" s="51">
        <v>11</v>
      </c>
      <c r="R14" s="50" t="s">
        <v>227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6"/>
      <c r="E15" s="48">
        <v>12</v>
      </c>
      <c r="F15" s="49" t="s">
        <v>289</v>
      </c>
      <c r="G15" s="47"/>
      <c r="H15" s="47"/>
      <c r="J15" s="89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1"/>
      <c r="Q15" s="51">
        <v>12</v>
      </c>
      <c r="R15" s="50" t="s">
        <v>274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6"/>
      <c r="E16" s="48">
        <v>13</v>
      </c>
      <c r="F16" s="47" t="s">
        <v>290</v>
      </c>
      <c r="G16" s="47"/>
      <c r="H16" s="47"/>
      <c r="J16" s="89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1"/>
      <c r="Q16" s="51">
        <v>13</v>
      </c>
      <c r="R16" s="50" t="s">
        <v>294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6"/>
      <c r="E17" s="48">
        <v>14</v>
      </c>
      <c r="F17" s="47" t="s">
        <v>291</v>
      </c>
      <c r="G17" s="47"/>
      <c r="H17" s="47"/>
      <c r="J17" s="89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7"/>
      <c r="E18" s="48">
        <v>15</v>
      </c>
      <c r="F18" s="47" t="s">
        <v>292</v>
      </c>
      <c r="G18" s="47"/>
      <c r="H18" s="47"/>
      <c r="J18" s="89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90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248</v>
      </c>
      <c r="C2" s="92"/>
      <c r="D2" s="47" t="s">
        <v>276</v>
      </c>
      <c r="E2" s="47" t="s">
        <v>329</v>
      </c>
      <c r="F2" s="47" t="s">
        <v>328</v>
      </c>
      <c r="G2" s="47" t="s">
        <v>329</v>
      </c>
      <c r="I2" s="99" t="s">
        <v>248</v>
      </c>
      <c r="J2" s="99"/>
      <c r="K2" s="65" t="s">
        <v>276</v>
      </c>
      <c r="L2" s="65" t="s">
        <v>329</v>
      </c>
      <c r="N2" s="92" t="s">
        <v>248</v>
      </c>
      <c r="O2" s="92"/>
      <c r="P2" s="47" t="s">
        <v>276</v>
      </c>
      <c r="Q2" s="47" t="s">
        <v>329</v>
      </c>
      <c r="R2" s="47" t="s">
        <v>328</v>
      </c>
      <c r="S2" s="47" t="s">
        <v>329</v>
      </c>
    </row>
    <row r="3" spans="2:19" x14ac:dyDescent="0.25">
      <c r="B3" s="100" t="s">
        <v>335</v>
      </c>
      <c r="C3" s="72">
        <v>1</v>
      </c>
      <c r="D3" s="70" t="s">
        <v>298</v>
      </c>
      <c r="E3" s="70">
        <f>VLOOKUP(D3,종합Sheet!$B$3:$I$123,8,0)</f>
        <v>16</v>
      </c>
      <c r="F3" s="70" t="s">
        <v>298</v>
      </c>
      <c r="G3" s="61">
        <f>VLOOKUP(F3,종합Sheet!$B$3:$I$123,7,0)</f>
        <v>19.600000000000001</v>
      </c>
      <c r="I3" s="95" t="s">
        <v>330</v>
      </c>
      <c r="J3" s="68">
        <v>1</v>
      </c>
      <c r="K3" s="69" t="s">
        <v>299</v>
      </c>
      <c r="L3" s="69">
        <v>16</v>
      </c>
      <c r="N3" s="85" t="s">
        <v>251</v>
      </c>
      <c r="O3" s="48">
        <v>1</v>
      </c>
      <c r="P3" s="62" t="s">
        <v>298</v>
      </c>
      <c r="Q3" s="62">
        <f>VLOOKUP(P3,종합Sheet!$B$3:$I$123,8,0)</f>
        <v>16</v>
      </c>
      <c r="R3" s="62" t="s">
        <v>298</v>
      </c>
      <c r="S3" s="63">
        <f>VLOOKUP(R3,종합Sheet!$B$3:$I$123,7,0)</f>
        <v>19.600000000000001</v>
      </c>
    </row>
    <row r="4" spans="2:19" x14ac:dyDescent="0.25">
      <c r="B4" s="86"/>
      <c r="C4" s="48">
        <v>2</v>
      </c>
      <c r="D4" s="62" t="s">
        <v>50</v>
      </c>
      <c r="E4" s="62">
        <f>VLOOKUP(D4,종합Sheet!$B$3:$I$123,8,0)</f>
        <v>22</v>
      </c>
      <c r="F4" s="70" t="s">
        <v>224</v>
      </c>
      <c r="G4" s="61">
        <f>VLOOKUP(F4,종합Sheet!$B$3:$I$123,7,0)</f>
        <v>7.2</v>
      </c>
      <c r="I4" s="96"/>
      <c r="J4" s="66">
        <v>2</v>
      </c>
      <c r="K4" s="65" t="s">
        <v>223</v>
      </c>
      <c r="L4" s="65">
        <v>15</v>
      </c>
      <c r="N4" s="86"/>
      <c r="O4" s="48">
        <v>2</v>
      </c>
      <c r="P4" s="62" t="s">
        <v>221</v>
      </c>
      <c r="Q4" s="62">
        <f>VLOOKUP(P4,종합Sheet!$B$3:$I$123,8,0)</f>
        <v>23</v>
      </c>
      <c r="R4" s="62" t="s">
        <v>221</v>
      </c>
      <c r="S4" s="63">
        <f>VLOOKUP(R4,종합Sheet!$B$3:$I$123,7,0)</f>
        <v>33.4</v>
      </c>
    </row>
    <row r="5" spans="2:19" x14ac:dyDescent="0.25">
      <c r="B5" s="86"/>
      <c r="C5" s="48">
        <v>3</v>
      </c>
      <c r="D5" s="47" t="s">
        <v>221</v>
      </c>
      <c r="E5" s="47">
        <f>VLOOKUP(D5,종합Sheet!$B$3:$I$123,8,0)</f>
        <v>23</v>
      </c>
      <c r="F5" s="70" t="s">
        <v>221</v>
      </c>
      <c r="G5" s="61">
        <f>VLOOKUP(F5,종합Sheet!$B$3:$I$123,7,0)</f>
        <v>33.4</v>
      </c>
      <c r="I5" s="96"/>
      <c r="J5" s="66">
        <v>3</v>
      </c>
      <c r="K5" s="65" t="s">
        <v>241</v>
      </c>
      <c r="L5" s="65">
        <v>12</v>
      </c>
      <c r="N5" s="86"/>
      <c r="O5" s="48">
        <v>3</v>
      </c>
      <c r="P5" s="62" t="s">
        <v>304</v>
      </c>
      <c r="Q5" s="62">
        <f>VLOOKUP(P5,종합Sheet!$B$3:$I$123,8,0)</f>
        <v>21</v>
      </c>
      <c r="R5" s="62" t="s">
        <v>304</v>
      </c>
      <c r="S5" s="63">
        <f>VLOOKUP(R5,종합Sheet!$B$3:$I$123,7,0)</f>
        <v>26.8</v>
      </c>
    </row>
    <row r="6" spans="2:19" x14ac:dyDescent="0.25">
      <c r="B6" s="86"/>
      <c r="C6" s="48">
        <v>4</v>
      </c>
      <c r="D6" s="47" t="s">
        <v>304</v>
      </c>
      <c r="E6" s="47">
        <f>VLOOKUP(D6,종합Sheet!$B$3:$I$123,8,0)</f>
        <v>21</v>
      </c>
      <c r="F6" s="70" t="s">
        <v>232</v>
      </c>
      <c r="G6" s="61">
        <f>VLOOKUP(F6,종합Sheet!$B$3:$I$123,7,0)</f>
        <v>17.2</v>
      </c>
      <c r="I6" s="96"/>
      <c r="J6" s="66">
        <v>4</v>
      </c>
      <c r="K6" s="65" t="s">
        <v>309</v>
      </c>
      <c r="L6" s="65">
        <v>12</v>
      </c>
      <c r="N6" s="86"/>
      <c r="O6" s="48">
        <v>4</v>
      </c>
      <c r="P6" s="69" t="s">
        <v>230</v>
      </c>
      <c r="Q6" s="69">
        <f>VLOOKUP(P6,종합Sheet!$B$3:$I$123,8,0)</f>
        <v>15</v>
      </c>
      <c r="R6" s="65" t="s">
        <v>230</v>
      </c>
      <c r="S6" s="71">
        <f>VLOOKUP(R6,종합Sheet!$B$3:$I$123,7,0)</f>
        <v>19.8</v>
      </c>
    </row>
    <row r="7" spans="2:19" x14ac:dyDescent="0.25">
      <c r="B7" s="86"/>
      <c r="C7" s="48">
        <v>5</v>
      </c>
      <c r="D7" s="47" t="s">
        <v>232</v>
      </c>
      <c r="E7" s="47">
        <f>VLOOKUP(D7,종합Sheet!$B$3:$I$123,8,0)</f>
        <v>14</v>
      </c>
      <c r="F7" s="70" t="s">
        <v>304</v>
      </c>
      <c r="G7" s="61">
        <f>VLOOKUP(F7,종합Sheet!$B$3:$I$123,7,0)</f>
        <v>26.8</v>
      </c>
      <c r="I7" s="97"/>
      <c r="J7" s="66">
        <v>5</v>
      </c>
      <c r="K7" s="65" t="s">
        <v>228</v>
      </c>
      <c r="L7" s="65">
        <v>11</v>
      </c>
      <c r="N7" s="86"/>
      <c r="O7" s="48">
        <v>5</v>
      </c>
      <c r="P7" s="69" t="s">
        <v>322</v>
      </c>
      <c r="Q7" s="69">
        <f>VLOOKUP(P7,종합Sheet!$B$3:$I$123,8,0)</f>
        <v>15</v>
      </c>
      <c r="R7" s="65" t="s">
        <v>322</v>
      </c>
      <c r="S7" s="71">
        <f>VLOOKUP(R7,종합Sheet!$B$3:$I$123,7,0)</f>
        <v>20</v>
      </c>
    </row>
    <row r="8" spans="2:19" x14ac:dyDescent="0.25">
      <c r="B8" s="86"/>
      <c r="C8" s="48">
        <v>6</v>
      </c>
      <c r="D8" s="47" t="s">
        <v>224</v>
      </c>
      <c r="E8" s="47">
        <f>VLOOKUP(D8,종합Sheet!$B$3:$I$123,8,0)</f>
        <v>6</v>
      </c>
      <c r="F8" s="62" t="s">
        <v>50</v>
      </c>
      <c r="G8" s="63">
        <f>VLOOKUP(F8,종합Sheet!$B$3:$I$123,7,0)</f>
        <v>24</v>
      </c>
      <c r="N8" s="86"/>
      <c r="O8" s="48">
        <v>6</v>
      </c>
      <c r="P8" s="69" t="s">
        <v>316</v>
      </c>
      <c r="Q8" s="69">
        <f>VLOOKUP(P8,종합Sheet!$B$3:$I$123,8,0)</f>
        <v>9</v>
      </c>
      <c r="R8" s="65" t="s">
        <v>316</v>
      </c>
      <c r="S8" s="71">
        <f>VLOOKUP(R8,종합Sheet!$B$3:$I$123,7,0)</f>
        <v>11</v>
      </c>
    </row>
    <row r="9" spans="2:19" x14ac:dyDescent="0.25">
      <c r="B9" s="86"/>
      <c r="C9" s="48">
        <v>7</v>
      </c>
      <c r="D9" s="65" t="s">
        <v>48</v>
      </c>
      <c r="E9" s="65">
        <f>VLOOKUP(D9,종합Sheet!$B$3:$I$123,8,0)</f>
        <v>6</v>
      </c>
      <c r="F9" s="70" t="s">
        <v>7</v>
      </c>
      <c r="G9" s="61">
        <f>VLOOKUP(F9,종합Sheet!$B$3:$I$123,7,0)</f>
        <v>11.5</v>
      </c>
      <c r="I9" s="99" t="s">
        <v>248</v>
      </c>
      <c r="J9" s="99"/>
      <c r="K9" s="65" t="s">
        <v>276</v>
      </c>
      <c r="L9" s="65" t="s">
        <v>329</v>
      </c>
      <c r="N9" s="86"/>
      <c r="O9" s="48">
        <v>7</v>
      </c>
      <c r="P9" s="69" t="s">
        <v>308</v>
      </c>
      <c r="Q9" s="69">
        <f>VLOOKUP(P9,종합Sheet!$B$3:$I$123,8,0)</f>
        <v>9</v>
      </c>
      <c r="R9" s="65" t="s">
        <v>309</v>
      </c>
      <c r="S9" s="71">
        <f>VLOOKUP(R9,종합Sheet!$B$3:$I$123,7,0)</f>
        <v>0</v>
      </c>
    </row>
    <row r="10" spans="2:19" x14ac:dyDescent="0.25">
      <c r="B10" s="86"/>
      <c r="C10" s="48">
        <v>8</v>
      </c>
      <c r="D10" s="64" t="s">
        <v>55</v>
      </c>
      <c r="E10" s="64">
        <f>VLOOKUP(D10,종합Sheet!$B$3:$I$123,8,0)</f>
        <v>9</v>
      </c>
      <c r="F10" s="70" t="s">
        <v>53</v>
      </c>
      <c r="G10" s="61">
        <f>VLOOKUP(F10,종합Sheet!$B$3:$I$123,7,0)</f>
        <v>15.6</v>
      </c>
      <c r="I10" s="95" t="s">
        <v>331</v>
      </c>
      <c r="J10" s="66">
        <v>1</v>
      </c>
      <c r="K10" s="69" t="s">
        <v>224</v>
      </c>
      <c r="L10" s="69">
        <v>11</v>
      </c>
      <c r="N10" s="86"/>
      <c r="O10" s="48">
        <v>8</v>
      </c>
      <c r="P10" s="65" t="s">
        <v>309</v>
      </c>
      <c r="Q10" s="65">
        <f>VLOOKUP(P10,종합Sheet!$B$3:$I$123,8,0)</f>
        <v>0</v>
      </c>
      <c r="R10" s="65" t="s">
        <v>308</v>
      </c>
      <c r="S10" s="71">
        <f>VLOOKUP(R10,종합Sheet!$B$3:$I$123,7,0)</f>
        <v>11</v>
      </c>
    </row>
    <row r="11" spans="2:19" x14ac:dyDescent="0.25">
      <c r="B11" s="86"/>
      <c r="C11" s="48">
        <v>9</v>
      </c>
      <c r="D11" s="65" t="s">
        <v>7</v>
      </c>
      <c r="E11" s="65">
        <f>VLOOKUP(D11,종합Sheet!$B$3:$I$123,8,0)</f>
        <v>9</v>
      </c>
      <c r="F11" s="70" t="s">
        <v>48</v>
      </c>
      <c r="G11" s="61">
        <f>VLOOKUP(F11,종합Sheet!$B$3:$I$123,7,0)</f>
        <v>6.6</v>
      </c>
      <c r="I11" s="96"/>
      <c r="J11" s="66">
        <v>2</v>
      </c>
      <c r="K11" s="65" t="s">
        <v>7</v>
      </c>
      <c r="L11" s="65">
        <v>10</v>
      </c>
      <c r="N11" s="86"/>
      <c r="O11" s="48">
        <v>9</v>
      </c>
      <c r="P11" s="65" t="s">
        <v>314</v>
      </c>
      <c r="Q11" s="65">
        <f>VLOOKUP(P11,종합Sheet!$B$3:$I$123,8,0)</f>
        <v>6</v>
      </c>
      <c r="R11" s="65" t="s">
        <v>314</v>
      </c>
      <c r="S11" s="71">
        <f>VLOOKUP(R11,종합Sheet!$B$3:$I$123,7,0)</f>
        <v>8.6</v>
      </c>
    </row>
    <row r="12" spans="2:19" x14ac:dyDescent="0.25">
      <c r="B12" s="86"/>
      <c r="C12" s="48">
        <v>10</v>
      </c>
      <c r="D12" s="65" t="s">
        <v>223</v>
      </c>
      <c r="E12" s="65">
        <f>VLOOKUP(D12,종합Sheet!$B$3:$I$123,8,0)</f>
        <v>11</v>
      </c>
      <c r="F12" s="70" t="s">
        <v>223</v>
      </c>
      <c r="G12" s="61">
        <f>VLOOKUP(F12,종합Sheet!$B$3:$I$123,7,0)</f>
        <v>15.7</v>
      </c>
      <c r="I12" s="96"/>
      <c r="J12" s="66">
        <v>3</v>
      </c>
      <c r="K12" s="65" t="s">
        <v>223</v>
      </c>
      <c r="L12" s="65">
        <v>8</v>
      </c>
      <c r="N12" s="98"/>
      <c r="O12" s="48">
        <v>10</v>
      </c>
      <c r="P12" s="65" t="s">
        <v>334</v>
      </c>
      <c r="Q12" s="65" t="e">
        <f>VLOOKUP(P12,종합Sheet!$B$3:$I$123,8,0)</f>
        <v>#N/A</v>
      </c>
      <c r="R12" s="65" t="s">
        <v>334</v>
      </c>
      <c r="S12" s="71" t="e">
        <f>VLOOKUP(R12,종합Sheet!$B$3:$I$123,7,0)</f>
        <v>#N/A</v>
      </c>
    </row>
    <row r="13" spans="2:19" x14ac:dyDescent="0.25">
      <c r="B13" s="86"/>
      <c r="C13" s="48">
        <v>11</v>
      </c>
      <c r="D13" s="65" t="s">
        <v>53</v>
      </c>
      <c r="E13" s="65">
        <f>VLOOKUP(D13,종합Sheet!$B$3:$I$123,8,0)</f>
        <v>12</v>
      </c>
      <c r="F13" s="70" t="s">
        <v>241</v>
      </c>
      <c r="G13" s="61">
        <f>VLOOKUP(F13,종합Sheet!$B$3:$I$123,7,0)</f>
        <v>16.2</v>
      </c>
      <c r="I13" s="96"/>
      <c r="J13" s="66">
        <v>4</v>
      </c>
      <c r="K13" s="65" t="s">
        <v>241</v>
      </c>
      <c r="L13" s="65">
        <v>7</v>
      </c>
      <c r="N13"/>
      <c r="O13"/>
      <c r="P13"/>
      <c r="Q13"/>
      <c r="R13"/>
      <c r="S13"/>
    </row>
    <row r="14" spans="2:19" x14ac:dyDescent="0.25">
      <c r="B14" s="86"/>
      <c r="C14" s="48">
        <v>12</v>
      </c>
      <c r="D14" s="65" t="s">
        <v>228</v>
      </c>
      <c r="E14" s="65">
        <f>VLOOKUP(D14,종합Sheet!$B$3:$I$123,8,0)</f>
        <v>21</v>
      </c>
      <c r="F14" s="70" t="s">
        <v>228</v>
      </c>
      <c r="G14" s="61">
        <f>VLOOKUP(F14,종합Sheet!$B$3:$I$123,7,0)</f>
        <v>25.8</v>
      </c>
      <c r="I14" s="97"/>
      <c r="J14" s="66">
        <v>5</v>
      </c>
      <c r="K14" s="65" t="s">
        <v>313</v>
      </c>
      <c r="L14" s="65">
        <v>6</v>
      </c>
      <c r="N14"/>
      <c r="O14"/>
      <c r="P14"/>
      <c r="Q14"/>
      <c r="R14"/>
      <c r="S14"/>
    </row>
    <row r="15" spans="2:19" x14ac:dyDescent="0.25">
      <c r="B15" s="86"/>
      <c r="C15" s="48">
        <v>13</v>
      </c>
      <c r="D15" s="65" t="s">
        <v>241</v>
      </c>
      <c r="E15" s="65">
        <f>VLOOKUP(D15,종합Sheet!$B$3:$I$123,8,0)</f>
        <v>14</v>
      </c>
      <c r="F15" s="62" t="s">
        <v>299</v>
      </c>
      <c r="G15" s="63">
        <f>VLOOKUP(F15,종합Sheet!$B$3:$I$123,7,0)</f>
        <v>10.5</v>
      </c>
      <c r="N15"/>
      <c r="O15"/>
      <c r="P15"/>
      <c r="Q15"/>
      <c r="R15"/>
      <c r="S15"/>
    </row>
    <row r="16" spans="2:19" s="1" customFormat="1" x14ac:dyDescent="0.25">
      <c r="B16" s="86"/>
      <c r="C16" s="48">
        <v>14</v>
      </c>
      <c r="D16" s="65" t="s">
        <v>230</v>
      </c>
      <c r="E16" s="65">
        <f>VLOOKUP(D16,종합Sheet!$B$3:$I$123,8,0)</f>
        <v>15</v>
      </c>
      <c r="F16" s="62" t="s">
        <v>230</v>
      </c>
      <c r="G16" s="63">
        <f>VLOOKUP(F16,종합Sheet!$B$3:$I$123,7,0)</f>
        <v>19.8</v>
      </c>
      <c r="H16" s="37"/>
      <c r="I16" s="99" t="s">
        <v>248</v>
      </c>
      <c r="J16" s="99"/>
      <c r="K16" s="65" t="s">
        <v>276</v>
      </c>
      <c r="L16" s="65" t="s">
        <v>329</v>
      </c>
      <c r="M16"/>
      <c r="N16"/>
      <c r="O16"/>
    </row>
    <row r="17" spans="2:21" s="1" customFormat="1" ht="15.6" customHeight="1" x14ac:dyDescent="0.25">
      <c r="B17" s="87"/>
      <c r="C17" s="48">
        <v>15</v>
      </c>
      <c r="D17" s="62"/>
      <c r="E17" s="62"/>
      <c r="F17" s="62" t="s">
        <v>229</v>
      </c>
      <c r="G17" s="63">
        <f>VLOOKUP(F17,종합Sheet!$B$3:$I$123,7,0)</f>
        <v>12.6</v>
      </c>
      <c r="H17" s="37"/>
      <c r="I17" s="95" t="s">
        <v>332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6"/>
      <c r="J18" s="66">
        <v>2</v>
      </c>
      <c r="K18" s="65" t="s">
        <v>298</v>
      </c>
      <c r="L18" s="65">
        <v>18</v>
      </c>
      <c r="M18"/>
      <c r="O18" s="37"/>
      <c r="T18"/>
      <c r="U18"/>
    </row>
    <row r="19" spans="2:21" x14ac:dyDescent="0.25">
      <c r="B19" s="99" t="s">
        <v>248</v>
      </c>
      <c r="C19" s="99"/>
      <c r="D19" s="65" t="s">
        <v>276</v>
      </c>
      <c r="E19" s="65"/>
      <c r="I19" s="96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5" t="s">
        <v>336</v>
      </c>
      <c r="C20" s="68">
        <v>1</v>
      </c>
      <c r="D20" s="69" t="s">
        <v>211</v>
      </c>
      <c r="E20" s="69" t="s">
        <v>337</v>
      </c>
      <c r="I20" s="96"/>
      <c r="J20" s="66">
        <v>4</v>
      </c>
      <c r="K20" s="65" t="s">
        <v>224</v>
      </c>
      <c r="L20" s="65">
        <v>17</v>
      </c>
    </row>
    <row r="21" spans="2:21" x14ac:dyDescent="0.25">
      <c r="B21" s="96"/>
      <c r="C21" s="66">
        <v>2</v>
      </c>
      <c r="D21" s="65" t="s">
        <v>93</v>
      </c>
      <c r="E21" s="65" t="s">
        <v>338</v>
      </c>
      <c r="I21" s="97"/>
      <c r="J21" s="66">
        <v>5</v>
      </c>
      <c r="K21" s="65" t="s">
        <v>316</v>
      </c>
      <c r="L21" s="65">
        <v>16</v>
      </c>
    </row>
    <row r="22" spans="2:21" x14ac:dyDescent="0.25">
      <c r="B22" s="101"/>
      <c r="C22" s="66">
        <v>3</v>
      </c>
      <c r="D22" s="65" t="s">
        <v>339</v>
      </c>
      <c r="E22" s="65" t="s">
        <v>340</v>
      </c>
    </row>
    <row r="23" spans="2:21" x14ac:dyDescent="0.25">
      <c r="I23" s="93" t="s">
        <v>248</v>
      </c>
      <c r="J23" s="94"/>
      <c r="K23" s="65" t="s">
        <v>276</v>
      </c>
      <c r="L23" s="65" t="s">
        <v>329</v>
      </c>
    </row>
    <row r="24" spans="2:21" x14ac:dyDescent="0.25">
      <c r="I24" s="95" t="s">
        <v>333</v>
      </c>
      <c r="J24" s="66">
        <v>1</v>
      </c>
      <c r="K24" s="69" t="s">
        <v>232</v>
      </c>
      <c r="L24" s="69">
        <v>38</v>
      </c>
    </row>
    <row r="25" spans="2:21" x14ac:dyDescent="0.25">
      <c r="I25" s="96"/>
      <c r="J25" s="66">
        <v>2</v>
      </c>
      <c r="K25" s="69" t="s">
        <v>229</v>
      </c>
      <c r="L25" s="69">
        <v>34</v>
      </c>
    </row>
    <row r="26" spans="2:21" x14ac:dyDescent="0.25">
      <c r="I26" s="96"/>
      <c r="J26" s="66">
        <v>3</v>
      </c>
      <c r="K26" s="65" t="s">
        <v>75</v>
      </c>
      <c r="L26" s="65">
        <v>30</v>
      </c>
    </row>
    <row r="27" spans="2:21" x14ac:dyDescent="0.25">
      <c r="I27" s="96"/>
      <c r="J27" s="66">
        <v>4</v>
      </c>
      <c r="K27" s="65" t="s">
        <v>321</v>
      </c>
      <c r="L27" s="65">
        <v>29</v>
      </c>
    </row>
    <row r="28" spans="2:21" x14ac:dyDescent="0.25">
      <c r="I28" s="96"/>
      <c r="J28" s="66">
        <v>5</v>
      </c>
      <c r="K28" s="65" t="s">
        <v>322</v>
      </c>
      <c r="L28" s="65">
        <v>28</v>
      </c>
    </row>
    <row r="29" spans="2:21" x14ac:dyDescent="0.25">
      <c r="I29" s="96"/>
      <c r="J29" s="66">
        <v>6</v>
      </c>
      <c r="K29" s="65" t="s">
        <v>302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207</v>
      </c>
      <c r="J1" s="19" t="s">
        <v>206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164</v>
      </c>
      <c r="AT1" s="1" t="s">
        <v>165</v>
      </c>
      <c r="AU1" s="1" t="s">
        <v>166</v>
      </c>
      <c r="AV1" s="1" t="s">
        <v>167</v>
      </c>
      <c r="AW1" s="1" t="s">
        <v>168</v>
      </c>
      <c r="AX1" s="1" t="s">
        <v>169</v>
      </c>
      <c r="AY1" s="1" t="s">
        <v>170</v>
      </c>
      <c r="AZ1" s="1" t="s">
        <v>171</v>
      </c>
      <c r="BA1" s="1" t="s">
        <v>172</v>
      </c>
      <c r="BB1" s="1" t="s">
        <v>173</v>
      </c>
      <c r="BC1" s="1" t="s">
        <v>179</v>
      </c>
      <c r="BD1" s="1" t="s">
        <v>182</v>
      </c>
      <c r="BE1" s="1" t="s">
        <v>197</v>
      </c>
      <c r="BF1" s="1" t="s">
        <v>198</v>
      </c>
      <c r="BG1" s="1" t="s">
        <v>199</v>
      </c>
    </row>
    <row r="2" spans="1:82" x14ac:dyDescent="0.25">
      <c r="D2" s="1">
        <f>COUNTIF(D4:D55,"지급")</f>
        <v>26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196</v>
      </c>
      <c r="D3" s="2" t="s">
        <v>116</v>
      </c>
      <c r="E3" s="2" t="s">
        <v>126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11</v>
      </c>
      <c r="H4" s="6">
        <f>I4+개인기록Sheet!C4</f>
        <v>5</v>
      </c>
      <c r="I4" s="6">
        <f t="shared" ref="I4:I28" si="3">(COUNTIF(J4:CD4,"출전")*1)</f>
        <v>3</v>
      </c>
      <c r="J4" s="2" t="s">
        <v>204</v>
      </c>
      <c r="K4" s="2" t="s">
        <v>204</v>
      </c>
      <c r="L4" s="2" t="s">
        <v>204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지급</v>
      </c>
      <c r="E5" s="2">
        <f>VLOOKUP(B5,종합Sheet!$B$4:$F$135,4,0)</f>
        <v>0</v>
      </c>
      <c r="F5" s="2" t="s">
        <v>37</v>
      </c>
      <c r="G5" s="2">
        <f t="shared" si="2"/>
        <v>8</v>
      </c>
      <c r="H5" s="6">
        <f>I5+개인기록Sheet!C5</f>
        <v>5.9</v>
      </c>
      <c r="I5" s="6">
        <f t="shared" si="3"/>
        <v>5</v>
      </c>
      <c r="J5" s="2" t="s">
        <v>204</v>
      </c>
      <c r="K5" s="2" t="s">
        <v>204</v>
      </c>
      <c r="L5" s="2" t="s">
        <v>204</v>
      </c>
      <c r="M5" s="2" t="s">
        <v>204</v>
      </c>
      <c r="N5" s="2"/>
      <c r="O5" s="2" t="s">
        <v>204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204</v>
      </c>
      <c r="L6" s="2"/>
      <c r="M6" s="2"/>
      <c r="N6" s="2" t="s">
        <v>204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0.60000000000000009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8.6</v>
      </c>
      <c r="I8" s="6">
        <f t="shared" si="3"/>
        <v>5</v>
      </c>
      <c r="J8" s="2" t="s">
        <v>204</v>
      </c>
      <c r="K8" s="2" t="s">
        <v>204</v>
      </c>
      <c r="L8" s="2" t="s">
        <v>204</v>
      </c>
      <c r="M8" s="2" t="s">
        <v>204</v>
      </c>
      <c r="N8" s="2" t="s">
        <v>204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16</v>
      </c>
      <c r="H9" s="6">
        <f>I9+개인기록Sheet!C15</f>
        <v>3.6</v>
      </c>
      <c r="I9" s="6">
        <f t="shared" si="3"/>
        <v>3</v>
      </c>
      <c r="J9" s="2" t="s">
        <v>204</v>
      </c>
      <c r="K9" s="2" t="s">
        <v>204</v>
      </c>
      <c r="L9" s="2" t="s">
        <v>204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9</v>
      </c>
      <c r="H10" s="6">
        <f>I10+개인기록Sheet!C16</f>
        <v>5.5</v>
      </c>
      <c r="I10" s="6">
        <f t="shared" si="3"/>
        <v>3</v>
      </c>
      <c r="J10" s="2"/>
      <c r="K10" s="2" t="s">
        <v>204</v>
      </c>
      <c r="L10" s="2" t="s">
        <v>204</v>
      </c>
      <c r="M10" s="2" t="s">
        <v>204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133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4</v>
      </c>
      <c r="H11" s="6">
        <f>I11+개인기록Sheet!C17</f>
        <v>7.8000000000000007</v>
      </c>
      <c r="I11" s="6">
        <f t="shared" si="3"/>
        <v>4</v>
      </c>
      <c r="J11" s="2"/>
      <c r="K11" s="2" t="s">
        <v>204</v>
      </c>
      <c r="L11" s="2" t="s">
        <v>204</v>
      </c>
      <c r="M11" s="2"/>
      <c r="N11" s="2" t="s">
        <v>204</v>
      </c>
      <c r="O11" s="2" t="s">
        <v>204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204</v>
      </c>
      <c r="L12" s="2" t="s">
        <v>204</v>
      </c>
      <c r="M12" s="2"/>
      <c r="N12" s="2"/>
      <c r="O12" s="2" t="s">
        <v>204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2.4</v>
      </c>
      <c r="I13" s="6">
        <f t="shared" si="3"/>
        <v>2</v>
      </c>
      <c r="J13" s="2"/>
      <c r="K13" s="2" t="s">
        <v>204</v>
      </c>
      <c r="L13" s="2"/>
      <c r="M13" s="2"/>
      <c r="N13" s="2" t="s">
        <v>204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134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30</v>
      </c>
      <c r="H14" s="6">
        <f>I14+개인기록Sheet!C23</f>
        <v>1</v>
      </c>
      <c r="I14" s="6">
        <f t="shared" si="3"/>
        <v>1</v>
      </c>
      <c r="J14" s="2" t="s">
        <v>204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201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204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11</v>
      </c>
      <c r="H16" s="6">
        <f>I16+개인기록Sheet!C25</f>
        <v>5</v>
      </c>
      <c r="I16" s="6">
        <f t="shared" si="3"/>
        <v>5</v>
      </c>
      <c r="J16" s="2" t="s">
        <v>204</v>
      </c>
      <c r="K16" s="2" t="s">
        <v>204</v>
      </c>
      <c r="L16" s="2" t="s">
        <v>204</v>
      </c>
      <c r="M16" s="2"/>
      <c r="N16" s="2" t="s">
        <v>204</v>
      </c>
      <c r="O16" s="2" t="s">
        <v>204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161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28</v>
      </c>
      <c r="H17" s="6">
        <f>I17+개인기록Sheet!C26</f>
        <v>1.8</v>
      </c>
      <c r="I17" s="6">
        <f t="shared" si="3"/>
        <v>1</v>
      </c>
      <c r="J17" s="2"/>
      <c r="K17" s="2"/>
      <c r="L17" s="2"/>
      <c r="M17" s="2" t="s">
        <v>204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3</v>
      </c>
      <c r="H18" s="6">
        <f>I18+개인기록Sheet!C29</f>
        <v>8.1</v>
      </c>
      <c r="I18" s="6">
        <f t="shared" si="3"/>
        <v>5</v>
      </c>
      <c r="J18" s="2" t="s">
        <v>204</v>
      </c>
      <c r="K18" s="2"/>
      <c r="L18" s="2" t="s">
        <v>204</v>
      </c>
      <c r="M18" s="2" t="s">
        <v>204</v>
      </c>
      <c r="N18" s="2" t="s">
        <v>204</v>
      </c>
      <c r="O18" s="2" t="s">
        <v>204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10</v>
      </c>
      <c r="H19" s="6">
        <f>I19+개인기록Sheet!C34</f>
        <v>5.4</v>
      </c>
      <c r="I19" s="6">
        <f t="shared" si="3"/>
        <v>5</v>
      </c>
      <c r="J19" s="2" t="s">
        <v>204</v>
      </c>
      <c r="K19" s="2" t="s">
        <v>204</v>
      </c>
      <c r="L19" s="2" t="s">
        <v>204</v>
      </c>
      <c r="M19" s="2" t="s">
        <v>204</v>
      </c>
      <c r="N19" s="2"/>
      <c r="O19" s="2" t="s">
        <v>204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204</v>
      </c>
      <c r="K20" s="2"/>
      <c r="L20" s="2"/>
      <c r="M20" s="2"/>
      <c r="N20" s="2"/>
      <c r="O20" s="2" t="s">
        <v>204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23</v>
      </c>
      <c r="H21" s="6">
        <f>I21+개인기록Sheet!C44</f>
        <v>2.4</v>
      </c>
      <c r="I21" s="6">
        <f t="shared" si="3"/>
        <v>2</v>
      </c>
      <c r="J21" s="2"/>
      <c r="K21" s="2"/>
      <c r="L21" s="2"/>
      <c r="M21" s="2" t="s">
        <v>204</v>
      </c>
      <c r="N21" s="2"/>
      <c r="O21" s="2" t="s">
        <v>204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2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204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135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6</v>
      </c>
      <c r="H23" s="6">
        <f>I23+개인기록Sheet!C49</f>
        <v>7.2</v>
      </c>
      <c r="I23" s="6">
        <f t="shared" si="3"/>
        <v>4</v>
      </c>
      <c r="J23" s="2"/>
      <c r="K23" s="2" t="s">
        <v>204</v>
      </c>
      <c r="L23" s="2" t="s">
        <v>204</v>
      </c>
      <c r="M23" s="2"/>
      <c r="N23" s="2" t="s">
        <v>204</v>
      </c>
      <c r="O23" s="2" t="s">
        <v>204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204</v>
      </c>
      <c r="N24" s="2" t="s">
        <v>204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125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7</v>
      </c>
      <c r="H25" s="6">
        <f>I25+개인기록Sheet!C59</f>
        <v>6.4</v>
      </c>
      <c r="I25" s="6">
        <f t="shared" si="3"/>
        <v>3</v>
      </c>
      <c r="J25" s="2" t="s">
        <v>204</v>
      </c>
      <c r="K25" s="2"/>
      <c r="L25" s="2"/>
      <c r="M25" s="2"/>
      <c r="N25" s="2" t="s">
        <v>204</v>
      </c>
      <c r="O25" s="2" t="s">
        <v>204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13</v>
      </c>
      <c r="H26" s="6">
        <f>I26+개인기록Sheet!C60</f>
        <v>4.5999999999999996</v>
      </c>
      <c r="I26" s="6">
        <f t="shared" si="3"/>
        <v>4</v>
      </c>
      <c r="J26" s="2" t="s">
        <v>204</v>
      </c>
      <c r="K26" s="2" t="s">
        <v>204</v>
      </c>
      <c r="L26" s="2"/>
      <c r="M26" s="2" t="s">
        <v>204</v>
      </c>
      <c r="N26" s="2" t="s">
        <v>204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204</v>
      </c>
      <c r="M27" s="2" t="s">
        <v>204</v>
      </c>
      <c r="N27" s="2"/>
      <c r="O27" s="2" t="s">
        <v>204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16</v>
      </c>
      <c r="H28" s="6">
        <f>I28+개인기록Sheet!C63</f>
        <v>3.6</v>
      </c>
      <c r="I28" s="6">
        <f t="shared" si="3"/>
        <v>3</v>
      </c>
      <c r="J28" s="2"/>
      <c r="K28" s="2" t="s">
        <v>204</v>
      </c>
      <c r="L28" s="2"/>
      <c r="M28" s="2" t="s">
        <v>204</v>
      </c>
      <c r="N28" s="2" t="s">
        <v>204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178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19</v>
      </c>
      <c r="H29" s="6">
        <f>I29+개인기록Sheet!C64</f>
        <v>3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204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204</v>
      </c>
      <c r="M30" s="2" t="s">
        <v>204</v>
      </c>
      <c r="N30" s="2" t="s">
        <v>204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1.4</v>
      </c>
      <c r="I31" s="6">
        <f t="shared" si="6"/>
        <v>1</v>
      </c>
      <c r="J31" s="2"/>
      <c r="K31" s="2"/>
      <c r="L31" s="2"/>
      <c r="M31" s="2" t="s">
        <v>204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204</v>
      </c>
      <c r="K32" s="2" t="s">
        <v>204</v>
      </c>
      <c r="L32" s="2" t="s">
        <v>204</v>
      </c>
      <c r="M32" s="2"/>
      <c r="N32" s="2"/>
      <c r="O32" s="2" t="s">
        <v>204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0</v>
      </c>
      <c r="E33" s="2">
        <f>VLOOKUP(B33,종합Sheet!$B$4:$F$135,4,0)</f>
        <v>0</v>
      </c>
      <c r="F33" s="2" t="s">
        <v>37</v>
      </c>
      <c r="G33" s="2">
        <f t="shared" si="2"/>
        <v>18</v>
      </c>
      <c r="H33" s="6">
        <f>I33+개인기록Sheet!C83</f>
        <v>3.5</v>
      </c>
      <c r="I33" s="6">
        <f t="shared" si="6"/>
        <v>1</v>
      </c>
      <c r="J33" s="2"/>
      <c r="K33" s="2"/>
      <c r="L33" s="2"/>
      <c r="M33" s="2" t="s">
        <v>204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136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30</v>
      </c>
      <c r="H34" s="6">
        <f>I34+개인기록Sheet!C90</f>
        <v>1</v>
      </c>
      <c r="I34" s="6">
        <f t="shared" si="6"/>
        <v>1</v>
      </c>
      <c r="J34" s="2"/>
      <c r="K34" s="2" t="s">
        <v>204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8.6999999999999993</v>
      </c>
      <c r="I35" s="6">
        <f t="shared" si="6"/>
        <v>5</v>
      </c>
      <c r="J35" s="2" t="s">
        <v>204</v>
      </c>
      <c r="K35" s="2" t="s">
        <v>204</v>
      </c>
      <c r="L35" s="2" t="s">
        <v>204</v>
      </c>
      <c r="M35" s="2" t="s">
        <v>204</v>
      </c>
      <c r="N35" s="2"/>
      <c r="O35" s="2" t="s">
        <v>204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지급</v>
      </c>
      <c r="E36" s="2">
        <f>VLOOKUP(B36,종합Sheet!$B$4:$F$135,4,0)</f>
        <v>0</v>
      </c>
      <c r="F36" s="2" t="s">
        <v>37</v>
      </c>
      <c r="G36" s="2">
        <f t="shared" si="2"/>
        <v>15</v>
      </c>
      <c r="H36" s="6">
        <f>I36+개인기록Sheet!C102</f>
        <v>3.7</v>
      </c>
      <c r="I36" s="6">
        <f t="shared" si="6"/>
        <v>3</v>
      </c>
      <c r="J36" s="2" t="s">
        <v>204</v>
      </c>
      <c r="K36" s="2" t="s">
        <v>204</v>
      </c>
      <c r="L36" s="2" t="s">
        <v>204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5</v>
      </c>
      <c r="H37" s="6">
        <f>I37+개인기록Sheet!C104</f>
        <v>7.4</v>
      </c>
      <c r="I37" s="6">
        <f t="shared" si="6"/>
        <v>5</v>
      </c>
      <c r="J37" s="2" t="s">
        <v>204</v>
      </c>
      <c r="K37" s="2" t="s">
        <v>204</v>
      </c>
      <c r="L37" s="2" t="s">
        <v>204</v>
      </c>
      <c r="M37" s="2"/>
      <c r="N37" s="2" t="s">
        <v>204</v>
      </c>
      <c r="O37" s="2" t="s">
        <v>204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205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208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133</v>
      </c>
      <c r="R5" s="9" t="s">
        <v>124</v>
      </c>
      <c r="S5" s="9" t="s">
        <v>211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209</v>
      </c>
      <c r="F6" s="7" t="s">
        <v>210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133</v>
      </c>
      <c r="R8" s="9" t="s">
        <v>124</v>
      </c>
      <c r="S8" s="9" t="s">
        <v>136</v>
      </c>
      <c r="T8" s="9" t="s">
        <v>135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208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224</v>
      </c>
      <c r="O13" s="20" t="s">
        <v>7</v>
      </c>
      <c r="P13" s="20"/>
      <c r="Q13" s="9" t="s">
        <v>118</v>
      </c>
      <c r="R13" s="9" t="s">
        <v>124</v>
      </c>
      <c r="S13" s="9" t="s">
        <v>215</v>
      </c>
      <c r="T13" s="9" t="s">
        <v>214</v>
      </c>
      <c r="U13" s="9"/>
      <c r="V13" s="13" t="s">
        <v>161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216</v>
      </c>
      <c r="R14" s="9" t="s">
        <v>215</v>
      </c>
      <c r="S14" s="9" t="s">
        <v>211</v>
      </c>
      <c r="T14" s="9" t="s">
        <v>214</v>
      </c>
      <c r="U14" s="9"/>
      <c r="V14" s="13" t="s">
        <v>161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211</v>
      </c>
      <c r="T15" s="9" t="s">
        <v>214</v>
      </c>
      <c r="U15" s="9"/>
      <c r="V15" s="13" t="s">
        <v>161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217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125</v>
      </c>
      <c r="N21" s="20" t="s">
        <v>107</v>
      </c>
      <c r="O21" s="20" t="s">
        <v>97</v>
      </c>
      <c r="P21" s="20"/>
      <c r="Q21" s="9" t="s">
        <v>133</v>
      </c>
      <c r="R21" s="9" t="s">
        <v>102</v>
      </c>
      <c r="S21" s="9" t="s">
        <v>222</v>
      </c>
      <c r="T21" s="9" t="s">
        <v>214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213</v>
      </c>
      <c r="K22" s="8" t="s">
        <v>97</v>
      </c>
      <c r="L22" s="8"/>
      <c r="M22" s="20" t="s">
        <v>213</v>
      </c>
      <c r="N22" s="20" t="s">
        <v>103</v>
      </c>
      <c r="O22" s="20" t="s">
        <v>97</v>
      </c>
      <c r="P22" s="20"/>
      <c r="Q22" s="9" t="s">
        <v>178</v>
      </c>
      <c r="R22" s="9" t="s">
        <v>102</v>
      </c>
      <c r="S22" s="9" t="s">
        <v>222</v>
      </c>
      <c r="T22" s="9" t="s">
        <v>214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213</v>
      </c>
      <c r="F23" s="7" t="s">
        <v>178</v>
      </c>
      <c r="G23" s="7" t="s">
        <v>213</v>
      </c>
      <c r="H23" s="7" t="s">
        <v>125</v>
      </c>
      <c r="I23" s="8" t="s">
        <v>178</v>
      </c>
      <c r="J23" s="8" t="s">
        <v>214</v>
      </c>
      <c r="K23" s="8" t="s">
        <v>178</v>
      </c>
      <c r="L23" s="8" t="s">
        <v>214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178</v>
      </c>
      <c r="F24" s="7" t="s">
        <v>178</v>
      </c>
      <c r="G24" s="7"/>
      <c r="H24" s="7"/>
      <c r="I24" s="8" t="s">
        <v>213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2026-08-20T20:41:46Z</dcterms:modified>
</cp:coreProperties>
</file>