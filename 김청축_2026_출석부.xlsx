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cabf36b0134af82/바탕 화면/김인혁_청년축구단/1. 출석부/"/>
    </mc:Choice>
  </mc:AlternateContent>
  <xr:revisionPtr revIDLastSave="1563" documentId="13_ncr:1_{DC8612FD-A52F-4EAD-BD68-700165C8B081}" xr6:coauthVersionLast="47" xr6:coauthVersionMax="47" xr10:uidLastSave="{6598F0C0-BF3E-4CB0-8714-D330CE37F57A}"/>
  <bookViews>
    <workbookView xWindow="-108" yWindow="-108" windowWidth="23256" windowHeight="12456" tabRatio="606" xr2:uid="{00000000-000D-0000-FFFF-FFFF00000000}"/>
  </bookViews>
  <sheets>
    <sheet name="종합Sheet" sheetId="1" r:id="rId1"/>
    <sheet name="경기기록Sheet" sheetId="2" r:id="rId2"/>
    <sheet name="개인기록Sheet" sheetId="3" r:id="rId3"/>
    <sheet name="시상대상(23)" sheetId="7" state="hidden" r:id="rId4"/>
    <sheet name="시상대상(24)" sheetId="11" state="hidden" r:id="rId5"/>
    <sheet name="시상대상(25)" sheetId="12" state="hidden" r:id="rId6"/>
    <sheet name="종합Sheet (외부)" sheetId="8" state="hidden" r:id="rId7"/>
    <sheet name="경기기록Sheet (외부)" sheetId="9" state="hidden" r:id="rId8"/>
  </sheets>
  <definedNames>
    <definedName name="_xlnm._FilterDatabase" localSheetId="2" hidden="1">개인기록Sheet!$A$3:$I$3</definedName>
    <definedName name="_xlnm._FilterDatabase" localSheetId="0" hidden="1">종합Sheet!$A$3:$CT$122</definedName>
    <definedName name="_xlnm._FilterDatabase" localSheetId="6" hidden="1">'종합Sheet (외부)'!$A$3:$CT$37</definedName>
    <definedName name="_xlnm.Print_Area" localSheetId="2">개인기록Sheet!$A$2:$I$52</definedName>
    <definedName name="_xlnm.Print_Area" localSheetId="0">종합Sheet!$A$1:$L$121</definedName>
    <definedName name="_xlnm.Print_Area" localSheetId="6">'종합Sheet (외부)'!$A$1:$L$37</definedName>
    <definedName name="_xlnm.Print_Titles" localSheetId="0">종합Sheet!$3:$3</definedName>
    <definedName name="_xlnm.Print_Titles" localSheetId="6">'종합Sheet (외부)'!$3:$3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0" i="2" l="1"/>
  <c r="C340" i="2"/>
  <c r="D328" i="2"/>
  <c r="C328" i="2"/>
  <c r="D122" i="1"/>
  <c r="D120" i="1"/>
  <c r="D118" i="1"/>
  <c r="D108" i="1"/>
  <c r="D106" i="1"/>
  <c r="D98" i="1"/>
  <c r="D96" i="1"/>
  <c r="D91" i="1"/>
  <c r="D90" i="1"/>
  <c r="D88" i="1"/>
  <c r="D77" i="1"/>
  <c r="D76" i="1"/>
  <c r="D72" i="1"/>
  <c r="D69" i="1"/>
  <c r="D67" i="1"/>
  <c r="D66" i="1"/>
  <c r="D65" i="1"/>
  <c r="D63" i="1"/>
  <c r="D59" i="1"/>
  <c r="D55" i="1"/>
  <c r="D54" i="1"/>
  <c r="D53" i="1"/>
  <c r="D52" i="1"/>
  <c r="D51" i="1"/>
  <c r="D49" i="1"/>
  <c r="D48" i="1"/>
  <c r="D47" i="1"/>
  <c r="D45" i="1"/>
  <c r="D40" i="1"/>
  <c r="D39" i="1"/>
  <c r="D37" i="1"/>
  <c r="D34" i="1"/>
  <c r="D28" i="1"/>
  <c r="D22" i="1"/>
  <c r="D21" i="1"/>
  <c r="D19" i="1"/>
  <c r="D15" i="1"/>
  <c r="D14" i="1"/>
  <c r="D13" i="1"/>
  <c r="D12" i="1"/>
  <c r="D7" i="1"/>
  <c r="A6" i="3"/>
  <c r="B6" i="3"/>
  <c r="D6" i="3"/>
  <c r="E6" i="3"/>
  <c r="F6" i="3"/>
  <c r="G6" i="3"/>
  <c r="H6" i="3"/>
  <c r="A7" i="3"/>
  <c r="B7" i="3"/>
  <c r="D7" i="3"/>
  <c r="A8" i="3"/>
  <c r="B8" i="3"/>
  <c r="A9" i="3"/>
  <c r="B9" i="3"/>
  <c r="D9" i="3"/>
  <c r="A10" i="3"/>
  <c r="B10" i="3"/>
  <c r="D10" i="3"/>
  <c r="E10" i="3"/>
  <c r="F10" i="3"/>
  <c r="G10" i="3"/>
  <c r="H10" i="3"/>
  <c r="A11" i="3"/>
  <c r="B11" i="3"/>
  <c r="D11" i="3" s="1"/>
  <c r="E11" i="3"/>
  <c r="F11" i="3"/>
  <c r="G11" i="3"/>
  <c r="H11" i="3"/>
  <c r="A12" i="3"/>
  <c r="B12" i="3"/>
  <c r="D12" i="3"/>
  <c r="E12" i="3"/>
  <c r="F12" i="3"/>
  <c r="G12" i="3"/>
  <c r="H12" i="3"/>
  <c r="A13" i="3"/>
  <c r="B13" i="3"/>
  <c r="D13" i="3"/>
  <c r="E13" i="3"/>
  <c r="F13" i="3"/>
  <c r="G13" i="3"/>
  <c r="H13" i="3"/>
  <c r="A14" i="3"/>
  <c r="B14" i="3"/>
  <c r="D14" i="3"/>
  <c r="E14" i="3"/>
  <c r="F14" i="3"/>
  <c r="G14" i="3"/>
  <c r="H14" i="3"/>
  <c r="A15" i="3"/>
  <c r="B15" i="3"/>
  <c r="D15" i="3" s="1"/>
  <c r="A16" i="3"/>
  <c r="B16" i="3"/>
  <c r="A17" i="3"/>
  <c r="B17" i="3"/>
  <c r="A18" i="3"/>
  <c r="B18" i="3"/>
  <c r="A19" i="3"/>
  <c r="B19" i="3"/>
  <c r="A20" i="3"/>
  <c r="B20" i="3"/>
  <c r="E20" i="3" s="1"/>
  <c r="D20" i="3"/>
  <c r="A21" i="3"/>
  <c r="B21" i="3"/>
  <c r="D21" i="3" s="1"/>
  <c r="A22" i="3"/>
  <c r="B22" i="3"/>
  <c r="D22" i="3"/>
  <c r="E22" i="3"/>
  <c r="F22" i="3"/>
  <c r="G22" i="3"/>
  <c r="H22" i="3"/>
  <c r="A23" i="3"/>
  <c r="B23" i="3"/>
  <c r="D23" i="3"/>
  <c r="E23" i="3"/>
  <c r="F23" i="3"/>
  <c r="G23" i="3"/>
  <c r="H23" i="3"/>
  <c r="A24" i="3"/>
  <c r="B24" i="3"/>
  <c r="D24" i="3"/>
  <c r="E24" i="3"/>
  <c r="F24" i="3"/>
  <c r="G24" i="3"/>
  <c r="H24" i="3"/>
  <c r="A25" i="3"/>
  <c r="B25" i="3"/>
  <c r="F25" i="3"/>
  <c r="G25" i="3"/>
  <c r="H25" i="3"/>
  <c r="A26" i="3"/>
  <c r="B26" i="3"/>
  <c r="A27" i="3"/>
  <c r="B27" i="3"/>
  <c r="D27" i="3" s="1"/>
  <c r="E27" i="3"/>
  <c r="F27" i="3"/>
  <c r="G27" i="3"/>
  <c r="H27" i="3"/>
  <c r="A28" i="3"/>
  <c r="B28" i="3"/>
  <c r="D28" i="3" s="1"/>
  <c r="A29" i="3"/>
  <c r="B29" i="3"/>
  <c r="A30" i="3"/>
  <c r="B30" i="3"/>
  <c r="D30" i="3" s="1"/>
  <c r="A31" i="3"/>
  <c r="B31" i="3"/>
  <c r="A32" i="3"/>
  <c r="B32" i="3"/>
  <c r="D32" i="3"/>
  <c r="A33" i="3"/>
  <c r="B33" i="3"/>
  <c r="D33" i="3" s="1"/>
  <c r="A34" i="3"/>
  <c r="B34" i="3"/>
  <c r="D34" i="3"/>
  <c r="E34" i="3"/>
  <c r="F34" i="3"/>
  <c r="G34" i="3"/>
  <c r="H34" i="3"/>
  <c r="A35" i="3"/>
  <c r="B35" i="3"/>
  <c r="D35" i="3"/>
  <c r="E35" i="3"/>
  <c r="F35" i="3"/>
  <c r="G35" i="3"/>
  <c r="H35" i="3"/>
  <c r="A36" i="3"/>
  <c r="B36" i="3"/>
  <c r="D36" i="3"/>
  <c r="E36" i="3"/>
  <c r="F36" i="3"/>
  <c r="G36" i="3"/>
  <c r="H36" i="3"/>
  <c r="A37" i="3"/>
  <c r="B37" i="3"/>
  <c r="F37" i="3" s="1"/>
  <c r="G37" i="3"/>
  <c r="H37" i="3"/>
  <c r="A38" i="3"/>
  <c r="B38" i="3"/>
  <c r="H38" i="3" s="1"/>
  <c r="A39" i="3"/>
  <c r="B39" i="3"/>
  <c r="A40" i="3"/>
  <c r="B40" i="3"/>
  <c r="A41" i="3"/>
  <c r="B41" i="3"/>
  <c r="A42" i="3"/>
  <c r="B42" i="3"/>
  <c r="A43" i="3"/>
  <c r="B43" i="3"/>
  <c r="F43" i="3"/>
  <c r="G43" i="3"/>
  <c r="H43" i="3"/>
  <c r="A44" i="3"/>
  <c r="B44" i="3"/>
  <c r="A45" i="3"/>
  <c r="B45" i="3"/>
  <c r="A46" i="3"/>
  <c r="B46" i="3"/>
  <c r="A47" i="3"/>
  <c r="B47" i="3"/>
  <c r="D47" i="3"/>
  <c r="E47" i="3"/>
  <c r="F47" i="3"/>
  <c r="G47" i="3"/>
  <c r="H47" i="3"/>
  <c r="A48" i="3"/>
  <c r="B48" i="3"/>
  <c r="F48" i="3"/>
  <c r="G48" i="3"/>
  <c r="H48" i="3"/>
  <c r="A49" i="3"/>
  <c r="B49" i="3"/>
  <c r="A50" i="3"/>
  <c r="B50" i="3"/>
  <c r="F50" i="3" s="1"/>
  <c r="G50" i="3"/>
  <c r="H50" i="3"/>
  <c r="A51" i="3"/>
  <c r="B51" i="3"/>
  <c r="E51" i="3"/>
  <c r="A52" i="3"/>
  <c r="B52" i="3"/>
  <c r="A53" i="3"/>
  <c r="B53" i="3"/>
  <c r="A54" i="3"/>
  <c r="B54" i="3"/>
  <c r="D54" i="3"/>
  <c r="A55" i="3"/>
  <c r="B55" i="3"/>
  <c r="D55" i="3" s="1"/>
  <c r="E55" i="3"/>
  <c r="F55" i="3"/>
  <c r="G55" i="3"/>
  <c r="H55" i="3"/>
  <c r="A56" i="3"/>
  <c r="B56" i="3"/>
  <c r="D56" i="3" s="1"/>
  <c r="E56" i="3"/>
  <c r="F56" i="3"/>
  <c r="G56" i="3"/>
  <c r="H56" i="3"/>
  <c r="A57" i="3"/>
  <c r="B57" i="3"/>
  <c r="A58" i="3"/>
  <c r="B58" i="3"/>
  <c r="A59" i="3"/>
  <c r="B59" i="3"/>
  <c r="D59" i="3"/>
  <c r="A60" i="3"/>
  <c r="B60" i="3"/>
  <c r="F60" i="3" s="1"/>
  <c r="G60" i="3"/>
  <c r="H60" i="3"/>
  <c r="A61" i="3"/>
  <c r="B61" i="3"/>
  <c r="D61" i="3" s="1"/>
  <c r="E61" i="3"/>
  <c r="F61" i="3"/>
  <c r="G61" i="3"/>
  <c r="H61" i="3"/>
  <c r="A62" i="3"/>
  <c r="B62" i="3"/>
  <c r="D62" i="3" s="1"/>
  <c r="E62" i="3"/>
  <c r="F62" i="3"/>
  <c r="G62" i="3"/>
  <c r="H62" i="3"/>
  <c r="A63" i="3"/>
  <c r="B63" i="3"/>
  <c r="A64" i="3"/>
  <c r="B64" i="3"/>
  <c r="G64" i="3" s="1"/>
  <c r="A65" i="3"/>
  <c r="B65" i="3"/>
  <c r="F65" i="3"/>
  <c r="G65" i="3"/>
  <c r="H65" i="3"/>
  <c r="A66" i="3"/>
  <c r="B66" i="3"/>
  <c r="A67" i="3"/>
  <c r="B67" i="3"/>
  <c r="F67" i="3" s="1"/>
  <c r="G67" i="3"/>
  <c r="H67" i="3"/>
  <c r="A68" i="3"/>
  <c r="B68" i="3"/>
  <c r="F68" i="3"/>
  <c r="G68" i="3"/>
  <c r="H68" i="3"/>
  <c r="A69" i="3"/>
  <c r="B69" i="3"/>
  <c r="H69" i="3" s="1"/>
  <c r="A70" i="3"/>
  <c r="B70" i="3"/>
  <c r="E70" i="3" s="1"/>
  <c r="F70" i="3"/>
  <c r="G70" i="3"/>
  <c r="A71" i="3"/>
  <c r="B71" i="3"/>
  <c r="A72" i="3"/>
  <c r="B72" i="3"/>
  <c r="A73" i="3"/>
  <c r="B73" i="3"/>
  <c r="F73" i="3" s="1"/>
  <c r="G73" i="3"/>
  <c r="H73" i="3"/>
  <c r="A74" i="3"/>
  <c r="B74" i="3"/>
  <c r="F74" i="3"/>
  <c r="G74" i="3"/>
  <c r="H74" i="3"/>
  <c r="A75" i="3"/>
  <c r="B75" i="3"/>
  <c r="D75" i="3" s="1"/>
  <c r="E75" i="3"/>
  <c r="F75" i="3"/>
  <c r="G75" i="3"/>
  <c r="H75" i="3"/>
  <c r="A76" i="3"/>
  <c r="B76" i="3"/>
  <c r="A77" i="3"/>
  <c r="B77" i="3"/>
  <c r="H77" i="3" s="1"/>
  <c r="A78" i="3"/>
  <c r="B78" i="3"/>
  <c r="H78" i="3" s="1"/>
  <c r="A79" i="3"/>
  <c r="B79" i="3"/>
  <c r="F79" i="3" s="1"/>
  <c r="A80" i="3"/>
  <c r="B80" i="3"/>
  <c r="H80" i="3" s="1"/>
  <c r="A81" i="3"/>
  <c r="B81" i="3"/>
  <c r="F81" i="3"/>
  <c r="G81" i="3"/>
  <c r="H81" i="3"/>
  <c r="A82" i="3"/>
  <c r="B82" i="3"/>
  <c r="A83" i="3"/>
  <c r="B83" i="3"/>
  <c r="A84" i="3"/>
  <c r="B84" i="3"/>
  <c r="H84" i="3" s="1"/>
  <c r="A85" i="3"/>
  <c r="B85" i="3"/>
  <c r="A86" i="3"/>
  <c r="B86" i="3"/>
  <c r="G86" i="3"/>
  <c r="A87" i="3"/>
  <c r="B87" i="3"/>
  <c r="H87" i="3" s="1"/>
  <c r="A88" i="3"/>
  <c r="B88" i="3"/>
  <c r="E88" i="3" s="1"/>
  <c r="A89" i="3"/>
  <c r="B89" i="3"/>
  <c r="A90" i="3"/>
  <c r="B90" i="3"/>
  <c r="H90" i="3"/>
  <c r="A91" i="3"/>
  <c r="B91" i="3"/>
  <c r="H91" i="3" s="1"/>
  <c r="A92" i="3"/>
  <c r="B92" i="3"/>
  <c r="H92" i="3" s="1"/>
  <c r="A93" i="3"/>
  <c r="B93" i="3"/>
  <c r="A94" i="3"/>
  <c r="B94" i="3"/>
  <c r="A95" i="3"/>
  <c r="B95" i="3"/>
  <c r="F95" i="3"/>
  <c r="G95" i="3"/>
  <c r="H95" i="3"/>
  <c r="A96" i="3"/>
  <c r="B96" i="3"/>
  <c r="F96" i="3"/>
  <c r="G96" i="3"/>
  <c r="H96" i="3"/>
  <c r="A97" i="3"/>
  <c r="B97" i="3"/>
  <c r="G97" i="3"/>
  <c r="H97" i="3"/>
  <c r="A98" i="3"/>
  <c r="B98" i="3"/>
  <c r="D98" i="3" s="1"/>
  <c r="E98" i="3"/>
  <c r="F98" i="3"/>
  <c r="G98" i="3"/>
  <c r="H98" i="3"/>
  <c r="A99" i="3"/>
  <c r="B99" i="3"/>
  <c r="G99" i="3"/>
  <c r="H99" i="3"/>
  <c r="A100" i="3"/>
  <c r="B100" i="3"/>
  <c r="A101" i="3"/>
  <c r="B101" i="3"/>
  <c r="A102" i="3"/>
  <c r="B102" i="3"/>
  <c r="G102" i="3"/>
  <c r="A103" i="3"/>
  <c r="B103" i="3"/>
  <c r="A104" i="3"/>
  <c r="B104" i="3"/>
  <c r="H104" i="3"/>
  <c r="A105" i="3"/>
  <c r="B105" i="3"/>
  <c r="H105" i="3" s="1"/>
  <c r="A106" i="3"/>
  <c r="B106" i="3"/>
  <c r="H106" i="3" s="1"/>
  <c r="A107" i="3"/>
  <c r="B107" i="3"/>
  <c r="F107" i="3"/>
  <c r="G107" i="3"/>
  <c r="H107" i="3"/>
  <c r="A108" i="3"/>
  <c r="B108" i="3"/>
  <c r="H108" i="3"/>
  <c r="A109" i="3"/>
  <c r="B109" i="3"/>
  <c r="H109" i="3" s="1"/>
  <c r="A110" i="3"/>
  <c r="B110" i="3"/>
  <c r="A111" i="3"/>
  <c r="B111" i="3"/>
  <c r="H111" i="3" s="1"/>
  <c r="A112" i="3"/>
  <c r="B112" i="3"/>
  <c r="G112" i="3" s="1"/>
  <c r="A113" i="3"/>
  <c r="B113" i="3"/>
  <c r="A114" i="3"/>
  <c r="B114" i="3"/>
  <c r="H114" i="3" s="1"/>
  <c r="A115" i="3"/>
  <c r="B115" i="3"/>
  <c r="A116" i="3"/>
  <c r="B116" i="3"/>
  <c r="F116" i="3"/>
  <c r="G116" i="3"/>
  <c r="H116" i="3"/>
  <c r="A117" i="3"/>
  <c r="B117" i="3"/>
  <c r="E117" i="3" s="1"/>
  <c r="A118" i="3"/>
  <c r="B118" i="3"/>
  <c r="A119" i="3"/>
  <c r="B119" i="3"/>
  <c r="H119" i="3" s="1"/>
  <c r="A120" i="3"/>
  <c r="B120" i="3"/>
  <c r="A121" i="3"/>
  <c r="B121" i="3"/>
  <c r="F121" i="3"/>
  <c r="G121" i="3"/>
  <c r="H121" i="3"/>
  <c r="A122" i="3"/>
  <c r="B122" i="3"/>
  <c r="D316" i="2"/>
  <c r="C316" i="2"/>
  <c r="D304" i="2"/>
  <c r="C304" i="2"/>
  <c r="A5" i="3"/>
  <c r="B5" i="3"/>
  <c r="I106" i="1"/>
  <c r="D276" i="2"/>
  <c r="C276" i="2"/>
  <c r="D266" i="2"/>
  <c r="C266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D254" i="2"/>
  <c r="C254" i="2"/>
  <c r="D242" i="2"/>
  <c r="C242" i="2"/>
  <c r="D230" i="2"/>
  <c r="C230" i="2"/>
  <c r="I4" i="1"/>
  <c r="D218" i="2"/>
  <c r="C218" i="2"/>
  <c r="D208" i="2"/>
  <c r="C208" i="2"/>
  <c r="D192" i="2"/>
  <c r="C192" i="2"/>
  <c r="D180" i="2"/>
  <c r="C180" i="2"/>
  <c r="D168" i="2"/>
  <c r="C168" i="2"/>
  <c r="D156" i="2"/>
  <c r="C156" i="2"/>
  <c r="D144" i="2"/>
  <c r="C144" i="2"/>
  <c r="D132" i="2"/>
  <c r="C132" i="2"/>
  <c r="H44" i="3" l="1"/>
  <c r="E44" i="3"/>
  <c r="G44" i="3"/>
  <c r="D71" i="3"/>
  <c r="E71" i="3"/>
  <c r="H86" i="3"/>
  <c r="F86" i="3"/>
  <c r="G120" i="3"/>
  <c r="H120" i="3"/>
  <c r="D116" i="3"/>
  <c r="E116" i="3"/>
  <c r="E19" i="3"/>
  <c r="D19" i="3"/>
  <c r="H71" i="3"/>
  <c r="F71" i="3"/>
  <c r="G71" i="3"/>
  <c r="F102" i="3"/>
  <c r="H102" i="3"/>
  <c r="E7" i="3"/>
  <c r="F7" i="3"/>
  <c r="H19" i="3"/>
  <c r="F19" i="3"/>
  <c r="G19" i="3"/>
  <c r="C19" i="3" s="1"/>
  <c r="H31" i="3"/>
  <c r="D31" i="3"/>
  <c r="E31" i="3"/>
  <c r="F31" i="3"/>
  <c r="G31" i="3"/>
  <c r="E59" i="3"/>
  <c r="F59" i="3"/>
  <c r="G59" i="3"/>
  <c r="H59" i="3"/>
  <c r="F69" i="3"/>
  <c r="G69" i="3"/>
  <c r="D70" i="3"/>
  <c r="H70" i="3"/>
  <c r="F85" i="3"/>
  <c r="G85" i="3"/>
  <c r="H85" i="3"/>
  <c r="G118" i="3"/>
  <c r="H118" i="3"/>
  <c r="G7" i="3"/>
  <c r="H7" i="3"/>
  <c r="D37" i="3"/>
  <c r="E37" i="3"/>
  <c r="D43" i="3"/>
  <c r="E43" i="3"/>
  <c r="D44" i="3"/>
  <c r="F44" i="3"/>
  <c r="F51" i="3"/>
  <c r="D51" i="3"/>
  <c r="D58" i="3"/>
  <c r="E58" i="3"/>
  <c r="F58" i="3"/>
  <c r="G58" i="3"/>
  <c r="H58" i="3"/>
  <c r="D117" i="3"/>
  <c r="F117" i="3"/>
  <c r="G117" i="3"/>
  <c r="H117" i="3"/>
  <c r="H32" i="3"/>
  <c r="E32" i="3"/>
  <c r="F32" i="3"/>
  <c r="G32" i="3"/>
  <c r="D82" i="3"/>
  <c r="E82" i="3"/>
  <c r="F82" i="3"/>
  <c r="G82" i="3"/>
  <c r="H82" i="3"/>
  <c r="F83" i="3"/>
  <c r="G83" i="3"/>
  <c r="H83" i="3"/>
  <c r="D99" i="3"/>
  <c r="E99" i="3"/>
  <c r="F99" i="3"/>
  <c r="D48" i="3"/>
  <c r="E48" i="3"/>
  <c r="G49" i="3"/>
  <c r="H49" i="3"/>
  <c r="D68" i="3"/>
  <c r="E68" i="3"/>
  <c r="D74" i="3"/>
  <c r="E74" i="3"/>
  <c r="D107" i="3"/>
  <c r="E107" i="3"/>
  <c r="I22" i="3"/>
  <c r="F46" i="3"/>
  <c r="D46" i="3"/>
  <c r="E46" i="3"/>
  <c r="F87" i="3"/>
  <c r="G87" i="3"/>
  <c r="F108" i="3"/>
  <c r="G108" i="3"/>
  <c r="F119" i="3"/>
  <c r="G119" i="3"/>
  <c r="D65" i="3"/>
  <c r="E65" i="3"/>
  <c r="G46" i="3"/>
  <c r="H46" i="3"/>
  <c r="E8" i="3"/>
  <c r="D8" i="3"/>
  <c r="D121" i="3"/>
  <c r="E121" i="3"/>
  <c r="F8" i="3"/>
  <c r="G8" i="3"/>
  <c r="H8" i="3"/>
  <c r="F20" i="3"/>
  <c r="G20" i="3"/>
  <c r="H20" i="3"/>
  <c r="I23" i="3"/>
  <c r="I34" i="3"/>
  <c r="I55" i="3"/>
  <c r="I27" i="3"/>
  <c r="D45" i="3"/>
  <c r="E45" i="3"/>
  <c r="D86" i="3"/>
  <c r="E86" i="3"/>
  <c r="E33" i="3"/>
  <c r="F33" i="3"/>
  <c r="G33" i="3"/>
  <c r="H33" i="3"/>
  <c r="F45" i="3"/>
  <c r="G45" i="3"/>
  <c r="H45" i="3"/>
  <c r="D57" i="3"/>
  <c r="E57" i="3"/>
  <c r="F57" i="3"/>
  <c r="G57" i="3"/>
  <c r="H57" i="3"/>
  <c r="G89" i="3"/>
  <c r="H89" i="3"/>
  <c r="E95" i="3"/>
  <c r="D95" i="3"/>
  <c r="D120" i="3"/>
  <c r="E120" i="3"/>
  <c r="F120" i="3"/>
  <c r="E9" i="3"/>
  <c r="F9" i="3"/>
  <c r="G9" i="3"/>
  <c r="H9" i="3"/>
  <c r="E21" i="3"/>
  <c r="F21" i="3"/>
  <c r="G21" i="3"/>
  <c r="H21" i="3"/>
  <c r="D72" i="3"/>
  <c r="E72" i="3"/>
  <c r="F72" i="3"/>
  <c r="G72" i="3"/>
  <c r="H72" i="3"/>
  <c r="D97" i="3"/>
  <c r="E97" i="3"/>
  <c r="F97" i="3"/>
  <c r="F101" i="3"/>
  <c r="G101" i="3"/>
  <c r="H101" i="3"/>
  <c r="G103" i="3"/>
  <c r="H103" i="3"/>
  <c r="F90" i="3"/>
  <c r="G90" i="3"/>
  <c r="D96" i="3"/>
  <c r="E96" i="3"/>
  <c r="F104" i="3"/>
  <c r="G104" i="3"/>
  <c r="D108" i="3"/>
  <c r="E108" i="3"/>
  <c r="H40" i="3"/>
  <c r="D40" i="3"/>
  <c r="E40" i="3"/>
  <c r="F40" i="3"/>
  <c r="G40" i="3"/>
  <c r="F76" i="3"/>
  <c r="G76" i="3"/>
  <c r="E15" i="3"/>
  <c r="F15" i="3"/>
  <c r="F84" i="3"/>
  <c r="G84" i="3"/>
  <c r="I59" i="3"/>
  <c r="H15" i="3"/>
  <c r="G15" i="3"/>
  <c r="D60" i="3"/>
  <c r="E60" i="3"/>
  <c r="D63" i="3"/>
  <c r="E63" i="3"/>
  <c r="F63" i="3"/>
  <c r="E64" i="3"/>
  <c r="F64" i="3"/>
  <c r="D78" i="3"/>
  <c r="E78" i="3"/>
  <c r="F78" i="3"/>
  <c r="G78" i="3"/>
  <c r="D80" i="3"/>
  <c r="E80" i="3"/>
  <c r="F80" i="3"/>
  <c r="G80" i="3"/>
  <c r="D83" i="3"/>
  <c r="E83" i="3"/>
  <c r="F109" i="3"/>
  <c r="G109" i="3"/>
  <c r="D111" i="3"/>
  <c r="F111" i="3"/>
  <c r="G111" i="3"/>
  <c r="E111" i="3"/>
  <c r="D118" i="3"/>
  <c r="E118" i="3"/>
  <c r="F118" i="3"/>
  <c r="I47" i="3"/>
  <c r="D64" i="3"/>
  <c r="H64" i="3"/>
  <c r="D42" i="3"/>
  <c r="E42" i="3"/>
  <c r="F42" i="3"/>
  <c r="H54" i="3"/>
  <c r="E54" i="3"/>
  <c r="F54" i="3"/>
  <c r="G54" i="3"/>
  <c r="D79" i="3"/>
  <c r="E79" i="3"/>
  <c r="D87" i="3"/>
  <c r="E87" i="3"/>
  <c r="G93" i="3"/>
  <c r="H93" i="3"/>
  <c r="G122" i="3"/>
  <c r="H122" i="3"/>
  <c r="G42" i="3"/>
  <c r="H42" i="3"/>
  <c r="D77" i="3"/>
  <c r="E77" i="3"/>
  <c r="F77" i="3"/>
  <c r="G77" i="3"/>
  <c r="D90" i="3"/>
  <c r="E90" i="3"/>
  <c r="F94" i="3"/>
  <c r="G94" i="3"/>
  <c r="H94" i="3"/>
  <c r="I36" i="3"/>
  <c r="I35" i="3"/>
  <c r="H16" i="3"/>
  <c r="D16" i="3"/>
  <c r="E16" i="3"/>
  <c r="F16" i="3"/>
  <c r="G16" i="3"/>
  <c r="D94" i="3"/>
  <c r="E94" i="3"/>
  <c r="D109" i="3"/>
  <c r="E109" i="3"/>
  <c r="H26" i="3"/>
  <c r="F26" i="3"/>
  <c r="E26" i="3"/>
  <c r="D26" i="3"/>
  <c r="G26" i="3"/>
  <c r="D38" i="3"/>
  <c r="E38" i="3"/>
  <c r="F38" i="3"/>
  <c r="G38" i="3"/>
  <c r="H39" i="3"/>
  <c r="E39" i="3"/>
  <c r="F39" i="3"/>
  <c r="G39" i="3"/>
  <c r="D39" i="3"/>
  <c r="E66" i="3"/>
  <c r="D66" i="3"/>
  <c r="F66" i="3"/>
  <c r="H66" i="3"/>
  <c r="G66" i="3"/>
  <c r="H79" i="3"/>
  <c r="G79" i="3"/>
  <c r="G92" i="3"/>
  <c r="F92" i="3"/>
  <c r="D102" i="3"/>
  <c r="E102" i="3"/>
  <c r="D110" i="3"/>
  <c r="F110" i="3"/>
  <c r="E110" i="3"/>
  <c r="H110" i="3"/>
  <c r="G110" i="3"/>
  <c r="H28" i="3"/>
  <c r="E28" i="3"/>
  <c r="F28" i="3"/>
  <c r="G28" i="3"/>
  <c r="H63" i="3"/>
  <c r="G63" i="3"/>
  <c r="D104" i="3"/>
  <c r="E104" i="3"/>
  <c r="D52" i="3"/>
  <c r="E52" i="3"/>
  <c r="F52" i="3"/>
  <c r="F112" i="3"/>
  <c r="H112" i="3"/>
  <c r="D114" i="3"/>
  <c r="E114" i="3"/>
  <c r="F114" i="3"/>
  <c r="G114" i="3"/>
  <c r="D49" i="3"/>
  <c r="E49" i="3"/>
  <c r="F49" i="3"/>
  <c r="D67" i="3"/>
  <c r="E67" i="3"/>
  <c r="D81" i="3"/>
  <c r="E81" i="3"/>
  <c r="D93" i="3"/>
  <c r="E93" i="3"/>
  <c r="F93" i="3"/>
  <c r="D69" i="3"/>
  <c r="E69" i="3"/>
  <c r="D105" i="3"/>
  <c r="F105" i="3"/>
  <c r="G105" i="3"/>
  <c r="E105" i="3"/>
  <c r="F106" i="3"/>
  <c r="G106" i="3"/>
  <c r="F17" i="3"/>
  <c r="D17" i="3"/>
  <c r="E17" i="3"/>
  <c r="D84" i="3"/>
  <c r="E84" i="3"/>
  <c r="D112" i="3"/>
  <c r="E112" i="3"/>
  <c r="D41" i="3"/>
  <c r="E41" i="3"/>
  <c r="F41" i="3"/>
  <c r="G41" i="3"/>
  <c r="H41" i="3"/>
  <c r="G52" i="3"/>
  <c r="H52" i="3"/>
  <c r="D85" i="3"/>
  <c r="E85" i="3"/>
  <c r="D89" i="3"/>
  <c r="F89" i="3"/>
  <c r="E89" i="3"/>
  <c r="D92" i="3"/>
  <c r="E92" i="3"/>
  <c r="D101" i="3"/>
  <c r="E101" i="3"/>
  <c r="I24" i="3"/>
  <c r="D25" i="3"/>
  <c r="E25" i="3"/>
  <c r="D29" i="3"/>
  <c r="E29" i="3"/>
  <c r="D50" i="3"/>
  <c r="E50" i="3"/>
  <c r="G51" i="3"/>
  <c r="H51" i="3"/>
  <c r="D119" i="3"/>
  <c r="E119" i="3"/>
  <c r="F5" i="3"/>
  <c r="D5" i="3"/>
  <c r="D73" i="3"/>
  <c r="E73" i="3"/>
  <c r="H76" i="3"/>
  <c r="D76" i="3"/>
  <c r="E76" i="3"/>
  <c r="F113" i="3"/>
  <c r="G113" i="3"/>
  <c r="H113" i="3"/>
  <c r="I61" i="3"/>
  <c r="I75" i="3"/>
  <c r="I62" i="3"/>
  <c r="H18" i="3"/>
  <c r="D18" i="3"/>
  <c r="E18" i="3"/>
  <c r="F18" i="3"/>
  <c r="G18" i="3"/>
  <c r="D91" i="3"/>
  <c r="E91" i="3"/>
  <c r="F91" i="3"/>
  <c r="G91" i="3"/>
  <c r="D103" i="3"/>
  <c r="E103" i="3"/>
  <c r="F103" i="3"/>
  <c r="D106" i="3"/>
  <c r="E106" i="3"/>
  <c r="E30" i="3"/>
  <c r="F30" i="3"/>
  <c r="G30" i="3"/>
  <c r="H30" i="3"/>
  <c r="D113" i="3"/>
  <c r="E113" i="3"/>
  <c r="D122" i="3"/>
  <c r="E122" i="3"/>
  <c r="F122" i="3"/>
  <c r="C6" i="3"/>
  <c r="I6" i="3"/>
  <c r="C10" i="3"/>
  <c r="I10" i="3"/>
  <c r="C11" i="3"/>
  <c r="I11" i="3"/>
  <c r="C12" i="3"/>
  <c r="I12" i="3"/>
  <c r="C13" i="3"/>
  <c r="I13" i="3"/>
  <c r="C14" i="3"/>
  <c r="I14" i="3"/>
  <c r="C22" i="3"/>
  <c r="C23" i="3"/>
  <c r="C24" i="3"/>
  <c r="C27" i="3"/>
  <c r="C34" i="3"/>
  <c r="C35" i="3"/>
  <c r="C36" i="3"/>
  <c r="C56" i="3"/>
  <c r="I56" i="3"/>
  <c r="C75" i="3"/>
  <c r="C98" i="3"/>
  <c r="C116" i="3"/>
  <c r="C47" i="3"/>
  <c r="C55" i="3"/>
  <c r="I98" i="3"/>
  <c r="C61" i="3"/>
  <c r="C62" i="3"/>
  <c r="H17" i="3"/>
  <c r="G17" i="3"/>
  <c r="G115" i="3"/>
  <c r="H115" i="3"/>
  <c r="E115" i="3"/>
  <c r="D115" i="3"/>
  <c r="F115" i="3"/>
  <c r="F29" i="3"/>
  <c r="H29" i="3"/>
  <c r="G29" i="3"/>
  <c r="D53" i="3"/>
  <c r="F53" i="3"/>
  <c r="H53" i="3"/>
  <c r="G53" i="3"/>
  <c r="E53" i="3"/>
  <c r="G88" i="3"/>
  <c r="F88" i="3"/>
  <c r="D88" i="3"/>
  <c r="H88" i="3"/>
  <c r="D100" i="3"/>
  <c r="E100" i="3"/>
  <c r="F100" i="3"/>
  <c r="G100" i="3"/>
  <c r="H100" i="3"/>
  <c r="H5" i="3"/>
  <c r="E5" i="3"/>
  <c r="G5" i="3"/>
  <c r="D122" i="2"/>
  <c r="C122" i="2"/>
  <c r="D110" i="2"/>
  <c r="C110" i="2"/>
  <c r="D98" i="2"/>
  <c r="C98" i="2"/>
  <c r="D86" i="2"/>
  <c r="C86" i="2"/>
  <c r="D74" i="2"/>
  <c r="C74" i="2"/>
  <c r="E16" i="12"/>
  <c r="D60" i="2"/>
  <c r="C60" i="2"/>
  <c r="D46" i="2"/>
  <c r="C46" i="2"/>
  <c r="C35" i="2"/>
  <c r="D35" i="2"/>
  <c r="D22" i="2"/>
  <c r="C22" i="2"/>
  <c r="D11" i="2"/>
  <c r="C11" i="2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4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I70" i="3" l="1"/>
  <c r="I19" i="3"/>
  <c r="I31" i="3"/>
  <c r="C59" i="3"/>
  <c r="I37" i="3"/>
  <c r="C70" i="3"/>
  <c r="I116" i="3"/>
  <c r="C31" i="3"/>
  <c r="C71" i="3"/>
  <c r="I71" i="3"/>
  <c r="I117" i="3"/>
  <c r="C117" i="3"/>
  <c r="C7" i="3"/>
  <c r="I7" i="3"/>
  <c r="C37" i="3"/>
  <c r="I43" i="3"/>
  <c r="C43" i="3"/>
  <c r="C44" i="3"/>
  <c r="I44" i="3"/>
  <c r="C58" i="3"/>
  <c r="I58" i="3"/>
  <c r="I32" i="3"/>
  <c r="I46" i="3"/>
  <c r="I48" i="3"/>
  <c r="C32" i="3"/>
  <c r="C48" i="3"/>
  <c r="I65" i="3"/>
  <c r="I82" i="3"/>
  <c r="C82" i="3"/>
  <c r="I99" i="3"/>
  <c r="C99" i="3"/>
  <c r="I68" i="3"/>
  <c r="C68" i="3"/>
  <c r="C74" i="3"/>
  <c r="I74" i="3"/>
  <c r="I107" i="3"/>
  <c r="C107" i="3"/>
  <c r="C65" i="3"/>
  <c r="C46" i="3"/>
  <c r="I121" i="3"/>
  <c r="C121" i="3"/>
  <c r="I8" i="3"/>
  <c r="C8" i="3"/>
  <c r="I20" i="3"/>
  <c r="C20" i="3"/>
  <c r="I83" i="3"/>
  <c r="I77" i="3"/>
  <c r="C45" i="3"/>
  <c r="C33" i="3"/>
  <c r="I96" i="3"/>
  <c r="I60" i="3"/>
  <c r="I45" i="3"/>
  <c r="I40" i="3"/>
  <c r="I86" i="3"/>
  <c r="C86" i="3"/>
  <c r="C90" i="3"/>
  <c r="I33" i="3"/>
  <c r="C96" i="3"/>
  <c r="I80" i="3"/>
  <c r="C57" i="3"/>
  <c r="I57" i="3"/>
  <c r="I95" i="3"/>
  <c r="C95" i="3"/>
  <c r="I120" i="3"/>
  <c r="C120" i="3"/>
  <c r="I9" i="3"/>
  <c r="C9" i="3"/>
  <c r="H61" i="1" s="1"/>
  <c r="I21" i="3"/>
  <c r="C21" i="3"/>
  <c r="I72" i="3"/>
  <c r="C72" i="3"/>
  <c r="C97" i="3"/>
  <c r="I97" i="3"/>
  <c r="C108" i="3"/>
  <c r="I108" i="3"/>
  <c r="I64" i="3"/>
  <c r="I90" i="3"/>
  <c r="I118" i="3"/>
  <c r="C15" i="3"/>
  <c r="C40" i="3"/>
  <c r="I87" i="3"/>
  <c r="C118" i="3"/>
  <c r="C64" i="3"/>
  <c r="C83" i="3"/>
  <c r="C60" i="3"/>
  <c r="C78" i="3"/>
  <c r="C80" i="3"/>
  <c r="C38" i="3"/>
  <c r="I15" i="3"/>
  <c r="I78" i="3"/>
  <c r="I109" i="3"/>
  <c r="I111" i="3"/>
  <c r="C111" i="3"/>
  <c r="C54" i="3"/>
  <c r="I104" i="3"/>
  <c r="C87" i="3"/>
  <c r="C42" i="3"/>
  <c r="H42" i="1" s="1"/>
  <c r="C77" i="3"/>
  <c r="I28" i="3"/>
  <c r="C109" i="3"/>
  <c r="I38" i="3"/>
  <c r="C73" i="3"/>
  <c r="I54" i="3"/>
  <c r="C69" i="3"/>
  <c r="C66" i="3"/>
  <c r="I42" i="3"/>
  <c r="C28" i="3"/>
  <c r="C16" i="3"/>
  <c r="I16" i="3"/>
  <c r="C94" i="3"/>
  <c r="I94" i="3"/>
  <c r="I26" i="3"/>
  <c r="C26" i="3"/>
  <c r="C39" i="3"/>
  <c r="I39" i="3"/>
  <c r="C104" i="3"/>
  <c r="I114" i="3"/>
  <c r="C79" i="3"/>
  <c r="I79" i="3"/>
  <c r="I66" i="3"/>
  <c r="I49" i="3"/>
  <c r="I69" i="3"/>
  <c r="I102" i="3"/>
  <c r="C102" i="3"/>
  <c r="C110" i="3"/>
  <c r="I110" i="3"/>
  <c r="C25" i="3"/>
  <c r="C114" i="3"/>
  <c r="C63" i="3"/>
  <c r="I63" i="3"/>
  <c r="C49" i="3"/>
  <c r="I85" i="3"/>
  <c r="C51" i="3"/>
  <c r="C67" i="3"/>
  <c r="I67" i="3"/>
  <c r="C81" i="3"/>
  <c r="I81" i="3"/>
  <c r="C93" i="3"/>
  <c r="I93" i="3"/>
  <c r="I89" i="3"/>
  <c r="I101" i="3"/>
  <c r="I103" i="3"/>
  <c r="C89" i="3"/>
  <c r="I25" i="3"/>
  <c r="I73" i="3"/>
  <c r="I105" i="3"/>
  <c r="C105" i="3"/>
  <c r="C50" i="3"/>
  <c r="C119" i="3"/>
  <c r="C101" i="3"/>
  <c r="I18" i="3"/>
  <c r="C85" i="3"/>
  <c r="I84" i="3"/>
  <c r="C84" i="3"/>
  <c r="C112" i="3"/>
  <c r="I112" i="3"/>
  <c r="I119" i="3"/>
  <c r="I76" i="3"/>
  <c r="I41" i="3"/>
  <c r="C41" i="3"/>
  <c r="C52" i="3"/>
  <c r="I52" i="3"/>
  <c r="I92" i="3"/>
  <c r="C92" i="3"/>
  <c r="I50" i="3"/>
  <c r="I51" i="3"/>
  <c r="C76" i="3"/>
  <c r="C18" i="3"/>
  <c r="C103" i="3"/>
  <c r="C30" i="3"/>
  <c r="C122" i="3"/>
  <c r="C113" i="3"/>
  <c r="I122" i="3"/>
  <c r="I91" i="3"/>
  <c r="C91" i="3"/>
  <c r="I106" i="3"/>
  <c r="C106" i="3"/>
  <c r="I17" i="3"/>
  <c r="C17" i="3"/>
  <c r="I113" i="3"/>
  <c r="I30" i="3"/>
  <c r="I115" i="3"/>
  <c r="C115" i="3"/>
  <c r="C53" i="3"/>
  <c r="I53" i="3"/>
  <c r="C88" i="3"/>
  <c r="I88" i="3"/>
  <c r="C100" i="3"/>
  <c r="H31" i="1" s="1"/>
  <c r="I100" i="3"/>
  <c r="I29" i="3"/>
  <c r="C29" i="3"/>
  <c r="I5" i="3"/>
  <c r="C5" i="3"/>
  <c r="E7" i="12"/>
  <c r="E3" i="12"/>
  <c r="D2" i="1"/>
  <c r="E5" i="12"/>
  <c r="E10" i="12"/>
  <c r="E14" i="12"/>
  <c r="D1" i="1"/>
  <c r="E11" i="12"/>
  <c r="E15" i="12"/>
  <c r="E13" i="12"/>
  <c r="E12" i="12"/>
  <c r="E6" i="12"/>
  <c r="E9" i="12"/>
  <c r="E8" i="12"/>
  <c r="Q3" i="12"/>
  <c r="Q7" i="12"/>
  <c r="Q10" i="12"/>
  <c r="Q8" i="12"/>
  <c r="Q9" i="12"/>
  <c r="Q5" i="12"/>
  <c r="Q6" i="12"/>
  <c r="Q12" i="12"/>
  <c r="Q11" i="12"/>
  <c r="E22" i="8"/>
  <c r="E17" i="8"/>
  <c r="E15" i="8"/>
  <c r="E33" i="8"/>
  <c r="E27" i="8"/>
  <c r="E5" i="8"/>
  <c r="E6" i="8"/>
  <c r="E7" i="8"/>
  <c r="E8" i="8"/>
  <c r="E9" i="8"/>
  <c r="E10" i="8"/>
  <c r="E11" i="8"/>
  <c r="E12" i="8"/>
  <c r="E13" i="8"/>
  <c r="E14" i="8"/>
  <c r="E16" i="8"/>
  <c r="E18" i="8"/>
  <c r="E19" i="8"/>
  <c r="E20" i="8"/>
  <c r="E21" i="8"/>
  <c r="E23" i="8"/>
  <c r="E24" i="8"/>
  <c r="E25" i="8"/>
  <c r="E26" i="8"/>
  <c r="E28" i="8"/>
  <c r="E29" i="8"/>
  <c r="E30" i="8"/>
  <c r="E31" i="8"/>
  <c r="E32" i="8"/>
  <c r="E34" i="8"/>
  <c r="E35" i="8"/>
  <c r="E36" i="8"/>
  <c r="E37" i="8"/>
  <c r="E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4" i="8"/>
  <c r="BF2" i="1"/>
  <c r="BG2" i="1"/>
  <c r="I29" i="8"/>
  <c r="D10" i="9"/>
  <c r="C10" i="9"/>
  <c r="H79" i="1" l="1"/>
  <c r="H7" i="1"/>
  <c r="H36" i="1"/>
  <c r="H92" i="1"/>
  <c r="H70" i="1"/>
  <c r="H32" i="1"/>
  <c r="H80" i="1"/>
  <c r="H34" i="1"/>
  <c r="H98" i="1"/>
  <c r="H56" i="1"/>
  <c r="H68" i="1"/>
  <c r="H63" i="1"/>
  <c r="H89" i="1"/>
  <c r="H14" i="1"/>
  <c r="H58" i="1"/>
  <c r="H20" i="1"/>
  <c r="H120" i="1"/>
  <c r="H117" i="1"/>
  <c r="H93" i="1"/>
  <c r="H122" i="1"/>
  <c r="H65" i="1"/>
  <c r="H52" i="1"/>
  <c r="H13" i="1"/>
  <c r="H72" i="1"/>
  <c r="H95" i="1"/>
  <c r="H97" i="1"/>
  <c r="H47" i="1"/>
  <c r="H19" i="1"/>
  <c r="H115" i="1"/>
  <c r="H88" i="1"/>
  <c r="H57" i="1"/>
  <c r="H23" i="1"/>
  <c r="H24" i="1"/>
  <c r="H10" i="1"/>
  <c r="H35" i="1"/>
  <c r="H64" i="1"/>
  <c r="H60" i="1"/>
  <c r="H78" i="1"/>
  <c r="H111" i="1"/>
  <c r="H87" i="1"/>
  <c r="H69" i="1"/>
  <c r="H94" i="1"/>
  <c r="H121" i="1"/>
  <c r="H59" i="1"/>
  <c r="H12" i="1"/>
  <c r="H113" i="1"/>
  <c r="H91" i="1"/>
  <c r="H106" i="1"/>
  <c r="H53" i="1"/>
  <c r="H22" i="1"/>
  <c r="H109" i="1"/>
  <c r="H73" i="1"/>
  <c r="H66" i="1"/>
  <c r="H28" i="1"/>
  <c r="H26" i="1"/>
  <c r="H104" i="1"/>
  <c r="H103" i="1"/>
  <c r="H100" i="1"/>
  <c r="H40" i="1"/>
  <c r="H110" i="1"/>
  <c r="H25" i="1"/>
  <c r="H114" i="1"/>
  <c r="H49" i="1"/>
  <c r="H51" i="1"/>
  <c r="H67" i="1"/>
  <c r="H81" i="1"/>
  <c r="H18" i="1"/>
  <c r="H30" i="1"/>
  <c r="H96" i="1"/>
  <c r="H118" i="1"/>
  <c r="H105" i="1"/>
  <c r="H119" i="1"/>
  <c r="H101" i="1"/>
  <c r="H84" i="1"/>
  <c r="H112" i="1"/>
  <c r="H29" i="1"/>
  <c r="H86" i="1"/>
  <c r="H45" i="1"/>
  <c r="H75" i="1"/>
  <c r="H33" i="1"/>
  <c r="H90" i="1"/>
  <c r="H107" i="1"/>
  <c r="H9" i="1"/>
  <c r="H55" i="1"/>
  <c r="H21" i="1"/>
  <c r="H62" i="1"/>
  <c r="H108" i="1"/>
  <c r="H116" i="1"/>
  <c r="H83" i="1"/>
  <c r="H71" i="1"/>
  <c r="H54" i="1"/>
  <c r="H82" i="1"/>
  <c r="H77" i="1"/>
  <c r="H99" i="1"/>
  <c r="H102" i="1"/>
  <c r="H48" i="1"/>
  <c r="H50" i="1"/>
  <c r="H43" i="1"/>
  <c r="H85" i="1"/>
  <c r="H46" i="1"/>
  <c r="H41" i="1"/>
  <c r="H74" i="1"/>
  <c r="H76" i="1"/>
  <c r="H27" i="1"/>
  <c r="H17" i="1"/>
  <c r="H11" i="1"/>
  <c r="H5" i="1"/>
  <c r="H37" i="1"/>
  <c r="E4" i="12"/>
  <c r="Q4" i="12"/>
  <c r="BE2" i="1"/>
  <c r="I37" i="8"/>
  <c r="I36" i="8"/>
  <c r="I35" i="8"/>
  <c r="I34" i="8"/>
  <c r="I33" i="8"/>
  <c r="I32" i="8"/>
  <c r="I31" i="8"/>
  <c r="I30" i="8"/>
  <c r="I28" i="8"/>
  <c r="I27" i="8"/>
  <c r="I26" i="8"/>
  <c r="I25" i="8"/>
  <c r="I24" i="8"/>
  <c r="I23" i="8"/>
  <c r="I21" i="8"/>
  <c r="I20" i="8"/>
  <c r="I19" i="8"/>
  <c r="I18" i="8"/>
  <c r="I17" i="8"/>
  <c r="I16" i="8"/>
  <c r="I14" i="8"/>
  <c r="I13" i="8"/>
  <c r="I12" i="8"/>
  <c r="I11" i="8"/>
  <c r="I10" i="8"/>
  <c r="I9" i="8"/>
  <c r="I8" i="8"/>
  <c r="I7" i="8"/>
  <c r="I6" i="8"/>
  <c r="I5" i="8"/>
  <c r="I4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E2" i="8"/>
  <c r="D2" i="8"/>
  <c r="H2" i="8" l="1"/>
  <c r="S7" i="12" l="1"/>
  <c r="S5" i="12"/>
  <c r="S12" i="12"/>
  <c r="S6" i="12"/>
  <c r="S9" i="12"/>
  <c r="G4" i="12"/>
  <c r="G7" i="12"/>
  <c r="S11" i="12"/>
  <c r="G6" i="12"/>
  <c r="G13" i="12"/>
  <c r="G9" i="12"/>
  <c r="H29" i="8"/>
  <c r="H27" i="8" l="1"/>
  <c r="H32" i="8"/>
  <c r="H26" i="8"/>
  <c r="H25" i="8"/>
  <c r="H37" i="8"/>
  <c r="H28" i="8"/>
  <c r="H35" i="8"/>
  <c r="H36" i="8"/>
  <c r="H34" i="8"/>
  <c r="H30" i="8"/>
  <c r="H33" i="8"/>
  <c r="H31" i="8"/>
  <c r="E2" i="1" l="1"/>
  <c r="B4" i="3" l="1"/>
  <c r="A4" i="3"/>
  <c r="H2" i="1"/>
  <c r="U14" i="3" l="1"/>
  <c r="M18" i="3"/>
  <c r="O16" i="3"/>
  <c r="O15" i="3"/>
  <c r="O14" i="3"/>
  <c r="O13" i="3"/>
  <c r="S17" i="3"/>
  <c r="M17" i="3"/>
  <c r="U13" i="3"/>
  <c r="S16" i="3"/>
  <c r="U12" i="3"/>
  <c r="U11" i="3"/>
  <c r="U10" i="3"/>
  <c r="U9" i="3"/>
  <c r="U8" i="3"/>
  <c r="Q15" i="3"/>
  <c r="M5" i="3"/>
  <c r="M6" i="3"/>
  <c r="M7" i="3"/>
  <c r="M9" i="3"/>
  <c r="M8" i="3"/>
  <c r="M14" i="3"/>
  <c r="Q14" i="3"/>
  <c r="O11" i="3"/>
  <c r="S15" i="3"/>
  <c r="S14" i="3"/>
  <c r="O12" i="3"/>
  <c r="Q13" i="3"/>
  <c r="Q12" i="3"/>
  <c r="S13" i="3"/>
  <c r="S12" i="3"/>
  <c r="H4" i="3"/>
  <c r="D4" i="3"/>
  <c r="M16" i="3" s="1"/>
  <c r="F4" i="3"/>
  <c r="E4" i="3"/>
  <c r="O6" i="3" s="1"/>
  <c r="G4" i="3"/>
  <c r="U7" i="3"/>
  <c r="U5" i="3"/>
  <c r="Q5" i="3"/>
  <c r="Q6" i="3"/>
  <c r="U4" i="3"/>
  <c r="S5" i="3"/>
  <c r="Q7" i="3"/>
  <c r="O4" i="3"/>
  <c r="S6" i="3"/>
  <c r="Q8" i="3"/>
  <c r="M4" i="3"/>
  <c r="S7" i="3"/>
  <c r="Q9" i="3"/>
  <c r="S8" i="3"/>
  <c r="Q10" i="3"/>
  <c r="S9" i="3"/>
  <c r="Q11" i="3"/>
  <c r="S10" i="3"/>
  <c r="S11" i="3"/>
  <c r="Q4" i="3"/>
  <c r="U6" i="3"/>
  <c r="S4" i="3"/>
  <c r="M10" i="3" l="1"/>
  <c r="C4" i="3"/>
  <c r="H39" i="1" s="1"/>
  <c r="M15" i="3"/>
  <c r="M13" i="3"/>
  <c r="O8" i="3"/>
  <c r="M12" i="3"/>
  <c r="M11" i="3"/>
  <c r="O7" i="3"/>
  <c r="O5" i="3"/>
  <c r="O10" i="3"/>
  <c r="O9" i="3"/>
  <c r="I4" i="3"/>
  <c r="H2" i="3"/>
  <c r="E2" i="3"/>
  <c r="G2" i="3"/>
  <c r="D2" i="3"/>
  <c r="F2" i="3"/>
  <c r="H15" i="1" l="1"/>
  <c r="H6" i="1"/>
  <c r="H38" i="1"/>
  <c r="H44" i="1"/>
  <c r="H16" i="1"/>
  <c r="H8" i="1"/>
  <c r="G12" i="12"/>
  <c r="G14" i="12"/>
  <c r="G17" i="12"/>
  <c r="S3" i="12"/>
  <c r="G11" i="12"/>
  <c r="H7" i="8"/>
  <c r="G16" i="12"/>
  <c r="S10" i="12"/>
  <c r="H20" i="8"/>
  <c r="H24" i="8"/>
  <c r="H23" i="8"/>
  <c r="H21" i="8"/>
  <c r="H14" i="8"/>
  <c r="H19" i="8"/>
  <c r="H8" i="8"/>
  <c r="H18" i="8"/>
  <c r="H12" i="8"/>
  <c r="H17" i="8"/>
  <c r="H11" i="8"/>
  <c r="H10" i="8"/>
  <c r="H4" i="1"/>
  <c r="H16" i="8"/>
  <c r="H13" i="8"/>
  <c r="H9" i="8"/>
  <c r="H5" i="8"/>
  <c r="H4" i="8"/>
  <c r="H6" i="8"/>
  <c r="G4" i="1" l="1"/>
  <c r="G106" i="1"/>
  <c r="G40" i="1"/>
  <c r="G62" i="1"/>
  <c r="G29" i="1"/>
  <c r="G102" i="1"/>
  <c r="G86" i="1"/>
  <c r="G54" i="1"/>
  <c r="G68" i="1"/>
  <c r="G69" i="1"/>
  <c r="G13" i="1"/>
  <c r="G34" i="1"/>
  <c r="G36" i="1"/>
  <c r="G113" i="1"/>
  <c r="G47" i="1"/>
  <c r="G105" i="1"/>
  <c r="G48" i="1"/>
  <c r="G116" i="1"/>
  <c r="G21" i="1"/>
  <c r="G32" i="1"/>
  <c r="G16" i="1"/>
  <c r="G22" i="1"/>
  <c r="G27" i="1"/>
  <c r="G23" i="1"/>
  <c r="G37" i="1"/>
  <c r="G97" i="1"/>
  <c r="G104" i="1"/>
  <c r="G44" i="1"/>
  <c r="G73" i="1"/>
  <c r="G70" i="1"/>
  <c r="G84" i="1"/>
  <c r="G51" i="1"/>
  <c r="G74" i="1"/>
  <c r="G72" i="1"/>
  <c r="G66" i="1"/>
  <c r="G82" i="1"/>
  <c r="G31" i="1"/>
  <c r="G100" i="1"/>
  <c r="G85" i="1"/>
  <c r="G89" i="1"/>
  <c r="G77" i="1"/>
  <c r="G14" i="1"/>
  <c r="G76" i="1"/>
  <c r="G38" i="1"/>
  <c r="G108" i="1"/>
  <c r="G6" i="1"/>
  <c r="G59" i="1"/>
  <c r="G63" i="1"/>
  <c r="G5" i="1"/>
  <c r="G39" i="1"/>
  <c r="G57" i="1"/>
  <c r="G12" i="1"/>
  <c r="G67" i="1"/>
  <c r="G107" i="1"/>
  <c r="G81" i="1"/>
  <c r="G91" i="1"/>
  <c r="G20" i="1"/>
  <c r="G71" i="1"/>
  <c r="G15" i="1"/>
  <c r="G80" i="1"/>
  <c r="G122" i="1"/>
  <c r="G35" i="1"/>
  <c r="G95" i="1"/>
  <c r="G75" i="1"/>
  <c r="G111" i="1"/>
  <c r="G94" i="1"/>
  <c r="G17" i="1"/>
  <c r="G25" i="1"/>
  <c r="G8" i="1"/>
  <c r="G121" i="1"/>
  <c r="G83" i="1"/>
  <c r="G90" i="1"/>
  <c r="G64" i="1"/>
  <c r="G96" i="1"/>
  <c r="G79" i="1"/>
  <c r="G119" i="1"/>
  <c r="G10" i="1"/>
  <c r="G18" i="1"/>
  <c r="G55" i="1"/>
  <c r="G87" i="1"/>
  <c r="G11" i="1"/>
  <c r="G112" i="1"/>
  <c r="G103" i="1"/>
  <c r="G99" i="1"/>
  <c r="G65" i="1"/>
  <c r="G56" i="1"/>
  <c r="G7" i="1"/>
  <c r="G93" i="1"/>
  <c r="G61" i="1"/>
  <c r="G24" i="1"/>
  <c r="G30" i="1"/>
  <c r="G120" i="1"/>
  <c r="G78" i="1"/>
  <c r="G88" i="1"/>
  <c r="G53" i="1"/>
  <c r="G98" i="1"/>
  <c r="G101" i="1"/>
  <c r="G110" i="1"/>
  <c r="G19" i="1"/>
  <c r="G60" i="1"/>
  <c r="G52" i="1"/>
  <c r="G42" i="1"/>
  <c r="G118" i="1"/>
  <c r="G26" i="1"/>
  <c r="G9" i="1"/>
  <c r="G28" i="1"/>
  <c r="G43" i="1"/>
  <c r="G58" i="1"/>
  <c r="G117" i="1"/>
  <c r="G92" i="1"/>
  <c r="G114" i="1"/>
  <c r="G49" i="1"/>
  <c r="G50" i="1"/>
  <c r="G46" i="1"/>
  <c r="G41" i="1"/>
  <c r="G33" i="1"/>
  <c r="G115" i="1"/>
  <c r="G45" i="1"/>
  <c r="G109" i="1"/>
  <c r="S4" i="12"/>
  <c r="G5" i="12"/>
  <c r="S8" i="12"/>
  <c r="G3" i="12"/>
  <c r="G8" i="12"/>
  <c r="G15" i="12"/>
  <c r="G10" i="12"/>
  <c r="G29" i="8"/>
  <c r="G36" i="8"/>
  <c r="G37" i="8"/>
  <c r="G23" i="8"/>
  <c r="G18" i="8"/>
  <c r="G7" i="8"/>
  <c r="G10" i="8"/>
  <c r="G16" i="8"/>
  <c r="G24" i="8"/>
  <c r="G13" i="8"/>
  <c r="G31" i="8"/>
  <c r="G12" i="8"/>
  <c r="G17" i="8"/>
  <c r="G32" i="8"/>
  <c r="G35" i="8"/>
  <c r="G14" i="8"/>
  <c r="G34" i="8"/>
  <c r="G28" i="8"/>
  <c r="G27" i="8"/>
  <c r="G25" i="8"/>
  <c r="G26" i="8"/>
  <c r="G5" i="8"/>
  <c r="G4" i="8"/>
  <c r="G6" i="8"/>
  <c r="G19" i="8"/>
  <c r="G11" i="8"/>
  <c r="G21" i="8"/>
  <c r="G33" i="8"/>
  <c r="G8" i="8"/>
  <c r="G9" i="8"/>
  <c r="G30" i="8"/>
  <c r="G20" i="8"/>
</calcChain>
</file>

<file path=xl/sharedStrings.xml><?xml version="1.0" encoding="utf-8"?>
<sst xmlns="http://schemas.openxmlformats.org/spreadsheetml/2006/main" count="3172" uniqueCount="462">
  <si>
    <t>C/S DF (0.2)</t>
  </si>
  <si>
    <t>Assist (0.2)</t>
  </si>
  <si>
    <t>Balance (0.3)</t>
  </si>
  <si>
    <t>오운용</t>
  </si>
  <si>
    <t>인원</t>
  </si>
  <si>
    <t>이연길</t>
  </si>
  <si>
    <t>이름</t>
  </si>
  <si>
    <t>이상현</t>
  </si>
  <si>
    <t>정효태</t>
  </si>
  <si>
    <t>전하늘</t>
  </si>
  <si>
    <t>21R</t>
  </si>
  <si>
    <t>7R</t>
  </si>
  <si>
    <t>9R</t>
  </si>
  <si>
    <t>2R</t>
  </si>
  <si>
    <t>김부건</t>
  </si>
  <si>
    <t>4R</t>
  </si>
  <si>
    <t>30R</t>
  </si>
  <si>
    <t>16R</t>
  </si>
  <si>
    <t>11R</t>
  </si>
  <si>
    <t>23R</t>
  </si>
  <si>
    <t>이종수</t>
  </si>
  <si>
    <t>13R</t>
  </si>
  <si>
    <t>3R</t>
  </si>
  <si>
    <t>15R</t>
  </si>
  <si>
    <t>28R</t>
  </si>
  <si>
    <t>35R</t>
  </si>
  <si>
    <t>5R</t>
  </si>
  <si>
    <t>구교훈</t>
  </si>
  <si>
    <t>33R</t>
  </si>
  <si>
    <t>17R</t>
  </si>
  <si>
    <t>22R</t>
  </si>
  <si>
    <t>19R</t>
  </si>
  <si>
    <t>김민성</t>
  </si>
  <si>
    <t>32R</t>
  </si>
  <si>
    <t>이성관</t>
  </si>
  <si>
    <t>27R</t>
  </si>
  <si>
    <t>김태호</t>
  </si>
  <si>
    <t>○</t>
  </si>
  <si>
    <t>박형기</t>
  </si>
  <si>
    <t>신재경</t>
  </si>
  <si>
    <t>5Q</t>
  </si>
  <si>
    <t>4Q</t>
  </si>
  <si>
    <t>최경영</t>
  </si>
  <si>
    <t>유진효</t>
  </si>
  <si>
    <t>카톡</t>
  </si>
  <si>
    <t>1R</t>
  </si>
  <si>
    <t>윤성용</t>
  </si>
  <si>
    <t>이승민</t>
  </si>
  <si>
    <t>강종찬</t>
  </si>
  <si>
    <t>순위</t>
  </si>
  <si>
    <t>김인혁</t>
  </si>
  <si>
    <t>8R</t>
  </si>
  <si>
    <t>29R</t>
  </si>
  <si>
    <t>김용현</t>
  </si>
  <si>
    <t>20R</t>
  </si>
  <si>
    <t>김종준</t>
  </si>
  <si>
    <t>12R</t>
  </si>
  <si>
    <t>10R</t>
  </si>
  <si>
    <t>25R</t>
  </si>
  <si>
    <t>14R</t>
  </si>
  <si>
    <t>6R</t>
  </si>
  <si>
    <t>26R</t>
  </si>
  <si>
    <t>조현우</t>
  </si>
  <si>
    <t>18R</t>
  </si>
  <si>
    <t>김송환</t>
  </si>
  <si>
    <t>1Q</t>
  </si>
  <si>
    <t>24R</t>
  </si>
  <si>
    <t>한중희</t>
  </si>
  <si>
    <t>31R</t>
  </si>
  <si>
    <t>이정석</t>
  </si>
  <si>
    <t>임수철</t>
  </si>
  <si>
    <t>2Q</t>
  </si>
  <si>
    <t>34R</t>
  </si>
  <si>
    <t>3Q</t>
  </si>
  <si>
    <t>김청축</t>
  </si>
  <si>
    <t>윤창현</t>
  </si>
  <si>
    <t>개인 Point</t>
  </si>
  <si>
    <t>출석 Point</t>
  </si>
  <si>
    <t>Clean Sheet</t>
  </si>
  <si>
    <t>종합 Point</t>
  </si>
  <si>
    <t>Goal (0.2)</t>
  </si>
  <si>
    <t>C/S GK</t>
  </si>
  <si>
    <t>Goal</t>
  </si>
  <si>
    <t>Check</t>
  </si>
  <si>
    <t>Balance</t>
  </si>
  <si>
    <t>Assist</t>
  </si>
  <si>
    <t>Rank</t>
  </si>
  <si>
    <t>Round</t>
  </si>
  <si>
    <t>C/S DF</t>
  </si>
  <si>
    <t>Total</t>
  </si>
  <si>
    <t>김대현</t>
    <phoneticPr fontId="2" type="noConversion"/>
  </si>
  <si>
    <t>김동인</t>
    <phoneticPr fontId="2" type="noConversion"/>
  </si>
  <si>
    <t>이새샘</t>
    <phoneticPr fontId="2" type="noConversion"/>
  </si>
  <si>
    <t>장희도</t>
    <phoneticPr fontId="2" type="noConversion"/>
  </si>
  <si>
    <t>장희준</t>
    <phoneticPr fontId="2" type="noConversion"/>
  </si>
  <si>
    <t>전나현</t>
    <phoneticPr fontId="2" type="noConversion"/>
  </si>
  <si>
    <t>최승훈</t>
    <phoneticPr fontId="2" type="noConversion"/>
  </si>
  <si>
    <t>유정훈</t>
    <phoneticPr fontId="2" type="noConversion"/>
  </si>
  <si>
    <t>정재명</t>
    <phoneticPr fontId="2" type="noConversion"/>
  </si>
  <si>
    <t>안진혁</t>
    <phoneticPr fontId="2" type="noConversion"/>
  </si>
  <si>
    <t>정효태</t>
    <phoneticPr fontId="2" type="noConversion"/>
  </si>
  <si>
    <t>신재경</t>
    <phoneticPr fontId="2" type="noConversion"/>
  </si>
  <si>
    <t>김부건</t>
    <phoneticPr fontId="2" type="noConversion"/>
  </si>
  <si>
    <t>김용현</t>
    <phoneticPr fontId="2" type="noConversion"/>
  </si>
  <si>
    <t>강종찬</t>
    <phoneticPr fontId="2" type="noConversion"/>
  </si>
  <si>
    <t>김인혁</t>
    <phoneticPr fontId="2" type="noConversion"/>
  </si>
  <si>
    <t>김형원</t>
    <phoneticPr fontId="2" type="noConversion"/>
  </si>
  <si>
    <t>김송환</t>
    <phoneticPr fontId="2" type="noConversion"/>
  </si>
  <si>
    <t>최경영</t>
    <phoneticPr fontId="2" type="noConversion"/>
  </si>
  <si>
    <t>강기혁</t>
    <phoneticPr fontId="2" type="noConversion"/>
  </si>
  <si>
    <t>오우영</t>
    <phoneticPr fontId="2" type="noConversion"/>
  </si>
  <si>
    <t>김기문</t>
    <phoneticPr fontId="2" type="noConversion"/>
  </si>
  <si>
    <t>김범기</t>
    <phoneticPr fontId="2" type="noConversion"/>
  </si>
  <si>
    <t>홍석준</t>
    <phoneticPr fontId="2" type="noConversion"/>
  </si>
  <si>
    <t>Total</t>
    <phoneticPr fontId="2" type="noConversion"/>
  </si>
  <si>
    <t>이성관</t>
    <phoneticPr fontId="2" type="noConversion"/>
  </si>
  <si>
    <t>유니폼</t>
    <phoneticPr fontId="2" type="noConversion"/>
  </si>
  <si>
    <t>박정호</t>
    <phoneticPr fontId="2" type="noConversion"/>
  </si>
  <si>
    <t>문준수</t>
    <phoneticPr fontId="2" type="noConversion"/>
  </si>
  <si>
    <t>강일수</t>
    <phoneticPr fontId="2" type="noConversion"/>
  </si>
  <si>
    <t>민건호</t>
    <phoneticPr fontId="2" type="noConversion"/>
  </si>
  <si>
    <t>전성환</t>
    <phoneticPr fontId="2" type="noConversion"/>
  </si>
  <si>
    <t>최령창</t>
    <phoneticPr fontId="2" type="noConversion"/>
  </si>
  <si>
    <t>임호연</t>
    <phoneticPr fontId="2" type="noConversion"/>
  </si>
  <si>
    <t>황석원</t>
    <phoneticPr fontId="2" type="noConversion"/>
  </si>
  <si>
    <t>유인상</t>
    <phoneticPr fontId="2" type="noConversion"/>
  </si>
  <si>
    <t>바람막이</t>
    <phoneticPr fontId="2" type="noConversion"/>
  </si>
  <si>
    <t>Home</t>
    <phoneticPr fontId="2" type="noConversion"/>
  </si>
  <si>
    <t>Away</t>
    <phoneticPr fontId="2" type="noConversion"/>
  </si>
  <si>
    <t>C/S GK (0.2)</t>
    <phoneticPr fontId="2" type="noConversion"/>
  </si>
  <si>
    <t>손경호</t>
    <phoneticPr fontId="2" type="noConversion"/>
  </si>
  <si>
    <t>황재순</t>
    <phoneticPr fontId="2" type="noConversion"/>
  </si>
  <si>
    <t>박하빈</t>
    <phoneticPr fontId="2" type="noConversion"/>
  </si>
  <si>
    <t>김덕준</t>
    <phoneticPr fontId="2" type="noConversion"/>
  </si>
  <si>
    <t>김성수</t>
    <phoneticPr fontId="2" type="noConversion"/>
  </si>
  <si>
    <t>박주연</t>
    <phoneticPr fontId="2" type="noConversion"/>
  </si>
  <si>
    <t>차승원</t>
    <phoneticPr fontId="2" type="noConversion"/>
  </si>
  <si>
    <t>김용빈</t>
    <phoneticPr fontId="2" type="noConversion"/>
  </si>
  <si>
    <t>김민섭</t>
    <phoneticPr fontId="2" type="noConversion"/>
  </si>
  <si>
    <t>임태환</t>
    <phoneticPr fontId="2" type="noConversion"/>
  </si>
  <si>
    <t>득점왕</t>
    <phoneticPr fontId="2" type="noConversion"/>
  </si>
  <si>
    <t>도움왕</t>
    <phoneticPr fontId="2" type="noConversion"/>
  </si>
  <si>
    <t>수비왕1</t>
    <phoneticPr fontId="2" type="noConversion"/>
  </si>
  <si>
    <t>밸런스왕</t>
    <phoneticPr fontId="2" type="noConversion"/>
  </si>
  <si>
    <t>키퍼왕</t>
    <phoneticPr fontId="2" type="noConversion"/>
  </si>
  <si>
    <t>항목</t>
    <phoneticPr fontId="2" type="noConversion"/>
  </si>
  <si>
    <t>설명</t>
    <phoneticPr fontId="2" type="noConversion"/>
  </si>
  <si>
    <t>최다 득점</t>
    <phoneticPr fontId="2" type="noConversion"/>
  </si>
  <si>
    <t>최다 도움</t>
    <phoneticPr fontId="2" type="noConversion"/>
  </si>
  <si>
    <t>최다 밸런스</t>
    <phoneticPr fontId="2" type="noConversion"/>
  </si>
  <si>
    <t>최다 클린시트</t>
    <phoneticPr fontId="2" type="noConversion"/>
  </si>
  <si>
    <t>MVP</t>
    <phoneticPr fontId="2" type="noConversion"/>
  </si>
  <si>
    <t>비고</t>
    <phoneticPr fontId="2" type="noConversion"/>
  </si>
  <si>
    <t>신인왕1</t>
    <phoneticPr fontId="2" type="noConversion"/>
  </si>
  <si>
    <t>신인왕2</t>
    <phoneticPr fontId="2" type="noConversion"/>
  </si>
  <si>
    <t>신인왕3</t>
    <phoneticPr fontId="2" type="noConversion"/>
  </si>
  <si>
    <t>베스트11</t>
    <phoneticPr fontId="2" type="noConversion"/>
  </si>
  <si>
    <t>수상자 제외 최다 종합 포인트</t>
    <phoneticPr fontId="2" type="noConversion"/>
  </si>
  <si>
    <t>전년도 등록 최다 출석</t>
    <phoneticPr fontId="2" type="noConversion"/>
  </si>
  <si>
    <t>전년/금년 합산 최다 출석</t>
    <phoneticPr fontId="2" type="noConversion"/>
  </si>
  <si>
    <t>역대 수상자 제외</t>
    <phoneticPr fontId="2" type="noConversion"/>
  </si>
  <si>
    <t>김영태</t>
    <phoneticPr fontId="2" type="noConversion"/>
  </si>
  <si>
    <t>이민재</t>
    <phoneticPr fontId="2" type="noConversion"/>
  </si>
  <si>
    <t>김태성</t>
    <phoneticPr fontId="2" type="noConversion"/>
  </si>
  <si>
    <t>36R</t>
  </si>
  <si>
    <t>37R</t>
  </si>
  <si>
    <t>38R</t>
  </si>
  <si>
    <t>39R</t>
  </si>
  <si>
    <t>40R</t>
  </si>
  <si>
    <t>41R</t>
  </si>
  <si>
    <t>42R</t>
  </si>
  <si>
    <t>43R</t>
  </si>
  <si>
    <t>44R</t>
  </si>
  <si>
    <t>45R</t>
  </si>
  <si>
    <t>김우인</t>
    <phoneticPr fontId="2" type="noConversion"/>
  </si>
  <si>
    <t>금년 등록 최다 출석</t>
    <phoneticPr fontId="2" type="noConversion"/>
  </si>
  <si>
    <t>추천</t>
    <phoneticPr fontId="2" type="noConversion"/>
  </si>
  <si>
    <t>운영진 추천</t>
    <phoneticPr fontId="2" type="noConversion"/>
  </si>
  <si>
    <t>이상민</t>
    <phoneticPr fontId="2" type="noConversion"/>
  </si>
  <si>
    <t>46R</t>
    <phoneticPr fontId="2" type="noConversion"/>
  </si>
  <si>
    <t>기존 MVP 제외, 중복 수상 가능</t>
    <phoneticPr fontId="2" type="noConversion"/>
  </si>
  <si>
    <t>노민준</t>
    <phoneticPr fontId="2" type="noConversion"/>
  </si>
  <si>
    <t>47R</t>
    <phoneticPr fontId="2" type="noConversion"/>
  </si>
  <si>
    <t>최다 출석</t>
    <phoneticPr fontId="2" type="noConversion"/>
  </si>
  <si>
    <t>1순위</t>
    <phoneticPr fontId="2" type="noConversion"/>
  </si>
  <si>
    <t>2순위</t>
    <phoneticPr fontId="2" type="noConversion"/>
  </si>
  <si>
    <t>3순위</t>
    <phoneticPr fontId="2" type="noConversion"/>
  </si>
  <si>
    <t>4순위</t>
    <phoneticPr fontId="2" type="noConversion"/>
  </si>
  <si>
    <t>5순위</t>
    <phoneticPr fontId="2" type="noConversion"/>
  </si>
  <si>
    <t>이재민</t>
    <phoneticPr fontId="2" type="noConversion"/>
  </si>
  <si>
    <t>1명</t>
    <phoneticPr fontId="2" type="noConversion"/>
  </si>
  <si>
    <t>2명</t>
    <phoneticPr fontId="2" type="noConversion"/>
  </si>
  <si>
    <t>5명</t>
    <phoneticPr fontId="2" type="noConversion"/>
  </si>
  <si>
    <t>※ 24년 DF 2명, GK 1명에서 DF/GK 통합 2명으로 수정</t>
    <phoneticPr fontId="2" type="noConversion"/>
  </si>
  <si>
    <t>※ 베스트11 종합 포인트 5명에서 종합 포인트 3명, 출석 3명으로 수정</t>
    <phoneticPr fontId="2" type="noConversion"/>
  </si>
  <si>
    <t>한의현</t>
    <phoneticPr fontId="2" type="noConversion"/>
  </si>
  <si>
    <t>입단일</t>
    <phoneticPr fontId="2" type="noConversion"/>
  </si>
  <si>
    <t>48R</t>
  </si>
  <si>
    <t>49R</t>
  </si>
  <si>
    <t>50R</t>
  </si>
  <si>
    <t>박주현</t>
    <phoneticPr fontId="2" type="noConversion"/>
  </si>
  <si>
    <t>김성준</t>
    <phoneticPr fontId="2" type="noConversion"/>
  </si>
  <si>
    <t>정민수</t>
    <phoneticPr fontId="2" type="noConversion"/>
  </si>
  <si>
    <t>조진한</t>
    <phoneticPr fontId="2" type="noConversion"/>
  </si>
  <si>
    <t>출전</t>
  </si>
  <si>
    <t>MATCH</t>
    <phoneticPr fontId="2" type="noConversion"/>
  </si>
  <si>
    <t>FM</t>
    <phoneticPr fontId="2" type="noConversion"/>
  </si>
  <si>
    <t>vs Team</t>
    <phoneticPr fontId="2" type="noConversion"/>
  </si>
  <si>
    <t>Semi-Pro</t>
    <phoneticPr fontId="2" type="noConversion"/>
  </si>
  <si>
    <t>김민성</t>
    <phoneticPr fontId="2" type="noConversion"/>
  </si>
  <si>
    <t>OG</t>
    <phoneticPr fontId="2" type="noConversion"/>
  </si>
  <si>
    <t>김종준</t>
    <phoneticPr fontId="2" type="noConversion"/>
  </si>
  <si>
    <t>김덕준</t>
  </si>
  <si>
    <t>이상현</t>
    <phoneticPr fontId="2" type="noConversion"/>
  </si>
  <si>
    <t>윤창현</t>
    <phoneticPr fontId="2" type="noConversion"/>
  </si>
  <si>
    <t>윤성용</t>
    <phoneticPr fontId="2" type="noConversion"/>
  </si>
  <si>
    <t>이연길</t>
    <phoneticPr fontId="2" type="noConversion"/>
  </si>
  <si>
    <t>DS FC</t>
    <phoneticPr fontId="2" type="noConversion"/>
  </si>
  <si>
    <t>김현우</t>
    <phoneticPr fontId="2" type="noConversion"/>
  </si>
  <si>
    <t>류서진</t>
    <phoneticPr fontId="2" type="noConversion"/>
  </si>
  <si>
    <t>손경호</t>
  </si>
  <si>
    <t>김성준</t>
  </si>
  <si>
    <t>김병문</t>
    <phoneticPr fontId="2" type="noConversion"/>
  </si>
  <si>
    <t>강기혁</t>
  </si>
  <si>
    <t>유정훈</t>
  </si>
  <si>
    <t>이태한</t>
    <phoneticPr fontId="2" type="noConversion"/>
  </si>
  <si>
    <t>대상</t>
    <phoneticPr fontId="2" type="noConversion"/>
  </si>
  <si>
    <t>황재순</t>
  </si>
  <si>
    <t>김우인</t>
  </si>
  <si>
    <t>한의현</t>
  </si>
  <si>
    <t>정민수</t>
  </si>
  <si>
    <t>임태환</t>
  </si>
  <si>
    <t>문준수</t>
  </si>
  <si>
    <t>이승윤</t>
    <phoneticPr fontId="2" type="noConversion"/>
  </si>
  <si>
    <t>김병준</t>
    <phoneticPr fontId="2" type="noConversion"/>
  </si>
  <si>
    <t>Assist</t>
    <phoneticPr fontId="2" type="noConversion"/>
  </si>
  <si>
    <t>강관석</t>
    <phoneticPr fontId="2" type="noConversion"/>
  </si>
  <si>
    <t>이호행</t>
    <phoneticPr fontId="2" type="noConversion"/>
  </si>
  <si>
    <t>인원</t>
    <phoneticPr fontId="2" type="noConversion"/>
  </si>
  <si>
    <t>김민찬</t>
    <phoneticPr fontId="2" type="noConversion"/>
  </si>
  <si>
    <t>송명섭</t>
    <phoneticPr fontId="2" type="noConversion"/>
  </si>
  <si>
    <t>박주연</t>
  </si>
  <si>
    <t>박주연</t>
    <phoneticPr fontId="2" type="noConversion"/>
  </si>
  <si>
    <t>신재경</t>
    <phoneticPr fontId="2" type="noConversion"/>
  </si>
  <si>
    <t>Top Score</t>
    <phoneticPr fontId="2" type="noConversion"/>
  </si>
  <si>
    <t>Best Eleven</t>
    <phoneticPr fontId="2" type="noConversion"/>
  </si>
  <si>
    <t>Best MF</t>
    <phoneticPr fontId="2" type="noConversion"/>
  </si>
  <si>
    <t>Best DF/GK</t>
    <phoneticPr fontId="2" type="noConversion"/>
  </si>
  <si>
    <t>부분</t>
    <phoneticPr fontId="2" type="noConversion"/>
  </si>
  <si>
    <t>MVP (교대)</t>
    <phoneticPr fontId="2" type="noConversion"/>
  </si>
  <si>
    <t>Best Attendance</t>
    <phoneticPr fontId="2" type="noConversion"/>
  </si>
  <si>
    <t>Young Player</t>
    <phoneticPr fontId="2" type="noConversion"/>
  </si>
  <si>
    <t>최종 수상자</t>
    <phoneticPr fontId="2" type="noConversion"/>
  </si>
  <si>
    <t>문준수</t>
    <phoneticPr fontId="2" type="noConversion"/>
  </si>
  <si>
    <t>강기혁</t>
    <phoneticPr fontId="2" type="noConversion"/>
  </si>
  <si>
    <t>김대현</t>
    <phoneticPr fontId="2" type="noConversion"/>
  </si>
  <si>
    <t>김송환</t>
    <phoneticPr fontId="2" type="noConversion"/>
  </si>
  <si>
    <t>황석원</t>
    <phoneticPr fontId="2" type="noConversion"/>
  </si>
  <si>
    <t>최경영</t>
    <phoneticPr fontId="2" type="noConversion"/>
  </si>
  <si>
    <t>김부건</t>
    <phoneticPr fontId="2" type="noConversion"/>
  </si>
  <si>
    <t>정효태</t>
    <phoneticPr fontId="2" type="noConversion"/>
  </si>
  <si>
    <t>김성수</t>
    <phoneticPr fontId="2" type="noConversion"/>
  </si>
  <si>
    <t>이성관</t>
    <phoneticPr fontId="2" type="noConversion"/>
  </si>
  <si>
    <t>홍석준</t>
    <phoneticPr fontId="2" type="noConversion"/>
  </si>
  <si>
    <t>김형원</t>
    <phoneticPr fontId="2" type="noConversion"/>
  </si>
  <si>
    <t>손경호</t>
    <phoneticPr fontId="2" type="noConversion"/>
  </si>
  <si>
    <t>Best MF</t>
    <phoneticPr fontId="2" type="noConversion"/>
  </si>
  <si>
    <t>Score</t>
    <phoneticPr fontId="2" type="noConversion"/>
  </si>
  <si>
    <t>Assist</t>
    <phoneticPr fontId="2" type="noConversion"/>
  </si>
  <si>
    <t>Best DF</t>
    <phoneticPr fontId="2" type="noConversion"/>
  </si>
  <si>
    <t>Best GK</t>
    <phoneticPr fontId="2" type="noConversion"/>
  </si>
  <si>
    <t>Young Player</t>
    <phoneticPr fontId="2" type="noConversion"/>
  </si>
  <si>
    <t>비고</t>
    <phoneticPr fontId="2" type="noConversion"/>
  </si>
  <si>
    <t>인원</t>
    <phoneticPr fontId="2" type="noConversion"/>
  </si>
  <si>
    <t>김민섭</t>
  </si>
  <si>
    <t>비고1</t>
    <phoneticPr fontId="2" type="noConversion"/>
  </si>
  <si>
    <t>출석</t>
    <phoneticPr fontId="2" type="noConversion"/>
  </si>
  <si>
    <t>수상이력</t>
    <phoneticPr fontId="2" type="noConversion"/>
  </si>
  <si>
    <t>김인혁</t>
    <phoneticPr fontId="2" type="noConversion"/>
  </si>
  <si>
    <t>유정훈</t>
    <phoneticPr fontId="2" type="noConversion"/>
  </si>
  <si>
    <t>최경영</t>
    <phoneticPr fontId="2" type="noConversion"/>
  </si>
  <si>
    <t>문준수</t>
    <phoneticPr fontId="2" type="noConversion"/>
  </si>
  <si>
    <t>김종준</t>
    <phoneticPr fontId="2" type="noConversion"/>
  </si>
  <si>
    <t>김용현</t>
    <phoneticPr fontId="2" type="noConversion"/>
  </si>
  <si>
    <t>손경호</t>
    <phoneticPr fontId="2" type="noConversion"/>
  </si>
  <si>
    <t>강기혁</t>
    <phoneticPr fontId="2" type="noConversion"/>
  </si>
  <si>
    <t>김성수</t>
    <phoneticPr fontId="2" type="noConversion"/>
  </si>
  <si>
    <t>신재경</t>
    <phoneticPr fontId="2" type="noConversion"/>
  </si>
  <si>
    <t>김성준</t>
    <phoneticPr fontId="2" type="noConversion"/>
  </si>
  <si>
    <t>김우인</t>
    <phoneticPr fontId="2" type="noConversion"/>
  </si>
  <si>
    <t>이성관</t>
    <phoneticPr fontId="2" type="noConversion"/>
  </si>
  <si>
    <t>김송환</t>
    <phoneticPr fontId="2" type="noConversion"/>
  </si>
  <si>
    <t>임태환</t>
    <phoneticPr fontId="2" type="noConversion"/>
  </si>
  <si>
    <t>조진한</t>
    <phoneticPr fontId="2" type="noConversion"/>
  </si>
  <si>
    <t>김태성</t>
    <phoneticPr fontId="2" type="noConversion"/>
  </si>
  <si>
    <t>신종훈</t>
    <phoneticPr fontId="2" type="noConversion"/>
  </si>
  <si>
    <t>홍현석</t>
    <phoneticPr fontId="2" type="noConversion"/>
  </si>
  <si>
    <t>유상근</t>
    <phoneticPr fontId="2" type="noConversion"/>
  </si>
  <si>
    <t>강관석</t>
  </si>
  <si>
    <t>김기문</t>
  </si>
  <si>
    <t>양진웅</t>
    <phoneticPr fontId="2" type="noConversion"/>
  </si>
  <si>
    <t>김태완</t>
    <phoneticPr fontId="2" type="noConversion"/>
  </si>
  <si>
    <t>황석원</t>
  </si>
  <si>
    <t>이찬영</t>
    <phoneticPr fontId="2" type="noConversion"/>
  </si>
  <si>
    <t>조진한</t>
  </si>
  <si>
    <t>윤원택</t>
    <phoneticPr fontId="2" type="noConversion"/>
  </si>
  <si>
    <t>허동혁</t>
    <phoneticPr fontId="2" type="noConversion"/>
  </si>
  <si>
    <t>송윤상</t>
    <phoneticPr fontId="2" type="noConversion"/>
  </si>
  <si>
    <t>이승윤</t>
  </si>
  <si>
    <t>송명섭</t>
  </si>
  <si>
    <t>김진호</t>
    <phoneticPr fontId="2" type="noConversion"/>
  </si>
  <si>
    <t>김종혁</t>
    <phoneticPr fontId="2" type="noConversion"/>
  </si>
  <si>
    <t>이정범</t>
    <phoneticPr fontId="2" type="noConversion"/>
  </si>
  <si>
    <t>오우영</t>
  </si>
  <si>
    <t>허동혁</t>
  </si>
  <si>
    <t>황철우</t>
    <phoneticPr fontId="2" type="noConversion"/>
  </si>
  <si>
    <t>양진웅</t>
  </si>
  <si>
    <t>입단년도</t>
    <phoneticPr fontId="2" type="noConversion"/>
  </si>
  <si>
    <t>Origin</t>
    <phoneticPr fontId="2" type="noConversion"/>
  </si>
  <si>
    <t>김태양</t>
    <phoneticPr fontId="2" type="noConversion"/>
  </si>
  <si>
    <t>차승원</t>
  </si>
  <si>
    <t>유상근</t>
  </si>
  <si>
    <t>지급</t>
    <phoneticPr fontId="2" type="noConversion"/>
  </si>
  <si>
    <t>강도일</t>
    <phoneticPr fontId="2" type="noConversion"/>
  </si>
  <si>
    <t>한상규</t>
    <phoneticPr fontId="2" type="noConversion"/>
  </si>
  <si>
    <t>이경석</t>
    <phoneticPr fontId="2" type="noConversion"/>
  </si>
  <si>
    <t>출전 Point</t>
  </si>
  <si>
    <t>포인트</t>
    <phoneticPr fontId="2" type="noConversion"/>
  </si>
  <si>
    <t>Point</t>
    <phoneticPr fontId="2" type="noConversion"/>
  </si>
  <si>
    <t>TOP SCORER</t>
    <phoneticPr fontId="2" type="noConversion"/>
  </si>
  <si>
    <t>BEST ASSIST</t>
    <phoneticPr fontId="2" type="noConversion"/>
  </si>
  <si>
    <t>MF OF THE SEASON</t>
    <phoneticPr fontId="2" type="noConversion"/>
  </si>
  <si>
    <t>DF OF THE SEASON</t>
    <phoneticPr fontId="2" type="noConversion"/>
  </si>
  <si>
    <t>유휴민</t>
  </si>
  <si>
    <t>Best Eleven
&amp;
MVP</t>
    <phoneticPr fontId="2" type="noConversion"/>
  </si>
  <si>
    <t>단장추천</t>
    <phoneticPr fontId="2" type="noConversion"/>
  </si>
  <si>
    <t>대회준비</t>
    <phoneticPr fontId="2" type="noConversion"/>
  </si>
  <si>
    <t>운동장예약</t>
    <phoneticPr fontId="2" type="noConversion"/>
  </si>
  <si>
    <t>이승민</t>
    <phoneticPr fontId="2" type="noConversion"/>
  </si>
  <si>
    <t>총무10년</t>
    <phoneticPr fontId="2" type="noConversion"/>
  </si>
  <si>
    <t>김기태</t>
    <phoneticPr fontId="2" type="noConversion"/>
  </si>
  <si>
    <t>김진형</t>
    <phoneticPr fontId="2" type="noConversion"/>
  </si>
  <si>
    <t>마창기</t>
    <phoneticPr fontId="2" type="noConversion"/>
  </si>
  <si>
    <t>박수천</t>
    <phoneticPr fontId="2" type="noConversion"/>
  </si>
  <si>
    <t>신기웅</t>
    <phoneticPr fontId="2" type="noConversion"/>
  </si>
  <si>
    <t>우보광</t>
    <phoneticPr fontId="2" type="noConversion"/>
  </si>
  <si>
    <t>이병현</t>
    <phoneticPr fontId="2" type="noConversion"/>
  </si>
  <si>
    <t>윤현기</t>
    <phoneticPr fontId="2" type="noConversion"/>
  </si>
  <si>
    <t>출전</t>
    <phoneticPr fontId="2" type="noConversion"/>
  </si>
  <si>
    <t>발주</t>
    <phoneticPr fontId="2" type="noConversion"/>
  </si>
  <si>
    <t>김진호</t>
  </si>
  <si>
    <t>조현우</t>
    <phoneticPr fontId="2" type="noConversion"/>
  </si>
  <si>
    <t>김종혁</t>
  </si>
  <si>
    <t>노민준</t>
  </si>
  <si>
    <t>김청축</t>
    <phoneticPr fontId="2" type="noConversion"/>
  </si>
  <si>
    <t>CT24</t>
    <phoneticPr fontId="2" type="noConversion"/>
  </si>
  <si>
    <t>김기태</t>
  </si>
  <si>
    <t>5Q</t>
    <phoneticPr fontId="2" type="noConversion"/>
  </si>
  <si>
    <t>전하늘</t>
    <phoneticPr fontId="2" type="noConversion"/>
  </si>
  <si>
    <t>최령창</t>
  </si>
  <si>
    <t>이새샘</t>
  </si>
  <si>
    <t>오성찬</t>
    <phoneticPr fontId="2" type="noConversion"/>
  </si>
  <si>
    <t>박태현</t>
    <phoneticPr fontId="2" type="noConversion"/>
  </si>
  <si>
    <t>오상준</t>
    <phoneticPr fontId="2" type="noConversion"/>
  </si>
  <si>
    <t>미농FC</t>
    <phoneticPr fontId="2" type="noConversion"/>
  </si>
  <si>
    <t>한중희</t>
    <phoneticPr fontId="2" type="noConversion"/>
  </si>
  <si>
    <t>최병준</t>
    <phoneticPr fontId="2" type="noConversion"/>
  </si>
  <si>
    <t>노성호</t>
    <phoneticPr fontId="2" type="noConversion"/>
  </si>
  <si>
    <t>유우진</t>
    <phoneticPr fontId="2" type="noConversion"/>
  </si>
  <si>
    <t>이찬솔</t>
    <phoneticPr fontId="2" type="noConversion"/>
  </si>
  <si>
    <t>황건호</t>
    <phoneticPr fontId="2" type="noConversion"/>
  </si>
  <si>
    <t>이영준</t>
    <phoneticPr fontId="2" type="noConversion"/>
  </si>
  <si>
    <t>박준영</t>
    <phoneticPr fontId="2" type="noConversion"/>
  </si>
  <si>
    <t>정현서</t>
    <phoneticPr fontId="2" type="noConversion"/>
  </si>
  <si>
    <t>Black</t>
    <phoneticPr fontId="2" type="noConversion"/>
  </si>
  <si>
    <t>김성수</t>
  </si>
  <si>
    <t>황건호</t>
    <phoneticPr fontId="2" type="noConversion"/>
  </si>
  <si>
    <t>정현서</t>
    <phoneticPr fontId="2" type="noConversion"/>
  </si>
  <si>
    <t>이영준</t>
    <phoneticPr fontId="2" type="noConversion"/>
  </si>
  <si>
    <t>박준영</t>
    <phoneticPr fontId="2" type="noConversion"/>
  </si>
  <si>
    <t>서영진</t>
    <phoneticPr fontId="2" type="noConversion"/>
  </si>
  <si>
    <t>오상준</t>
  </si>
  <si>
    <t>황건호</t>
  </si>
  <si>
    <t>Red</t>
  </si>
  <si>
    <t>Red</t>
    <phoneticPr fontId="2" type="noConversion"/>
  </si>
  <si>
    <t>Blue</t>
    <phoneticPr fontId="2" type="noConversion"/>
  </si>
  <si>
    <t>시너지</t>
    <phoneticPr fontId="2" type="noConversion"/>
  </si>
  <si>
    <t>노민진</t>
    <phoneticPr fontId="2" type="noConversion"/>
  </si>
  <si>
    <t>김민재</t>
    <phoneticPr fontId="2" type="noConversion"/>
  </si>
  <si>
    <t>홍서준</t>
    <phoneticPr fontId="2" type="noConversion"/>
  </si>
  <si>
    <t>입대</t>
    <phoneticPr fontId="2" type="noConversion"/>
  </si>
  <si>
    <t>한상규</t>
  </si>
  <si>
    <t>게스트</t>
    <phoneticPr fontId="2" type="noConversion"/>
  </si>
  <si>
    <t>김청축B</t>
    <phoneticPr fontId="2" type="noConversion"/>
  </si>
  <si>
    <t>김청축R</t>
    <phoneticPr fontId="2" type="noConversion"/>
  </si>
  <si>
    <t>CS</t>
    <phoneticPr fontId="2" type="noConversion"/>
  </si>
  <si>
    <t>이민재</t>
  </si>
  <si>
    <t>정재명</t>
  </si>
  <si>
    <t>Black
Blue</t>
    <phoneticPr fontId="2" type="noConversion"/>
  </si>
  <si>
    <t>Red
Black</t>
    <phoneticPr fontId="2" type="noConversion"/>
  </si>
  <si>
    <t>Blue
Red</t>
    <phoneticPr fontId="2" type="noConversion"/>
  </si>
  <si>
    <t>정현서</t>
  </si>
  <si>
    <t>전나현</t>
  </si>
  <si>
    <t>윤원택</t>
  </si>
  <si>
    <t>권민강</t>
    <phoneticPr fontId="2" type="noConversion"/>
  </si>
  <si>
    <t>권민강</t>
    <phoneticPr fontId="2" type="noConversion"/>
  </si>
  <si>
    <t>류서진</t>
  </si>
  <si>
    <t>김류현</t>
    <phoneticPr fontId="2" type="noConversion"/>
  </si>
  <si>
    <t>박지수</t>
    <phoneticPr fontId="2" type="noConversion"/>
  </si>
  <si>
    <t>박지수</t>
    <phoneticPr fontId="2" type="noConversion"/>
  </si>
  <si>
    <t>이현택</t>
    <phoneticPr fontId="2" type="noConversion"/>
  </si>
  <si>
    <t>김도원</t>
    <phoneticPr fontId="2" type="noConversion"/>
  </si>
  <si>
    <t>오준서</t>
    <phoneticPr fontId="2" type="noConversion"/>
  </si>
  <si>
    <t>정재명</t>
    <phoneticPr fontId="2" type="noConversion"/>
  </si>
  <si>
    <t>김진호</t>
    <phoneticPr fontId="2" type="noConversion"/>
  </si>
  <si>
    <t>김성준</t>
    <phoneticPr fontId="2" type="noConversion"/>
  </si>
  <si>
    <t>김부건</t>
    <phoneticPr fontId="2" type="noConversion"/>
  </si>
  <si>
    <t>김용현</t>
    <phoneticPr fontId="2" type="noConversion"/>
  </si>
  <si>
    <t>강종찬</t>
    <phoneticPr fontId="2" type="noConversion"/>
  </si>
  <si>
    <t>황석원</t>
    <phoneticPr fontId="2" type="noConversion"/>
  </si>
  <si>
    <t>정민수</t>
    <phoneticPr fontId="2" type="noConversion"/>
  </si>
  <si>
    <t>이성관</t>
    <phoneticPr fontId="2" type="noConversion"/>
  </si>
  <si>
    <t>최경영</t>
    <phoneticPr fontId="2" type="noConversion"/>
  </si>
  <si>
    <t>이경석</t>
    <phoneticPr fontId="2" type="noConversion"/>
  </si>
  <si>
    <t>오우영</t>
    <phoneticPr fontId="2" type="noConversion"/>
  </si>
  <si>
    <t>유인상</t>
    <phoneticPr fontId="2" type="noConversion"/>
  </si>
  <si>
    <t>김기문</t>
    <phoneticPr fontId="2" type="noConversion"/>
  </si>
  <si>
    <t>이상현</t>
    <phoneticPr fontId="2" type="noConversion"/>
  </si>
  <si>
    <t>이상민</t>
    <phoneticPr fontId="2" type="noConversion"/>
  </si>
  <si>
    <t>한상규</t>
    <phoneticPr fontId="2" type="noConversion"/>
  </si>
  <si>
    <t>강기혁</t>
    <phoneticPr fontId="2" type="noConversion"/>
  </si>
  <si>
    <t>박주연</t>
    <phoneticPr fontId="2" type="noConversion"/>
  </si>
  <si>
    <t>전나현</t>
    <phoneticPr fontId="2" type="noConversion"/>
  </si>
  <si>
    <t>정현서</t>
    <phoneticPr fontId="2" type="noConversion"/>
  </si>
  <si>
    <t>이승윤</t>
    <phoneticPr fontId="2" type="noConversion"/>
  </si>
  <si>
    <t>노민준</t>
    <phoneticPr fontId="2" type="noConversion"/>
  </si>
  <si>
    <t>이정범</t>
    <phoneticPr fontId="2" type="noConversion"/>
  </si>
  <si>
    <t>5Q</t>
    <phoneticPr fontId="2" type="noConversion"/>
  </si>
  <si>
    <t>6Q</t>
    <phoneticPr fontId="2" type="noConversion"/>
  </si>
  <si>
    <t>출전</t>
    <phoneticPr fontId="2" type="noConversion"/>
  </si>
  <si>
    <t>최강인</t>
    <phoneticPr fontId="2" type="noConversion"/>
  </si>
  <si>
    <t>이상현</t>
    <phoneticPr fontId="2" type="noConversion"/>
  </si>
  <si>
    <t>김진호</t>
    <phoneticPr fontId="2" type="noConversion"/>
  </si>
  <si>
    <t>김성수</t>
    <phoneticPr fontId="2" type="noConversion"/>
  </si>
  <si>
    <t>유정훈</t>
    <phoneticPr fontId="2" type="noConversion"/>
  </si>
  <si>
    <t>조현우</t>
    <phoneticPr fontId="2" type="noConversion"/>
  </si>
  <si>
    <t>손경호</t>
    <phoneticPr fontId="2" type="noConversion"/>
  </si>
  <si>
    <t>전하늘</t>
    <phoneticPr fontId="2" type="noConversion"/>
  </si>
  <si>
    <t>한의현</t>
    <phoneticPr fontId="2" type="noConversion"/>
  </si>
  <si>
    <t>조진한</t>
    <phoneticPr fontId="2" type="noConversion"/>
  </si>
  <si>
    <t>박준영</t>
    <phoneticPr fontId="2" type="noConversion"/>
  </si>
  <si>
    <t>이성관</t>
    <phoneticPr fontId="2" type="noConversion"/>
  </si>
  <si>
    <t>문준수</t>
    <phoneticPr fontId="2" type="noConversion"/>
  </si>
  <si>
    <t>노민준</t>
    <phoneticPr fontId="2" type="noConversion"/>
  </si>
  <si>
    <t>이승윤</t>
    <phoneticPr fontId="2" type="noConversion"/>
  </si>
  <si>
    <t>최경영</t>
    <phoneticPr fontId="2" type="noConversion"/>
  </si>
  <si>
    <t>김우인</t>
    <phoneticPr fontId="2" type="noConversion"/>
  </si>
  <si>
    <t>이상민</t>
    <phoneticPr fontId="2" type="noConversion"/>
  </si>
  <si>
    <t>오우영</t>
    <phoneticPr fontId="2" type="noConversion"/>
  </si>
  <si>
    <t>송명석</t>
    <phoneticPr fontId="2" type="noConversion"/>
  </si>
  <si>
    <t>신기웅</t>
  </si>
  <si>
    <t>최강현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</si>
</sst>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m&quot;/&quot;d;@"/>
    <numFmt numFmtId="177" formatCode="0.0"/>
    <numFmt numFmtId="178" formatCode="0_);[Red]\(0\)"/>
  </numFmts>
  <fonts count="8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rgb="FF2828A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9EDF5"/>
        <bgColor indexed="64"/>
      </patternFill>
    </fill>
    <fill>
      <patternFill patternType="solid">
        <fgColor rgb="FFE7F4F6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6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76" fontId="1" fillId="13" borderId="1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8" fontId="1" fillId="0" borderId="3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12" borderId="1" xfId="1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center" vertical="center"/>
    </xf>
    <xf numFmtId="0" fontId="1" fillId="14" borderId="1" xfId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8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8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8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12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0" xfId="0" applyFont="1">
      <alignment vertical="center"/>
    </xf>
    <xf numFmtId="0" fontId="5" fillId="12" borderId="15" xfId="0" applyFont="1" applyFill="1" applyBorder="1">
      <alignment vertical="center"/>
    </xf>
    <xf numFmtId="0" fontId="5" fillId="12" borderId="15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0" fontId="1" fillId="12" borderId="15" xfId="0" applyFont="1" applyFill="1" applyBorder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표준" xfId="0" builtinId="0"/>
    <cellStyle name="표준 2" xfId="1" xr:uid="{F9D42588-B7C5-4A50-82F2-2C75805140AA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Light Style 1 - Accent 1" table="0" count="7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colors>
    <mruColors>
      <color rgb="FF2828A0"/>
      <color rgb="FF000064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122"/>
  <sheetViews>
    <sheetView showGridLines="0" tabSelected="1" zoomScale="98" zoomScaleNormal="98" workbookViewId="0">
      <pane xSplit="9" topLeftCell="AF1" activePane="topRight" state="frozen"/>
      <selection pane="topRight" activeCell="AS4" sqref="AS4"/>
    </sheetView>
  </sheetViews>
  <sheetFormatPr defaultColWidth="8.8984375" defaultRowHeight="15.6" x14ac:dyDescent="0.25"/>
  <cols>
    <col min="1" max="1" width="4.19921875" style="1" bestFit="1" customWidth="1"/>
    <col min="2" max="2" width="6.296875" style="1" customWidth="1"/>
    <col min="3" max="3" width="8.19921875" style="59" bestFit="1" customWidth="1"/>
    <col min="4" max="4" width="8.19921875" style="53" customWidth="1"/>
    <col min="5" max="5" width="8.19921875" style="53" bestFit="1" customWidth="1"/>
    <col min="6" max="6" width="5.8984375" style="1" customWidth="1"/>
    <col min="7" max="7" width="4.3984375" style="1" customWidth="1"/>
    <col min="8" max="8" width="8.8984375" style="1" customWidth="1"/>
    <col min="9" max="9" width="8.19921875" style="1" customWidth="1"/>
    <col min="10" max="30" width="5.19921875" style="1" hidden="1" customWidth="1"/>
    <col min="31" max="31" width="5.19921875" style="3" hidden="1" customWidth="1"/>
    <col min="32" max="33" width="5.19921875" style="3" customWidth="1"/>
    <col min="34" max="59" width="5.19921875" style="1" customWidth="1"/>
    <col min="60" max="82" width="4.796875" style="1" customWidth="1"/>
    <col min="83" max="90" width="8.8984375" style="1"/>
    <col min="91" max="98" width="8.8984375" style="3"/>
  </cols>
  <sheetData>
    <row r="1" spans="1:82" x14ac:dyDescent="0.25">
      <c r="D1" s="53">
        <f>COUNTIF(D4:D157,"발주")</f>
        <v>2</v>
      </c>
      <c r="I1" s="18" t="s">
        <v>87</v>
      </c>
      <c r="J1" s="19" t="s">
        <v>45</v>
      </c>
      <c r="K1" s="1" t="s">
        <v>13</v>
      </c>
      <c r="L1" s="1" t="s">
        <v>22</v>
      </c>
      <c r="M1" s="1" t="s">
        <v>15</v>
      </c>
      <c r="N1" s="1" t="s">
        <v>26</v>
      </c>
      <c r="O1" s="1" t="s">
        <v>60</v>
      </c>
      <c r="P1" s="1" t="s">
        <v>11</v>
      </c>
      <c r="Q1" s="1" t="s">
        <v>51</v>
      </c>
      <c r="R1" s="1" t="s">
        <v>12</v>
      </c>
      <c r="S1" s="1" t="s">
        <v>57</v>
      </c>
      <c r="T1" s="1" t="s">
        <v>18</v>
      </c>
      <c r="U1" s="1" t="s">
        <v>56</v>
      </c>
      <c r="V1" s="1" t="s">
        <v>21</v>
      </c>
      <c r="W1" s="1" t="s">
        <v>59</v>
      </c>
      <c r="X1" s="1" t="s">
        <v>23</v>
      </c>
      <c r="Y1" s="1" t="s">
        <v>17</v>
      </c>
      <c r="Z1" s="1" t="s">
        <v>29</v>
      </c>
      <c r="AA1" s="1" t="s">
        <v>63</v>
      </c>
      <c r="AB1" s="1" t="s">
        <v>31</v>
      </c>
      <c r="AC1" s="1" t="s">
        <v>54</v>
      </c>
      <c r="AD1" s="1" t="s">
        <v>10</v>
      </c>
      <c r="AE1" s="1" t="s">
        <v>30</v>
      </c>
      <c r="AF1" s="1" t="s">
        <v>19</v>
      </c>
      <c r="AG1" s="1" t="s">
        <v>66</v>
      </c>
      <c r="AH1" s="1" t="s">
        <v>58</v>
      </c>
      <c r="AI1" s="1" t="s">
        <v>61</v>
      </c>
      <c r="AJ1" s="1" t="s">
        <v>35</v>
      </c>
      <c r="AK1" s="1" t="s">
        <v>24</v>
      </c>
      <c r="AL1" s="1" t="s">
        <v>52</v>
      </c>
      <c r="AM1" s="1" t="s">
        <v>16</v>
      </c>
      <c r="AN1" s="1" t="s">
        <v>68</v>
      </c>
      <c r="AO1" s="1" t="s">
        <v>33</v>
      </c>
      <c r="AP1" s="1" t="s">
        <v>28</v>
      </c>
      <c r="AQ1" s="1" t="s">
        <v>72</v>
      </c>
      <c r="AR1" s="1" t="s">
        <v>25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179</v>
      </c>
      <c r="BD1" s="1" t="s">
        <v>182</v>
      </c>
      <c r="BE1" s="1" t="s">
        <v>197</v>
      </c>
      <c r="BF1" s="1" t="s">
        <v>198</v>
      </c>
      <c r="BG1" s="1" t="s">
        <v>199</v>
      </c>
    </row>
    <row r="2" spans="1:82" x14ac:dyDescent="0.25">
      <c r="D2" s="53">
        <f>COUNTIF(D4:D157,"지급")</f>
        <v>74</v>
      </c>
      <c r="E2" s="53">
        <f>COUNTIF(E4:E140,"지급")</f>
        <v>0</v>
      </c>
      <c r="H2" s="18">
        <f>SUM(J2:AR2)/COUNTA(J2:BB2)</f>
        <v>17.488888888888887</v>
      </c>
      <c r="I2" s="18" t="s">
        <v>83</v>
      </c>
      <c r="J2" s="1">
        <f t="shared" ref="J2:AO2" si="0">COUNTA(J4:J152)</f>
        <v>14</v>
      </c>
      <c r="K2" s="1">
        <f t="shared" si="0"/>
        <v>30</v>
      </c>
      <c r="L2" s="1">
        <f t="shared" si="0"/>
        <v>17</v>
      </c>
      <c r="M2" s="1">
        <f t="shared" si="0"/>
        <v>20</v>
      </c>
      <c r="N2" s="1">
        <f t="shared" si="0"/>
        <v>22</v>
      </c>
      <c r="O2" s="1">
        <f t="shared" si="0"/>
        <v>18</v>
      </c>
      <c r="P2" s="1">
        <f t="shared" si="0"/>
        <v>12</v>
      </c>
      <c r="Q2" s="1">
        <f t="shared" si="0"/>
        <v>33</v>
      </c>
      <c r="R2" s="1">
        <f t="shared" si="0"/>
        <v>16</v>
      </c>
      <c r="S2" s="1">
        <f t="shared" si="0"/>
        <v>31</v>
      </c>
      <c r="T2" s="1">
        <f t="shared" si="0"/>
        <v>11</v>
      </c>
      <c r="U2" s="1">
        <f t="shared" si="0"/>
        <v>31</v>
      </c>
      <c r="V2" s="1">
        <f t="shared" si="0"/>
        <v>14</v>
      </c>
      <c r="W2" s="1">
        <f t="shared" si="0"/>
        <v>22</v>
      </c>
      <c r="X2" s="1">
        <f t="shared" si="0"/>
        <v>19</v>
      </c>
      <c r="Y2" s="1">
        <f t="shared" si="0"/>
        <v>28</v>
      </c>
      <c r="Z2" s="1">
        <f t="shared" si="0"/>
        <v>24</v>
      </c>
      <c r="AA2" s="1">
        <f t="shared" si="0"/>
        <v>23</v>
      </c>
      <c r="AB2" s="1">
        <f t="shared" si="0"/>
        <v>17</v>
      </c>
      <c r="AC2" s="1">
        <f t="shared" si="0"/>
        <v>25</v>
      </c>
      <c r="AD2" s="1">
        <f t="shared" si="0"/>
        <v>19</v>
      </c>
      <c r="AE2" s="1">
        <f t="shared" si="0"/>
        <v>19</v>
      </c>
      <c r="AF2" s="1">
        <f t="shared" si="0"/>
        <v>33</v>
      </c>
      <c r="AG2" s="1">
        <f t="shared" si="0"/>
        <v>26</v>
      </c>
      <c r="AH2" s="1">
        <f t="shared" si="0"/>
        <v>27</v>
      </c>
      <c r="AI2" s="1">
        <f t="shared" si="0"/>
        <v>32</v>
      </c>
      <c r="AJ2" s="1">
        <f t="shared" si="0"/>
        <v>32</v>
      </c>
      <c r="AK2" s="1">
        <f t="shared" si="0"/>
        <v>20</v>
      </c>
      <c r="AL2" s="1">
        <f t="shared" si="0"/>
        <v>21</v>
      </c>
      <c r="AM2" s="1">
        <f t="shared" si="0"/>
        <v>30</v>
      </c>
      <c r="AN2" s="1">
        <f t="shared" si="0"/>
        <v>11</v>
      </c>
      <c r="AO2" s="1">
        <f t="shared" si="0"/>
        <v>25</v>
      </c>
      <c r="AP2" s="1">
        <f t="shared" ref="AP2:BG2" si="1">COUNTA(AP4:AP152)</f>
        <v>25</v>
      </c>
      <c r="AQ2" s="1">
        <f t="shared" si="1"/>
        <v>21</v>
      </c>
      <c r="AR2" s="1">
        <f t="shared" si="1"/>
        <v>19</v>
      </c>
      <c r="AS2" s="1">
        <f t="shared" si="1"/>
        <v>26</v>
      </c>
      <c r="AT2" s="1">
        <f t="shared" si="1"/>
        <v>0</v>
      </c>
      <c r="AU2" s="1">
        <f t="shared" si="1"/>
        <v>0</v>
      </c>
      <c r="AV2" s="1">
        <f t="shared" si="1"/>
        <v>0</v>
      </c>
      <c r="AW2" s="1">
        <f t="shared" si="1"/>
        <v>0</v>
      </c>
      <c r="AX2" s="1">
        <f t="shared" si="1"/>
        <v>0</v>
      </c>
      <c r="AY2" s="1">
        <f t="shared" si="1"/>
        <v>0</v>
      </c>
      <c r="AZ2" s="1">
        <f t="shared" si="1"/>
        <v>0</v>
      </c>
      <c r="BA2" s="1">
        <f t="shared" si="1"/>
        <v>0</v>
      </c>
      <c r="BB2" s="1">
        <f t="shared" si="1"/>
        <v>0</v>
      </c>
      <c r="BC2" s="1">
        <f t="shared" si="1"/>
        <v>0</v>
      </c>
      <c r="BD2" s="1">
        <f t="shared" si="1"/>
        <v>0</v>
      </c>
      <c r="BE2" s="1">
        <f t="shared" si="1"/>
        <v>0</v>
      </c>
      <c r="BF2" s="1">
        <f t="shared" si="1"/>
        <v>0</v>
      </c>
      <c r="BG2" s="1">
        <f t="shared" si="1"/>
        <v>0</v>
      </c>
    </row>
    <row r="3" spans="1:82" x14ac:dyDescent="0.25">
      <c r="A3" s="2" t="s">
        <v>4</v>
      </c>
      <c r="B3" s="2" t="s">
        <v>6</v>
      </c>
      <c r="C3" s="57" t="s">
        <v>317</v>
      </c>
      <c r="D3" s="54" t="s">
        <v>116</v>
      </c>
      <c r="E3" s="54" t="s">
        <v>126</v>
      </c>
      <c r="F3" s="2" t="s">
        <v>44</v>
      </c>
      <c r="G3" s="2" t="s">
        <v>86</v>
      </c>
      <c r="H3" s="2" t="s">
        <v>79</v>
      </c>
      <c r="I3" s="2" t="s">
        <v>326</v>
      </c>
      <c r="J3" s="4">
        <v>46076</v>
      </c>
      <c r="K3" s="4">
        <v>46079</v>
      </c>
      <c r="L3" s="4">
        <v>46085</v>
      </c>
      <c r="M3" s="4">
        <v>46086</v>
      </c>
      <c r="N3" s="4">
        <v>46094</v>
      </c>
      <c r="O3" s="4">
        <v>46096</v>
      </c>
      <c r="P3" s="4">
        <v>46097</v>
      </c>
      <c r="Q3" s="4">
        <v>46100</v>
      </c>
      <c r="R3" s="4">
        <v>46107</v>
      </c>
      <c r="S3" s="4">
        <v>46114</v>
      </c>
      <c r="T3" s="4">
        <v>46121</v>
      </c>
      <c r="U3" s="4">
        <v>46128</v>
      </c>
      <c r="V3" s="4">
        <v>46133</v>
      </c>
      <c r="W3" s="4">
        <v>46149</v>
      </c>
      <c r="X3" s="4">
        <v>46153</v>
      </c>
      <c r="Y3" s="4">
        <v>46156</v>
      </c>
      <c r="Z3" s="4">
        <v>46170</v>
      </c>
      <c r="AA3" s="4">
        <v>46177</v>
      </c>
      <c r="AB3" s="4">
        <v>46184</v>
      </c>
      <c r="AC3" s="4">
        <v>46191</v>
      </c>
      <c r="AD3" s="4">
        <v>46198</v>
      </c>
      <c r="AE3" s="4">
        <v>46202</v>
      </c>
      <c r="AF3" s="4">
        <v>46205</v>
      </c>
      <c r="AG3" s="4">
        <v>46212</v>
      </c>
      <c r="AH3" s="4">
        <v>46219</v>
      </c>
      <c r="AI3" s="4">
        <v>46233</v>
      </c>
      <c r="AJ3" s="4">
        <v>46240</v>
      </c>
      <c r="AK3" s="4">
        <v>46246</v>
      </c>
      <c r="AL3" s="4">
        <v>46254</v>
      </c>
      <c r="AM3" s="4">
        <v>46261</v>
      </c>
      <c r="AN3" s="4">
        <v>46265</v>
      </c>
      <c r="AO3" s="4">
        <v>46275</v>
      </c>
      <c r="AP3" s="4">
        <v>46282</v>
      </c>
      <c r="AQ3" s="4">
        <v>46296</v>
      </c>
      <c r="AR3" s="4">
        <v>46303</v>
      </c>
      <c r="AS3" s="4">
        <v>46310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5">
      <c r="A4" s="2">
        <v>1</v>
      </c>
      <c r="B4" s="2" t="s">
        <v>50</v>
      </c>
      <c r="C4" s="57" t="s">
        <v>318</v>
      </c>
      <c r="D4" s="54" t="s">
        <v>322</v>
      </c>
      <c r="E4" s="54"/>
      <c r="F4" s="2" t="s">
        <v>37</v>
      </c>
      <c r="G4" s="2">
        <f>RANK(H4,$H$4:$H$122,0)</f>
        <v>4</v>
      </c>
      <c r="H4" s="6">
        <f>I4+개인기록Sheet!C4</f>
        <v>28.6</v>
      </c>
      <c r="I4" s="6">
        <f>(COUNTIF(J4:CD4,"출전")*1)</f>
        <v>26</v>
      </c>
      <c r="J4" s="2" t="s">
        <v>348</v>
      </c>
      <c r="K4" s="2"/>
      <c r="L4" s="2"/>
      <c r="M4" s="2" t="s">
        <v>348</v>
      </c>
      <c r="N4" s="2" t="s">
        <v>348</v>
      </c>
      <c r="O4" s="2" t="s">
        <v>348</v>
      </c>
      <c r="P4" s="2" t="s">
        <v>348</v>
      </c>
      <c r="Q4" s="2" t="s">
        <v>348</v>
      </c>
      <c r="R4" s="2" t="s">
        <v>348</v>
      </c>
      <c r="S4" s="2" t="s">
        <v>348</v>
      </c>
      <c r="T4" s="2" t="s">
        <v>348</v>
      </c>
      <c r="U4" s="2" t="s">
        <v>348</v>
      </c>
      <c r="V4" s="2" t="s">
        <v>348</v>
      </c>
      <c r="W4" s="2" t="s">
        <v>348</v>
      </c>
      <c r="X4" s="2"/>
      <c r="Y4" s="2" t="s">
        <v>348</v>
      </c>
      <c r="Z4" s="2"/>
      <c r="AA4" s="2" t="s">
        <v>348</v>
      </c>
      <c r="AB4" s="2" t="s">
        <v>348</v>
      </c>
      <c r="AC4" s="2" t="s">
        <v>348</v>
      </c>
      <c r="AD4" s="2"/>
      <c r="AE4" s="2" t="s">
        <v>348</v>
      </c>
      <c r="AF4" s="2" t="s">
        <v>348</v>
      </c>
      <c r="AG4" s="2" t="s">
        <v>348</v>
      </c>
      <c r="AH4" s="2"/>
      <c r="AI4" s="2"/>
      <c r="AJ4" s="2" t="s">
        <v>348</v>
      </c>
      <c r="AK4" s="2" t="s">
        <v>348</v>
      </c>
      <c r="AL4" s="2" t="s">
        <v>348</v>
      </c>
      <c r="AM4" s="2"/>
      <c r="AN4" s="2"/>
      <c r="AO4" s="2"/>
      <c r="AP4" s="2" t="s">
        <v>348</v>
      </c>
      <c r="AQ4" s="2" t="s">
        <v>348</v>
      </c>
      <c r="AR4" s="2" t="s">
        <v>348</v>
      </c>
      <c r="AS4" s="2" t="s">
        <v>348</v>
      </c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5">
      <c r="A5" s="2">
        <v>2</v>
      </c>
      <c r="B5" s="2" t="s">
        <v>39</v>
      </c>
      <c r="C5" s="57">
        <v>2021</v>
      </c>
      <c r="D5" s="54" t="s">
        <v>322</v>
      </c>
      <c r="E5" s="54"/>
      <c r="F5" s="2" t="s">
        <v>37</v>
      </c>
      <c r="G5" s="2">
        <f t="shared" ref="G5:G35" si="2">RANK(H5,$H$4:$H$122,0)</f>
        <v>55</v>
      </c>
      <c r="H5" s="6">
        <f>I5+개인기록Sheet!C5</f>
        <v>6.9</v>
      </c>
      <c r="I5" s="6">
        <f t="shared" ref="I5:I65" si="3">(COUNTIF(J5:CD5,"출전")*1)</f>
        <v>6</v>
      </c>
      <c r="J5" s="2"/>
      <c r="K5" s="2"/>
      <c r="L5" s="2" t="s">
        <v>348</v>
      </c>
      <c r="M5" s="2"/>
      <c r="N5" s="2"/>
      <c r="O5" s="2"/>
      <c r="P5" s="2"/>
      <c r="Q5" s="2"/>
      <c r="R5" s="2"/>
      <c r="S5" s="2"/>
      <c r="T5" s="2"/>
      <c r="U5" s="2" t="s">
        <v>348</v>
      </c>
      <c r="V5" s="2"/>
      <c r="W5" s="2"/>
      <c r="X5" s="2"/>
      <c r="Y5" s="2"/>
      <c r="Z5" s="2"/>
      <c r="AA5" s="2"/>
      <c r="AB5" s="2"/>
      <c r="AC5" s="2" t="s">
        <v>348</v>
      </c>
      <c r="AD5" s="2"/>
      <c r="AE5" s="2"/>
      <c r="AF5" s="2"/>
      <c r="AG5" s="2" t="s">
        <v>348</v>
      </c>
      <c r="AH5" s="2"/>
      <c r="AI5" s="2" t="s">
        <v>348</v>
      </c>
      <c r="AJ5" s="2"/>
      <c r="AK5" s="2"/>
      <c r="AL5" s="2"/>
      <c r="AM5" s="2"/>
      <c r="AN5" s="2"/>
      <c r="AO5" s="2" t="s">
        <v>439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5">
      <c r="A6" s="2">
        <v>3</v>
      </c>
      <c r="B6" s="2" t="s">
        <v>8</v>
      </c>
      <c r="C6" s="57" t="s">
        <v>318</v>
      </c>
      <c r="D6" s="54" t="s">
        <v>349</v>
      </c>
      <c r="E6" s="54"/>
      <c r="F6" s="2" t="s">
        <v>37</v>
      </c>
      <c r="G6" s="2">
        <f t="shared" si="2"/>
        <v>92</v>
      </c>
      <c r="H6" s="6">
        <f>I6+개인기록Sheet!C6</f>
        <v>0</v>
      </c>
      <c r="I6" s="6">
        <f t="shared" si="3"/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5">
      <c r="A7" s="2">
        <v>4</v>
      </c>
      <c r="B7" s="2" t="s">
        <v>47</v>
      </c>
      <c r="C7" s="57" t="s">
        <v>318</v>
      </c>
      <c r="D7" s="54">
        <f>COUNTA(AF7:AU7)</f>
        <v>0</v>
      </c>
      <c r="E7" s="54"/>
      <c r="F7" s="2" t="s">
        <v>37</v>
      </c>
      <c r="G7" s="2">
        <f t="shared" si="2"/>
        <v>92</v>
      </c>
      <c r="H7" s="6">
        <f>I7+개인기록Sheet!C7</f>
        <v>0</v>
      </c>
      <c r="I7" s="6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5">
      <c r="A8" s="2">
        <v>5</v>
      </c>
      <c r="B8" s="2" t="s">
        <v>69</v>
      </c>
      <c r="C8" s="57" t="s">
        <v>318</v>
      </c>
      <c r="D8" s="54" t="s">
        <v>322</v>
      </c>
      <c r="E8" s="54"/>
      <c r="F8" s="2" t="s">
        <v>37</v>
      </c>
      <c r="G8" s="2">
        <f t="shared" si="2"/>
        <v>92</v>
      </c>
      <c r="H8" s="6">
        <f>I8+개인기록Sheet!C8</f>
        <v>0</v>
      </c>
      <c r="I8" s="6">
        <f t="shared" si="3"/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5">
      <c r="A9" s="2">
        <v>6</v>
      </c>
      <c r="B9" s="2" t="s">
        <v>48</v>
      </c>
      <c r="C9" s="57" t="s">
        <v>318</v>
      </c>
      <c r="D9" s="54" t="s">
        <v>322</v>
      </c>
      <c r="E9" s="54"/>
      <c r="F9" s="2" t="s">
        <v>37</v>
      </c>
      <c r="G9" s="2">
        <f t="shared" si="2"/>
        <v>45</v>
      </c>
      <c r="H9" s="6">
        <f>I9+개인기록Sheet!C9</f>
        <v>9</v>
      </c>
      <c r="I9" s="6">
        <f t="shared" si="3"/>
        <v>8</v>
      </c>
      <c r="J9" s="2"/>
      <c r="K9" s="2" t="s">
        <v>348</v>
      </c>
      <c r="L9" s="2"/>
      <c r="M9" s="2"/>
      <c r="N9" s="2"/>
      <c r="O9" s="2" t="s">
        <v>348</v>
      </c>
      <c r="P9" s="2"/>
      <c r="Q9" s="2" t="s">
        <v>348</v>
      </c>
      <c r="R9" s="2"/>
      <c r="S9" s="2"/>
      <c r="T9" s="2"/>
      <c r="U9" s="2" t="s">
        <v>348</v>
      </c>
      <c r="V9" s="2"/>
      <c r="W9" s="2"/>
      <c r="X9" s="2"/>
      <c r="Y9" s="2"/>
      <c r="Z9" s="2"/>
      <c r="AA9" s="2" t="s">
        <v>348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 t="s">
        <v>348</v>
      </c>
      <c r="AM9" s="2" t="s">
        <v>348</v>
      </c>
      <c r="AN9" s="2"/>
      <c r="AO9" s="2"/>
      <c r="AP9" s="2"/>
      <c r="AQ9" s="2" t="s">
        <v>348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5">
      <c r="A10" s="2">
        <v>7</v>
      </c>
      <c r="B10" s="2" t="s">
        <v>236</v>
      </c>
      <c r="C10" s="58">
        <v>2024</v>
      </c>
      <c r="D10" s="54" t="s">
        <v>322</v>
      </c>
      <c r="E10" s="54"/>
      <c r="F10" s="2" t="s">
        <v>37</v>
      </c>
      <c r="G10" s="2">
        <f t="shared" si="2"/>
        <v>15</v>
      </c>
      <c r="H10" s="6">
        <f>I10+개인기록Sheet!C10</f>
        <v>20.6</v>
      </c>
      <c r="I10" s="6">
        <f t="shared" si="3"/>
        <v>17</v>
      </c>
      <c r="J10" s="2" t="s">
        <v>348</v>
      </c>
      <c r="K10" s="2"/>
      <c r="L10" s="2"/>
      <c r="M10" s="2"/>
      <c r="N10" s="2" t="s">
        <v>348</v>
      </c>
      <c r="O10" s="2"/>
      <c r="P10" s="2"/>
      <c r="Q10" s="2" t="s">
        <v>348</v>
      </c>
      <c r="R10" s="2"/>
      <c r="S10" s="2" t="s">
        <v>348</v>
      </c>
      <c r="T10" s="2" t="s">
        <v>348</v>
      </c>
      <c r="U10" s="2"/>
      <c r="V10" s="2"/>
      <c r="W10" s="2" t="s">
        <v>348</v>
      </c>
      <c r="X10" s="2"/>
      <c r="Y10" s="2" t="s">
        <v>348</v>
      </c>
      <c r="Z10" s="2" t="s">
        <v>348</v>
      </c>
      <c r="AA10" s="2" t="s">
        <v>348</v>
      </c>
      <c r="AB10" s="2"/>
      <c r="AC10" s="2" t="s">
        <v>348</v>
      </c>
      <c r="AD10" s="2" t="s">
        <v>348</v>
      </c>
      <c r="AE10" s="2"/>
      <c r="AF10" s="2" t="s">
        <v>348</v>
      </c>
      <c r="AG10" s="2" t="s">
        <v>348</v>
      </c>
      <c r="AH10" s="2" t="s">
        <v>348</v>
      </c>
      <c r="AI10" s="2" t="s">
        <v>348</v>
      </c>
      <c r="AJ10" s="2"/>
      <c r="AK10" s="2"/>
      <c r="AL10" s="2" t="s">
        <v>348</v>
      </c>
      <c r="AM10" s="2"/>
      <c r="AN10" s="2"/>
      <c r="AO10" s="2" t="s">
        <v>348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5">
      <c r="A11" s="2">
        <v>8</v>
      </c>
      <c r="B11" s="2" t="s">
        <v>109</v>
      </c>
      <c r="C11" s="57">
        <v>2022</v>
      </c>
      <c r="D11" s="54" t="s">
        <v>322</v>
      </c>
      <c r="E11" s="54"/>
      <c r="F11" s="2" t="s">
        <v>37</v>
      </c>
      <c r="G11" s="2">
        <f t="shared" si="2"/>
        <v>12</v>
      </c>
      <c r="H11" s="6">
        <f>I11+개인기록Sheet!C11</f>
        <v>21.6</v>
      </c>
      <c r="I11" s="6">
        <f t="shared" si="3"/>
        <v>16</v>
      </c>
      <c r="J11" s="2" t="s">
        <v>348</v>
      </c>
      <c r="K11" s="2"/>
      <c r="L11" s="2" t="s">
        <v>348</v>
      </c>
      <c r="M11" s="2" t="s">
        <v>348</v>
      </c>
      <c r="N11" s="2"/>
      <c r="O11" s="2"/>
      <c r="P11" s="2"/>
      <c r="Q11" s="2" t="s">
        <v>348</v>
      </c>
      <c r="R11" s="2"/>
      <c r="S11" s="2"/>
      <c r="T11" s="2"/>
      <c r="U11" s="2" t="s">
        <v>348</v>
      </c>
      <c r="V11" s="2" t="s">
        <v>348</v>
      </c>
      <c r="W11" s="2"/>
      <c r="X11" s="2"/>
      <c r="Y11" s="2" t="s">
        <v>348</v>
      </c>
      <c r="Z11" s="2"/>
      <c r="AA11" s="2" t="s">
        <v>348</v>
      </c>
      <c r="AB11" s="2" t="s">
        <v>348</v>
      </c>
      <c r="AC11" s="2" t="s">
        <v>348</v>
      </c>
      <c r="AD11" s="2"/>
      <c r="AE11" s="2"/>
      <c r="AF11" s="2"/>
      <c r="AG11" s="2"/>
      <c r="AH11" s="2" t="s">
        <v>348</v>
      </c>
      <c r="AI11" s="2"/>
      <c r="AJ11" s="2"/>
      <c r="AK11" s="2"/>
      <c r="AL11" s="2"/>
      <c r="AM11" s="2" t="s">
        <v>348</v>
      </c>
      <c r="AN11" s="2"/>
      <c r="AO11" s="2" t="s">
        <v>439</v>
      </c>
      <c r="AP11" s="2" t="s">
        <v>348</v>
      </c>
      <c r="AQ11" s="2" t="s">
        <v>348</v>
      </c>
      <c r="AR11" s="2" t="s">
        <v>348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5">
      <c r="A12" s="2">
        <v>9</v>
      </c>
      <c r="B12" s="2" t="s">
        <v>323</v>
      </c>
      <c r="C12" s="58">
        <v>2025</v>
      </c>
      <c r="D12" s="54">
        <f t="shared" ref="D12:D15" si="4">COUNTA(AF12:AU12)</f>
        <v>0</v>
      </c>
      <c r="E12" s="54"/>
      <c r="F12" s="2" t="s">
        <v>37</v>
      </c>
      <c r="G12" s="2">
        <f t="shared" si="2"/>
        <v>86</v>
      </c>
      <c r="H12" s="6">
        <f>I12+개인기록Sheet!C12</f>
        <v>1</v>
      </c>
      <c r="I12" s="6">
        <f t="shared" si="3"/>
        <v>1</v>
      </c>
      <c r="J12" s="2"/>
      <c r="K12" s="2"/>
      <c r="L12" s="2"/>
      <c r="M12" s="2"/>
      <c r="N12" s="2"/>
      <c r="O12" s="2"/>
      <c r="P12" s="2"/>
      <c r="Q12" s="2" t="s">
        <v>348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x14ac:dyDescent="0.25">
      <c r="A13" s="2">
        <v>10</v>
      </c>
      <c r="B13" s="2" t="s">
        <v>119</v>
      </c>
      <c r="C13" s="57">
        <v>2022</v>
      </c>
      <c r="D13" s="54">
        <f t="shared" si="4"/>
        <v>0</v>
      </c>
      <c r="E13" s="54"/>
      <c r="F13" s="2" t="s">
        <v>37</v>
      </c>
      <c r="G13" s="2">
        <f t="shared" si="2"/>
        <v>92</v>
      </c>
      <c r="H13" s="6">
        <f>I13+개인기록Sheet!C13</f>
        <v>0</v>
      </c>
      <c r="I13" s="6">
        <f t="shared" si="3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5">
      <c r="A14" s="2">
        <v>11</v>
      </c>
      <c r="B14" s="2" t="s">
        <v>27</v>
      </c>
      <c r="C14" s="57" t="s">
        <v>318</v>
      </c>
      <c r="D14" s="54">
        <f t="shared" si="4"/>
        <v>0</v>
      </c>
      <c r="E14" s="54"/>
      <c r="F14" s="2" t="s">
        <v>37</v>
      </c>
      <c r="G14" s="2">
        <f t="shared" si="2"/>
        <v>92</v>
      </c>
      <c r="H14" s="6">
        <f>I14+개인기록Sheet!C14</f>
        <v>0</v>
      </c>
      <c r="I14" s="6">
        <f t="shared" si="3"/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5">
      <c r="A15" s="2">
        <v>12</v>
      </c>
      <c r="B15" s="2" t="s">
        <v>404</v>
      </c>
      <c r="C15" s="58">
        <v>2026</v>
      </c>
      <c r="D15" s="54">
        <f t="shared" si="4"/>
        <v>4</v>
      </c>
      <c r="E15" s="54"/>
      <c r="F15" s="2" t="s">
        <v>37</v>
      </c>
      <c r="G15" s="2">
        <f t="shared" si="2"/>
        <v>67</v>
      </c>
      <c r="H15" s="6">
        <f>I15+개인기록Sheet!C15</f>
        <v>4.5999999999999996</v>
      </c>
      <c r="I15" s="6">
        <f t="shared" si="3"/>
        <v>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348</v>
      </c>
      <c r="AH15" s="2"/>
      <c r="AI15" s="2"/>
      <c r="AJ15" s="2"/>
      <c r="AK15" s="2"/>
      <c r="AL15" s="2"/>
      <c r="AM15" s="2"/>
      <c r="AN15" s="2" t="s">
        <v>348</v>
      </c>
      <c r="AO15" s="2" t="s">
        <v>348</v>
      </c>
      <c r="AP15" s="2" t="s">
        <v>348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5">
      <c r="A16" s="2">
        <v>13</v>
      </c>
      <c r="B16" s="2" t="s">
        <v>111</v>
      </c>
      <c r="C16" s="57">
        <v>2022</v>
      </c>
      <c r="D16" s="54" t="s">
        <v>322</v>
      </c>
      <c r="E16" s="54"/>
      <c r="F16" s="2" t="s">
        <v>37</v>
      </c>
      <c r="G16" s="2">
        <f t="shared" si="2"/>
        <v>30</v>
      </c>
      <c r="H16" s="6">
        <f>I16+개인기록Sheet!C16</f>
        <v>13.8</v>
      </c>
      <c r="I16" s="6">
        <f t="shared" si="3"/>
        <v>10</v>
      </c>
      <c r="J16" s="2"/>
      <c r="K16" s="2" t="s">
        <v>348</v>
      </c>
      <c r="L16" s="2" t="s">
        <v>348</v>
      </c>
      <c r="M16" s="2"/>
      <c r="N16" s="2"/>
      <c r="O16" s="2" t="s">
        <v>348</v>
      </c>
      <c r="P16" s="2"/>
      <c r="Q16" s="2"/>
      <c r="R16" s="2"/>
      <c r="S16" s="2"/>
      <c r="T16" s="2"/>
      <c r="U16" s="2"/>
      <c r="V16" s="2"/>
      <c r="W16" s="2" t="s">
        <v>348</v>
      </c>
      <c r="X16" s="2" t="s">
        <v>348</v>
      </c>
      <c r="Y16" s="2"/>
      <c r="Z16" s="2"/>
      <c r="AA16" s="2"/>
      <c r="AB16" s="2"/>
      <c r="AC16" s="2"/>
      <c r="AD16" s="2"/>
      <c r="AE16" s="2"/>
      <c r="AF16" s="2" t="s">
        <v>348</v>
      </c>
      <c r="AG16" s="2" t="s">
        <v>348</v>
      </c>
      <c r="AH16" s="2"/>
      <c r="AI16" s="2"/>
      <c r="AJ16" s="2"/>
      <c r="AK16" s="2" t="s">
        <v>348</v>
      </c>
      <c r="AL16" s="2"/>
      <c r="AM16" s="2" t="s">
        <v>348</v>
      </c>
      <c r="AN16" s="2"/>
      <c r="AO16" s="2"/>
      <c r="AP16" s="2"/>
      <c r="AQ16" s="2"/>
      <c r="AR16" s="2" t="s">
        <v>348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5">
      <c r="A17" s="2">
        <v>14</v>
      </c>
      <c r="B17" s="2" t="s">
        <v>340</v>
      </c>
      <c r="C17" s="58">
        <v>2026</v>
      </c>
      <c r="D17" s="54" t="s">
        <v>322</v>
      </c>
      <c r="E17" s="54"/>
      <c r="F17" s="2" t="s">
        <v>37</v>
      </c>
      <c r="G17" s="2">
        <f t="shared" si="2"/>
        <v>17</v>
      </c>
      <c r="H17" s="6">
        <f>I17+개인기록Sheet!C17</f>
        <v>18.8</v>
      </c>
      <c r="I17" s="6">
        <f t="shared" si="3"/>
        <v>15</v>
      </c>
      <c r="J17" s="2"/>
      <c r="K17" s="2" t="s">
        <v>348</v>
      </c>
      <c r="L17" s="2"/>
      <c r="M17" s="2"/>
      <c r="N17" s="2" t="s">
        <v>348</v>
      </c>
      <c r="O17" s="2"/>
      <c r="P17" s="2" t="s">
        <v>348</v>
      </c>
      <c r="Q17" s="2" t="s">
        <v>348</v>
      </c>
      <c r="R17" s="2" t="s">
        <v>348</v>
      </c>
      <c r="S17" s="2" t="s">
        <v>348</v>
      </c>
      <c r="T17" s="2"/>
      <c r="U17" s="2" t="s">
        <v>348</v>
      </c>
      <c r="V17" s="2"/>
      <c r="W17" s="2" t="s">
        <v>348</v>
      </c>
      <c r="X17" s="2" t="s">
        <v>348</v>
      </c>
      <c r="Y17" s="2"/>
      <c r="Z17" s="2" t="s">
        <v>348</v>
      </c>
      <c r="AA17" s="2" t="s">
        <v>348</v>
      </c>
      <c r="AB17" s="2" t="s">
        <v>348</v>
      </c>
      <c r="AC17" s="2"/>
      <c r="AD17" s="2"/>
      <c r="AE17" s="2"/>
      <c r="AF17" s="2" t="s">
        <v>348</v>
      </c>
      <c r="AG17" s="2" t="s">
        <v>348</v>
      </c>
      <c r="AH17" s="2"/>
      <c r="AI17" s="2"/>
      <c r="AJ17" s="2" t="s">
        <v>348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x14ac:dyDescent="0.25">
      <c r="A18" s="2">
        <v>15</v>
      </c>
      <c r="B18" s="2" t="s">
        <v>133</v>
      </c>
      <c r="C18" s="57">
        <v>2023</v>
      </c>
      <c r="D18" s="54" t="s">
        <v>322</v>
      </c>
      <c r="E18" s="54"/>
      <c r="F18" s="2" t="s">
        <v>37</v>
      </c>
      <c r="G18" s="2">
        <f t="shared" si="2"/>
        <v>92</v>
      </c>
      <c r="H18" s="6">
        <f>I18+개인기록Sheet!C18</f>
        <v>0</v>
      </c>
      <c r="I18" s="6">
        <f t="shared" si="3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>
        <v>16</v>
      </c>
      <c r="B19" s="2" t="s">
        <v>411</v>
      </c>
      <c r="C19" s="58">
        <v>2026</v>
      </c>
      <c r="D19" s="54">
        <f>COUNTA(AF19:AU19)</f>
        <v>1</v>
      </c>
      <c r="E19" s="54"/>
      <c r="F19" s="2" t="s">
        <v>37</v>
      </c>
      <c r="G19" s="2">
        <f t="shared" si="2"/>
        <v>86</v>
      </c>
      <c r="H19" s="6">
        <f>I19+개인기록Sheet!C19</f>
        <v>1</v>
      </c>
      <c r="I19" s="6">
        <f t="shared" si="3"/>
        <v>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 t="s">
        <v>439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2">
        <v>17</v>
      </c>
      <c r="B20" s="2" t="s">
        <v>138</v>
      </c>
      <c r="C20" s="57">
        <v>2023</v>
      </c>
      <c r="D20" s="54" t="s">
        <v>322</v>
      </c>
      <c r="E20" s="54"/>
      <c r="F20" s="2" t="s">
        <v>37</v>
      </c>
      <c r="G20" s="2">
        <f t="shared" si="2"/>
        <v>61</v>
      </c>
      <c r="H20" s="6">
        <f>I20+개인기록Sheet!C20</f>
        <v>5.4</v>
      </c>
      <c r="I20" s="6">
        <f t="shared" si="3"/>
        <v>5</v>
      </c>
      <c r="J20" s="2"/>
      <c r="K20" s="2" t="s">
        <v>348</v>
      </c>
      <c r="L20" s="2"/>
      <c r="M20" s="2"/>
      <c r="N20" s="2"/>
      <c r="O20" s="2" t="s">
        <v>348</v>
      </c>
      <c r="P20" s="2"/>
      <c r="Q20" s="2" t="s">
        <v>348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s">
        <v>348</v>
      </c>
      <c r="AJ20" s="2"/>
      <c r="AK20" s="2" t="s">
        <v>348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5">
      <c r="A21" s="2">
        <v>18</v>
      </c>
      <c r="B21" s="2" t="s">
        <v>239</v>
      </c>
      <c r="C21" s="58">
        <v>2024</v>
      </c>
      <c r="D21" s="54">
        <f t="shared" ref="D21:D22" si="5">COUNTA(AF21:AU21)</f>
        <v>0</v>
      </c>
      <c r="E21" s="54"/>
      <c r="F21" s="2" t="s">
        <v>37</v>
      </c>
      <c r="G21" s="2">
        <f t="shared" si="2"/>
        <v>92</v>
      </c>
      <c r="H21" s="6">
        <f>I21+개인기록Sheet!C21</f>
        <v>0</v>
      </c>
      <c r="I21" s="6">
        <f t="shared" si="3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5">
      <c r="A22" s="2">
        <v>19</v>
      </c>
      <c r="B22" s="2" t="s">
        <v>112</v>
      </c>
      <c r="C22" s="57">
        <v>2022</v>
      </c>
      <c r="D22" s="54">
        <f t="shared" si="5"/>
        <v>0</v>
      </c>
      <c r="E22" s="54"/>
      <c r="F22" s="2" t="s">
        <v>37</v>
      </c>
      <c r="G22" s="2">
        <f t="shared" si="2"/>
        <v>92</v>
      </c>
      <c r="H22" s="6">
        <f>I22+개인기록Sheet!C22</f>
        <v>0</v>
      </c>
      <c r="I22" s="6">
        <f t="shared" si="3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5">
      <c r="A23" s="2">
        <v>20</v>
      </c>
      <c r="B23" s="2" t="s">
        <v>234</v>
      </c>
      <c r="C23" s="58">
        <v>2024</v>
      </c>
      <c r="D23" s="54" t="s">
        <v>322</v>
      </c>
      <c r="E23" s="54"/>
      <c r="F23" s="2" t="s">
        <v>37</v>
      </c>
      <c r="G23" s="2">
        <f t="shared" si="2"/>
        <v>86</v>
      </c>
      <c r="H23" s="6">
        <f>I23+개인기록Sheet!C23</f>
        <v>1</v>
      </c>
      <c r="I23" s="6">
        <f t="shared" si="3"/>
        <v>1</v>
      </c>
      <c r="J23" s="2"/>
      <c r="K23" s="2"/>
      <c r="L23" s="2"/>
      <c r="M23" s="2"/>
      <c r="N23" s="2"/>
      <c r="O23" s="2"/>
      <c r="P23" s="2"/>
      <c r="Q23" s="2"/>
      <c r="R23" s="2"/>
      <c r="S23" s="2" t="s">
        <v>348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5">
      <c r="A24" s="2">
        <v>21</v>
      </c>
      <c r="B24" s="2" t="s">
        <v>14</v>
      </c>
      <c r="C24" s="57" t="s">
        <v>318</v>
      </c>
      <c r="D24" s="54" t="s">
        <v>322</v>
      </c>
      <c r="E24" s="54"/>
      <c r="F24" s="2" t="s">
        <v>37</v>
      </c>
      <c r="G24" s="2">
        <f t="shared" si="2"/>
        <v>44</v>
      </c>
      <c r="H24" s="6">
        <f>I24+개인기록Sheet!C24</f>
        <v>9.3000000000000007</v>
      </c>
      <c r="I24" s="6">
        <f t="shared" si="3"/>
        <v>8</v>
      </c>
      <c r="J24" s="2"/>
      <c r="K24" s="2"/>
      <c r="L24" s="2" t="s">
        <v>348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 t="s">
        <v>348</v>
      </c>
      <c r="Z24" s="2" t="s">
        <v>348</v>
      </c>
      <c r="AA24" s="2"/>
      <c r="AB24" s="2" t="s">
        <v>348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s">
        <v>348</v>
      </c>
      <c r="AN24" s="2" t="s">
        <v>348</v>
      </c>
      <c r="AO24" s="2" t="s">
        <v>439</v>
      </c>
      <c r="AP24" s="2"/>
      <c r="AQ24" s="2"/>
      <c r="AR24" s="2"/>
      <c r="AS24" s="2" t="s">
        <v>348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5">
      <c r="A25" s="2">
        <v>22</v>
      </c>
      <c r="B25" s="2" t="s">
        <v>134</v>
      </c>
      <c r="C25" s="57">
        <v>2023</v>
      </c>
      <c r="D25" s="54" t="s">
        <v>322</v>
      </c>
      <c r="E25" s="54"/>
      <c r="F25" s="2" t="s">
        <v>37</v>
      </c>
      <c r="G25" s="2">
        <f t="shared" si="2"/>
        <v>25</v>
      </c>
      <c r="H25" s="6">
        <f>I25+개인기록Sheet!C25</f>
        <v>15.9</v>
      </c>
      <c r="I25" s="6">
        <f t="shared" si="3"/>
        <v>13</v>
      </c>
      <c r="J25" s="2"/>
      <c r="K25" s="2" t="s">
        <v>348</v>
      </c>
      <c r="L25" s="2" t="s">
        <v>348</v>
      </c>
      <c r="M25" s="2"/>
      <c r="N25" s="2"/>
      <c r="O25" s="2"/>
      <c r="P25" s="2"/>
      <c r="Q25" s="2"/>
      <c r="R25" s="2"/>
      <c r="S25" s="2" t="s">
        <v>348</v>
      </c>
      <c r="T25" s="2"/>
      <c r="U25" s="2" t="s">
        <v>348</v>
      </c>
      <c r="V25" s="2"/>
      <c r="W25" s="2"/>
      <c r="X25" s="2" t="s">
        <v>348</v>
      </c>
      <c r="Y25" s="2"/>
      <c r="Z25" s="2"/>
      <c r="AA25" s="2"/>
      <c r="AB25" s="2"/>
      <c r="AC25" s="2" t="s">
        <v>348</v>
      </c>
      <c r="AD25" s="2"/>
      <c r="AE25" s="2" t="s">
        <v>348</v>
      </c>
      <c r="AF25" s="2"/>
      <c r="AG25" s="2"/>
      <c r="AH25" s="2"/>
      <c r="AI25" s="2" t="s">
        <v>348</v>
      </c>
      <c r="AJ25" s="2" t="s">
        <v>348</v>
      </c>
      <c r="AK25" s="2" t="s">
        <v>348</v>
      </c>
      <c r="AL25" s="2"/>
      <c r="AM25" s="2"/>
      <c r="AN25" s="2"/>
      <c r="AO25" s="2" t="s">
        <v>439</v>
      </c>
      <c r="AP25" s="2" t="s">
        <v>348</v>
      </c>
      <c r="AQ25" s="2"/>
      <c r="AR25" s="2"/>
      <c r="AS25" s="2" t="s">
        <v>348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5">
      <c r="A26" s="2">
        <v>23</v>
      </c>
      <c r="B26" s="2" t="s">
        <v>201</v>
      </c>
      <c r="C26" s="58">
        <v>2024</v>
      </c>
      <c r="D26" s="54" t="s">
        <v>322</v>
      </c>
      <c r="E26" s="54"/>
      <c r="F26" s="2" t="s">
        <v>37</v>
      </c>
      <c r="G26" s="2">
        <f t="shared" si="2"/>
        <v>1</v>
      </c>
      <c r="H26" s="6">
        <f>I26+개인기록Sheet!C26</f>
        <v>37.700000000000003</v>
      </c>
      <c r="I26" s="6">
        <f t="shared" si="3"/>
        <v>27</v>
      </c>
      <c r="J26" s="2"/>
      <c r="K26" s="2" t="s">
        <v>348</v>
      </c>
      <c r="L26" s="2" t="s">
        <v>348</v>
      </c>
      <c r="M26" s="2" t="s">
        <v>348</v>
      </c>
      <c r="N26" s="2" t="s">
        <v>348</v>
      </c>
      <c r="O26" s="2"/>
      <c r="P26" s="2" t="s">
        <v>348</v>
      </c>
      <c r="Q26" s="2" t="s">
        <v>348</v>
      </c>
      <c r="R26" s="2" t="s">
        <v>348</v>
      </c>
      <c r="S26" s="2" t="s">
        <v>348</v>
      </c>
      <c r="T26" s="2"/>
      <c r="U26" s="2" t="s">
        <v>348</v>
      </c>
      <c r="V26" s="2" t="s">
        <v>348</v>
      </c>
      <c r="W26" s="2" t="s">
        <v>348</v>
      </c>
      <c r="X26" s="2" t="s">
        <v>348</v>
      </c>
      <c r="Y26" s="2"/>
      <c r="Z26" s="2" t="s">
        <v>348</v>
      </c>
      <c r="AA26" s="2" t="s">
        <v>348</v>
      </c>
      <c r="AB26" s="2"/>
      <c r="AC26" s="2" t="s">
        <v>348</v>
      </c>
      <c r="AD26" s="2" t="s">
        <v>348</v>
      </c>
      <c r="AE26" s="2"/>
      <c r="AF26" s="2" t="s">
        <v>348</v>
      </c>
      <c r="AG26" s="2" t="s">
        <v>348</v>
      </c>
      <c r="AH26" s="2" t="s">
        <v>348</v>
      </c>
      <c r="AI26" s="2" t="s">
        <v>348</v>
      </c>
      <c r="AJ26" s="2" t="s">
        <v>348</v>
      </c>
      <c r="AK26" s="2" t="s">
        <v>348</v>
      </c>
      <c r="AL26" s="2" t="s">
        <v>348</v>
      </c>
      <c r="AM26" s="2" t="s">
        <v>348</v>
      </c>
      <c r="AN26" s="2" t="s">
        <v>348</v>
      </c>
      <c r="AO26" s="2" t="s">
        <v>439</v>
      </c>
      <c r="AP26" s="2"/>
      <c r="AQ26" s="2"/>
      <c r="AR26" s="2" t="s">
        <v>348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5">
      <c r="A27" s="2">
        <v>24</v>
      </c>
      <c r="B27" s="2" t="s">
        <v>64</v>
      </c>
      <c r="C27" s="57" t="s">
        <v>318</v>
      </c>
      <c r="D27" s="54" t="s">
        <v>322</v>
      </c>
      <c r="E27" s="54"/>
      <c r="F27" s="2" t="s">
        <v>37</v>
      </c>
      <c r="G27" s="2">
        <f t="shared" si="2"/>
        <v>32</v>
      </c>
      <c r="H27" s="6">
        <f>I27+개인기록Sheet!C27</f>
        <v>13.1</v>
      </c>
      <c r="I27" s="6">
        <f t="shared" si="3"/>
        <v>10</v>
      </c>
      <c r="J27" s="2"/>
      <c r="K27" s="2"/>
      <c r="L27" s="2" t="s">
        <v>348</v>
      </c>
      <c r="M27" s="2"/>
      <c r="N27" s="2" t="s">
        <v>348</v>
      </c>
      <c r="O27" s="2"/>
      <c r="P27" s="2"/>
      <c r="Q27" s="2"/>
      <c r="R27" s="2"/>
      <c r="S27" s="2"/>
      <c r="T27" s="2"/>
      <c r="U27" s="2" t="s">
        <v>348</v>
      </c>
      <c r="V27" s="2"/>
      <c r="W27" s="2" t="s">
        <v>348</v>
      </c>
      <c r="X27" s="2"/>
      <c r="Y27" s="2"/>
      <c r="Z27" s="2"/>
      <c r="AA27" s="2" t="s">
        <v>348</v>
      </c>
      <c r="AB27" s="2"/>
      <c r="AC27" s="2"/>
      <c r="AD27" s="2"/>
      <c r="AE27" s="2"/>
      <c r="AF27" s="2"/>
      <c r="AG27" s="2"/>
      <c r="AH27" s="2"/>
      <c r="AI27" s="2"/>
      <c r="AJ27" s="2" t="s">
        <v>348</v>
      </c>
      <c r="AK27" s="2" t="s">
        <v>348</v>
      </c>
      <c r="AL27" s="2"/>
      <c r="AM27" s="2" t="s">
        <v>348</v>
      </c>
      <c r="AN27" s="2" t="s">
        <v>348</v>
      </c>
      <c r="AO27" s="2" t="s">
        <v>439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5">
      <c r="A28" s="2">
        <v>25</v>
      </c>
      <c r="B28" s="2" t="s">
        <v>161</v>
      </c>
      <c r="C28" s="57">
        <v>2023</v>
      </c>
      <c r="D28" s="54">
        <f>COUNTA(AF28:AU28)</f>
        <v>0</v>
      </c>
      <c r="E28" s="54"/>
      <c r="F28" s="2" t="s">
        <v>37</v>
      </c>
      <c r="G28" s="2">
        <f t="shared" si="2"/>
        <v>92</v>
      </c>
      <c r="H28" s="6">
        <f>I28+개인기록Sheet!C28</f>
        <v>0</v>
      </c>
      <c r="I28" s="6">
        <f t="shared" si="3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>
        <v>26</v>
      </c>
      <c r="B29" s="2" t="s">
        <v>137</v>
      </c>
      <c r="C29" s="57">
        <v>2023</v>
      </c>
      <c r="D29" s="54" t="s">
        <v>322</v>
      </c>
      <c r="E29" s="54"/>
      <c r="F29" s="2" t="s">
        <v>37</v>
      </c>
      <c r="G29" s="2">
        <f t="shared" si="2"/>
        <v>75</v>
      </c>
      <c r="H29" s="6">
        <f>I29+개인기록Sheet!C29</f>
        <v>3</v>
      </c>
      <c r="I29" s="6">
        <f t="shared" si="3"/>
        <v>3</v>
      </c>
      <c r="J29" s="2"/>
      <c r="K29" s="2" t="s">
        <v>348</v>
      </c>
      <c r="L29" s="2"/>
      <c r="M29" s="2" t="s">
        <v>348</v>
      </c>
      <c r="N29" s="2"/>
      <c r="O29" s="2"/>
      <c r="P29" s="2"/>
      <c r="Q29" s="2" t="s">
        <v>348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2">
        <v>27</v>
      </c>
      <c r="B30" s="2" t="s">
        <v>53</v>
      </c>
      <c r="C30" s="57" t="s">
        <v>318</v>
      </c>
      <c r="D30" s="54" t="s">
        <v>322</v>
      </c>
      <c r="E30" s="54"/>
      <c r="F30" s="2" t="s">
        <v>37</v>
      </c>
      <c r="G30" s="2">
        <f t="shared" si="2"/>
        <v>16</v>
      </c>
      <c r="H30" s="6">
        <f>I30+개인기록Sheet!C30</f>
        <v>19.600000000000001</v>
      </c>
      <c r="I30" s="6">
        <f t="shared" si="3"/>
        <v>15</v>
      </c>
      <c r="J30" s="2"/>
      <c r="K30" s="2" t="s">
        <v>348</v>
      </c>
      <c r="L30" s="2" t="s">
        <v>348</v>
      </c>
      <c r="M30" s="2"/>
      <c r="N30" s="2" t="s">
        <v>348</v>
      </c>
      <c r="O30" s="2"/>
      <c r="P30" s="2"/>
      <c r="Q30" s="2" t="s">
        <v>348</v>
      </c>
      <c r="R30" s="2"/>
      <c r="S30" s="2" t="s">
        <v>348</v>
      </c>
      <c r="T30" s="2" t="s">
        <v>348</v>
      </c>
      <c r="U30" s="2"/>
      <c r="V30" s="2"/>
      <c r="W30" s="2"/>
      <c r="X30" s="2"/>
      <c r="Y30" s="2" t="s">
        <v>348</v>
      </c>
      <c r="Z30" s="2"/>
      <c r="AA30" s="2"/>
      <c r="AB30" s="2"/>
      <c r="AC30" s="2" t="s">
        <v>348</v>
      </c>
      <c r="AD30" s="2"/>
      <c r="AE30" s="2"/>
      <c r="AF30" s="2" t="s">
        <v>348</v>
      </c>
      <c r="AG30" s="2" t="s">
        <v>348</v>
      </c>
      <c r="AH30" s="2" t="s">
        <v>348</v>
      </c>
      <c r="AI30" s="2"/>
      <c r="AJ30" s="2" t="s">
        <v>348</v>
      </c>
      <c r="AK30" s="2"/>
      <c r="AL30" s="2"/>
      <c r="AM30" s="2" t="s">
        <v>348</v>
      </c>
      <c r="AN30" s="2"/>
      <c r="AO30" s="2"/>
      <c r="AP30" s="2" t="s">
        <v>348</v>
      </c>
      <c r="AQ30" s="2"/>
      <c r="AR30" s="2"/>
      <c r="AS30" s="2" t="s">
        <v>348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5">
      <c r="A31" s="2">
        <v>28</v>
      </c>
      <c r="B31" s="2" t="s">
        <v>174</v>
      </c>
      <c r="C31" s="57">
        <v>2023</v>
      </c>
      <c r="D31" s="54" t="s">
        <v>322</v>
      </c>
      <c r="E31" s="54"/>
      <c r="F31" s="2" t="s">
        <v>37</v>
      </c>
      <c r="G31" s="2">
        <f t="shared" si="2"/>
        <v>2</v>
      </c>
      <c r="H31" s="6">
        <f>I31+개인기록Sheet!C31</f>
        <v>32.6</v>
      </c>
      <c r="I31" s="6">
        <f t="shared" si="3"/>
        <v>27</v>
      </c>
      <c r="J31" s="2" t="s">
        <v>348</v>
      </c>
      <c r="K31" s="2" t="s">
        <v>348</v>
      </c>
      <c r="L31" s="2"/>
      <c r="M31" s="2" t="s">
        <v>348</v>
      </c>
      <c r="N31" s="2" t="s">
        <v>348</v>
      </c>
      <c r="O31" s="2" t="s">
        <v>348</v>
      </c>
      <c r="P31" s="2"/>
      <c r="Q31" s="2"/>
      <c r="R31" s="2" t="s">
        <v>348</v>
      </c>
      <c r="S31" s="2" t="s">
        <v>348</v>
      </c>
      <c r="T31" s="2"/>
      <c r="U31" s="2" t="s">
        <v>348</v>
      </c>
      <c r="V31" s="2"/>
      <c r="W31" s="2" t="s">
        <v>348</v>
      </c>
      <c r="X31" s="2"/>
      <c r="Y31" s="2" t="s">
        <v>348</v>
      </c>
      <c r="Z31" s="2" t="s">
        <v>348</v>
      </c>
      <c r="AA31" s="2"/>
      <c r="AB31" s="2" t="s">
        <v>348</v>
      </c>
      <c r="AC31" s="2" t="s">
        <v>348</v>
      </c>
      <c r="AD31" s="2" t="s">
        <v>348</v>
      </c>
      <c r="AE31" s="2"/>
      <c r="AF31" s="2" t="s">
        <v>348</v>
      </c>
      <c r="AG31" s="2" t="s">
        <v>348</v>
      </c>
      <c r="AH31" s="2" t="s">
        <v>348</v>
      </c>
      <c r="AI31" s="2" t="s">
        <v>348</v>
      </c>
      <c r="AJ31" s="2" t="s">
        <v>348</v>
      </c>
      <c r="AK31" s="2" t="s">
        <v>348</v>
      </c>
      <c r="AL31" s="2" t="s">
        <v>348</v>
      </c>
      <c r="AM31" s="2" t="s">
        <v>348</v>
      </c>
      <c r="AN31" s="2"/>
      <c r="AO31" s="2" t="s">
        <v>439</v>
      </c>
      <c r="AP31" s="2" t="s">
        <v>348</v>
      </c>
      <c r="AQ31" s="2" t="s">
        <v>348</v>
      </c>
      <c r="AR31" s="2" t="s">
        <v>348</v>
      </c>
      <c r="AS31" s="2" t="s">
        <v>348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x14ac:dyDescent="0.25">
      <c r="A32" s="2">
        <v>29</v>
      </c>
      <c r="B32" s="2" t="s">
        <v>55</v>
      </c>
      <c r="C32" s="57" t="s">
        <v>318</v>
      </c>
      <c r="D32" s="54" t="s">
        <v>322</v>
      </c>
      <c r="E32" s="54"/>
      <c r="F32" s="2" t="s">
        <v>37</v>
      </c>
      <c r="G32" s="2">
        <f t="shared" si="2"/>
        <v>37</v>
      </c>
      <c r="H32" s="6">
        <f>I32+개인기록Sheet!C32</f>
        <v>11.4</v>
      </c>
      <c r="I32" s="6">
        <f t="shared" si="3"/>
        <v>11</v>
      </c>
      <c r="J32" s="2"/>
      <c r="K32" s="2" t="s">
        <v>348</v>
      </c>
      <c r="L32" s="2" t="s">
        <v>348</v>
      </c>
      <c r="M32" s="2" t="s">
        <v>348</v>
      </c>
      <c r="N32" s="2" t="s">
        <v>348</v>
      </c>
      <c r="O32" s="2" t="s">
        <v>348</v>
      </c>
      <c r="P32" s="2"/>
      <c r="Q32" s="2"/>
      <c r="R32" s="2"/>
      <c r="S32" s="2"/>
      <c r="T32" s="2"/>
      <c r="U32" s="2"/>
      <c r="V32" s="2"/>
      <c r="W32" s="2"/>
      <c r="X32" s="2"/>
      <c r="Y32" s="2" t="s">
        <v>348</v>
      </c>
      <c r="Z32" s="2"/>
      <c r="AA32" s="2"/>
      <c r="AB32" s="2"/>
      <c r="AC32" s="2" t="s">
        <v>348</v>
      </c>
      <c r="AD32" s="2"/>
      <c r="AE32" s="2"/>
      <c r="AF32" s="2"/>
      <c r="AG32" s="2" t="s">
        <v>348</v>
      </c>
      <c r="AH32" s="2"/>
      <c r="AI32" s="2" t="s">
        <v>348</v>
      </c>
      <c r="AJ32" s="2"/>
      <c r="AK32" s="2"/>
      <c r="AL32" s="2"/>
      <c r="AM32" s="2"/>
      <c r="AN32" s="2"/>
      <c r="AO32" s="2"/>
      <c r="AP32" s="2"/>
      <c r="AQ32" s="2" t="s">
        <v>348</v>
      </c>
      <c r="AR32" s="2"/>
      <c r="AS32" s="2" t="s">
        <v>348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5">
      <c r="A33" s="2">
        <v>30</v>
      </c>
      <c r="B33" s="2" t="s">
        <v>311</v>
      </c>
      <c r="C33" s="58">
        <v>2025</v>
      </c>
      <c r="D33" s="54" t="s">
        <v>322</v>
      </c>
      <c r="E33" s="54"/>
      <c r="F33" s="2" t="s">
        <v>37</v>
      </c>
      <c r="G33" s="2">
        <f t="shared" si="2"/>
        <v>9</v>
      </c>
      <c r="H33" s="6">
        <f>I33+개인기록Sheet!C33</f>
        <v>23.6</v>
      </c>
      <c r="I33" s="6">
        <f t="shared" si="3"/>
        <v>19</v>
      </c>
      <c r="J33" s="2"/>
      <c r="K33" s="2" t="s">
        <v>348</v>
      </c>
      <c r="L33" s="2"/>
      <c r="M33" s="2" t="s">
        <v>348</v>
      </c>
      <c r="N33" s="2" t="s">
        <v>348</v>
      </c>
      <c r="O33" s="2" t="s">
        <v>348</v>
      </c>
      <c r="P33" s="2" t="s">
        <v>348</v>
      </c>
      <c r="Q33" s="2" t="s">
        <v>348</v>
      </c>
      <c r="R33" s="2"/>
      <c r="S33" s="2"/>
      <c r="T33" s="2"/>
      <c r="U33" s="2"/>
      <c r="V33" s="2"/>
      <c r="W33" s="2"/>
      <c r="X33" s="2"/>
      <c r="Y33" s="2"/>
      <c r="Z33" s="2" t="s">
        <v>348</v>
      </c>
      <c r="AA33" s="2"/>
      <c r="AB33" s="2" t="s">
        <v>348</v>
      </c>
      <c r="AC33" s="2"/>
      <c r="AD33" s="2"/>
      <c r="AE33" s="2" t="s">
        <v>348</v>
      </c>
      <c r="AF33" s="2" t="s">
        <v>348</v>
      </c>
      <c r="AG33" s="2" t="s">
        <v>348</v>
      </c>
      <c r="AH33" s="2" t="s">
        <v>348</v>
      </c>
      <c r="AI33" s="2" t="s">
        <v>348</v>
      </c>
      <c r="AJ33" s="2" t="s">
        <v>348</v>
      </c>
      <c r="AK33" s="2" t="s">
        <v>348</v>
      </c>
      <c r="AL33" s="2" t="s">
        <v>348</v>
      </c>
      <c r="AM33" s="2"/>
      <c r="AN33" s="2" t="s">
        <v>348</v>
      </c>
      <c r="AO33" s="2"/>
      <c r="AP33" s="2"/>
      <c r="AQ33" s="2" t="s">
        <v>348</v>
      </c>
      <c r="AR33" s="2" t="s">
        <v>348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5">
      <c r="A34" s="2">
        <v>31</v>
      </c>
      <c r="B34" s="2" t="s">
        <v>341</v>
      </c>
      <c r="C34" s="58">
        <v>2025</v>
      </c>
      <c r="D34" s="54">
        <f>COUNTA(AF34:AU34)</f>
        <v>0</v>
      </c>
      <c r="E34" s="54"/>
      <c r="F34" s="2" t="s">
        <v>37</v>
      </c>
      <c r="G34" s="2">
        <f t="shared" si="2"/>
        <v>92</v>
      </c>
      <c r="H34" s="6">
        <f>I34+개인기록Sheet!C34</f>
        <v>0</v>
      </c>
      <c r="I34" s="6">
        <f t="shared" si="3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5">
      <c r="A35" s="2">
        <v>32</v>
      </c>
      <c r="B35" s="2" t="s">
        <v>310</v>
      </c>
      <c r="C35" s="58">
        <v>2025</v>
      </c>
      <c r="D35" s="54" t="s">
        <v>322</v>
      </c>
      <c r="E35" s="54"/>
      <c r="F35" s="2" t="s">
        <v>37</v>
      </c>
      <c r="G35" s="2">
        <f t="shared" si="2"/>
        <v>6</v>
      </c>
      <c r="H35" s="6">
        <f>I35+개인기록Sheet!C35</f>
        <v>27.2</v>
      </c>
      <c r="I35" s="6">
        <f t="shared" si="3"/>
        <v>20</v>
      </c>
      <c r="J35" s="2"/>
      <c r="K35" s="2" t="s">
        <v>348</v>
      </c>
      <c r="L35" s="2" t="s">
        <v>348</v>
      </c>
      <c r="M35" s="2"/>
      <c r="N35" s="2" t="s">
        <v>348</v>
      </c>
      <c r="O35" s="2"/>
      <c r="P35" s="2"/>
      <c r="Q35" s="2" t="s">
        <v>348</v>
      </c>
      <c r="R35" s="2"/>
      <c r="S35" s="2" t="s">
        <v>348</v>
      </c>
      <c r="T35" s="2"/>
      <c r="U35" s="2" t="s">
        <v>348</v>
      </c>
      <c r="V35" s="2"/>
      <c r="W35" s="2" t="s">
        <v>348</v>
      </c>
      <c r="X35" s="2" t="s">
        <v>348</v>
      </c>
      <c r="Y35" s="2"/>
      <c r="Z35" s="2" t="s">
        <v>348</v>
      </c>
      <c r="AA35" s="2" t="s">
        <v>348</v>
      </c>
      <c r="AB35" s="2" t="s">
        <v>348</v>
      </c>
      <c r="AC35" s="2" t="s">
        <v>348</v>
      </c>
      <c r="AD35" s="2"/>
      <c r="AE35" s="2"/>
      <c r="AF35" s="2"/>
      <c r="AG35" s="2"/>
      <c r="AH35" s="2" t="s">
        <v>348</v>
      </c>
      <c r="AI35" s="2" t="s">
        <v>348</v>
      </c>
      <c r="AJ35" s="2" t="s">
        <v>348</v>
      </c>
      <c r="AK35" s="2" t="s">
        <v>348</v>
      </c>
      <c r="AL35" s="2"/>
      <c r="AM35" s="2" t="s">
        <v>348</v>
      </c>
      <c r="AN35" s="2"/>
      <c r="AO35" s="2" t="s">
        <v>348</v>
      </c>
      <c r="AP35" s="2" t="s">
        <v>348</v>
      </c>
      <c r="AQ35" s="2"/>
      <c r="AR35" s="2" t="s">
        <v>348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x14ac:dyDescent="0.25">
      <c r="A36" s="2">
        <v>33</v>
      </c>
      <c r="B36" s="2" t="s">
        <v>163</v>
      </c>
      <c r="C36" s="57">
        <v>2023</v>
      </c>
      <c r="D36" s="54" t="s">
        <v>322</v>
      </c>
      <c r="E36" s="54"/>
      <c r="F36" s="2" t="s">
        <v>37</v>
      </c>
      <c r="G36" s="2">
        <f t="shared" ref="G36:G67" si="6">RANK(H36,$H$4:$H$122,0)</f>
        <v>46</v>
      </c>
      <c r="H36" s="6">
        <f>I36+개인기록Sheet!C36</f>
        <v>8.6</v>
      </c>
      <c r="I36" s="6">
        <f t="shared" si="3"/>
        <v>8</v>
      </c>
      <c r="J36" s="2"/>
      <c r="K36" s="2" t="s">
        <v>348</v>
      </c>
      <c r="L36" s="2"/>
      <c r="M36" s="2"/>
      <c r="N36" s="2" t="s">
        <v>348</v>
      </c>
      <c r="O36" s="2"/>
      <c r="P36" s="2"/>
      <c r="Q36" s="2"/>
      <c r="R36" s="2"/>
      <c r="S36" s="2"/>
      <c r="T36" s="2"/>
      <c r="U36" s="2" t="s">
        <v>348</v>
      </c>
      <c r="V36" s="2"/>
      <c r="W36" s="2"/>
      <c r="X36" s="2"/>
      <c r="Y36" s="2"/>
      <c r="Z36" s="2" t="s">
        <v>348</v>
      </c>
      <c r="AA36" s="2"/>
      <c r="AB36" s="2"/>
      <c r="AC36" s="2"/>
      <c r="AD36" s="2"/>
      <c r="AE36" s="2" t="s">
        <v>348</v>
      </c>
      <c r="AF36" s="2"/>
      <c r="AG36" s="2"/>
      <c r="AH36" s="2"/>
      <c r="AI36" s="2" t="s">
        <v>348</v>
      </c>
      <c r="AJ36" s="2"/>
      <c r="AK36" s="2"/>
      <c r="AL36" s="2" t="s">
        <v>348</v>
      </c>
      <c r="AM36" s="2"/>
      <c r="AN36" s="2"/>
      <c r="AO36" s="2"/>
      <c r="AP36" s="2"/>
      <c r="AQ36" s="2"/>
      <c r="AR36" s="2" t="s">
        <v>348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>
        <v>34</v>
      </c>
      <c r="B37" s="2" t="s">
        <v>319</v>
      </c>
      <c r="C37" s="58">
        <v>2025</v>
      </c>
      <c r="D37" s="54">
        <f>COUNTA(AF37:AU37)</f>
        <v>0</v>
      </c>
      <c r="E37" s="54"/>
      <c r="F37" s="2" t="s">
        <v>37</v>
      </c>
      <c r="G37" s="2">
        <f t="shared" si="6"/>
        <v>92</v>
      </c>
      <c r="H37" s="6">
        <f>I37+개인기록Sheet!C37</f>
        <v>0</v>
      </c>
      <c r="I37" s="6">
        <f t="shared" si="3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1:82" x14ac:dyDescent="0.25">
      <c r="A38" s="2">
        <v>35</v>
      </c>
      <c r="B38" s="2" t="s">
        <v>301</v>
      </c>
      <c r="C38" s="58">
        <v>2025</v>
      </c>
      <c r="D38" s="54" t="s">
        <v>322</v>
      </c>
      <c r="E38" s="54"/>
      <c r="F38" s="2" t="s">
        <v>37</v>
      </c>
      <c r="G38" s="2">
        <f t="shared" si="6"/>
        <v>78</v>
      </c>
      <c r="H38" s="6">
        <f>I38+개인기록Sheet!C38</f>
        <v>2.4</v>
      </c>
      <c r="I38" s="6">
        <f t="shared" si="3"/>
        <v>2</v>
      </c>
      <c r="J38" s="2"/>
      <c r="K38" s="2"/>
      <c r="L38" s="2"/>
      <c r="M38" s="2"/>
      <c r="N38" s="2"/>
      <c r="O38" s="2"/>
      <c r="P38" s="2"/>
      <c r="Q38" s="2" t="s">
        <v>348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 t="s">
        <v>348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1:82" x14ac:dyDescent="0.25">
      <c r="A39" s="2">
        <v>36</v>
      </c>
      <c r="B39" s="2" t="s">
        <v>36</v>
      </c>
      <c r="C39" s="57" t="s">
        <v>318</v>
      </c>
      <c r="D39" s="54">
        <f t="shared" ref="D39:D40" si="7">COUNTA(AF39:AU39)</f>
        <v>0</v>
      </c>
      <c r="E39" s="54"/>
      <c r="F39" s="2" t="s">
        <v>37</v>
      </c>
      <c r="G39" s="2">
        <f t="shared" si="6"/>
        <v>92</v>
      </c>
      <c r="H39" s="6">
        <f>I39+개인기록Sheet!C39</f>
        <v>0</v>
      </c>
      <c r="I39" s="6">
        <f t="shared" si="3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1:82" x14ac:dyDescent="0.25">
      <c r="A40" s="2">
        <v>37</v>
      </c>
      <c r="B40" s="2" t="s">
        <v>218</v>
      </c>
      <c r="C40" s="58">
        <v>2024</v>
      </c>
      <c r="D40" s="54">
        <f t="shared" si="7"/>
        <v>0</v>
      </c>
      <c r="E40" s="54"/>
      <c r="F40" s="2" t="s">
        <v>37</v>
      </c>
      <c r="G40" s="2">
        <f t="shared" si="6"/>
        <v>92</v>
      </c>
      <c r="H40" s="6">
        <f>I40+개인기록Sheet!C40</f>
        <v>0</v>
      </c>
      <c r="I40" s="6">
        <f t="shared" si="3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1:82" x14ac:dyDescent="0.25">
      <c r="A41" s="2">
        <v>38</v>
      </c>
      <c r="B41" s="2" t="s">
        <v>106</v>
      </c>
      <c r="C41" s="57">
        <v>2022</v>
      </c>
      <c r="D41" s="54" t="s">
        <v>322</v>
      </c>
      <c r="E41" s="54"/>
      <c r="F41" s="2" t="s">
        <v>37</v>
      </c>
      <c r="G41" s="2">
        <f t="shared" si="6"/>
        <v>78</v>
      </c>
      <c r="H41" s="6">
        <f>I41+개인기록Sheet!C41</f>
        <v>2.4</v>
      </c>
      <c r="I41" s="6">
        <f t="shared" si="3"/>
        <v>2</v>
      </c>
      <c r="J41" s="2"/>
      <c r="K41" s="2" t="s">
        <v>348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 t="s">
        <v>348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</row>
    <row r="42" spans="1:82" x14ac:dyDescent="0.25">
      <c r="A42" s="2">
        <v>39</v>
      </c>
      <c r="B42" s="2" t="s">
        <v>181</v>
      </c>
      <c r="C42" s="57">
        <v>2023</v>
      </c>
      <c r="D42" s="54" t="s">
        <v>322</v>
      </c>
      <c r="E42" s="54"/>
      <c r="F42" s="2" t="s">
        <v>37</v>
      </c>
      <c r="G42" s="2">
        <f t="shared" si="6"/>
        <v>5</v>
      </c>
      <c r="H42" s="6">
        <f>I42+개인기록Sheet!C42</f>
        <v>27.8</v>
      </c>
      <c r="I42" s="6">
        <f t="shared" si="3"/>
        <v>23</v>
      </c>
      <c r="J42" s="2"/>
      <c r="K42" s="2" t="s">
        <v>348</v>
      </c>
      <c r="L42" s="2"/>
      <c r="M42" s="2"/>
      <c r="N42" s="2" t="s">
        <v>348</v>
      </c>
      <c r="O42" s="2" t="s">
        <v>348</v>
      </c>
      <c r="P42" s="2" t="s">
        <v>348</v>
      </c>
      <c r="Q42" s="2" t="s">
        <v>348</v>
      </c>
      <c r="R42" s="2"/>
      <c r="S42" s="2" t="s">
        <v>348</v>
      </c>
      <c r="T42" s="2"/>
      <c r="U42" s="2" t="s">
        <v>348</v>
      </c>
      <c r="V42" s="2" t="s">
        <v>348</v>
      </c>
      <c r="W42" s="2"/>
      <c r="X42" s="2" t="s">
        <v>348</v>
      </c>
      <c r="Y42" s="2"/>
      <c r="Z42" s="2"/>
      <c r="AA42" s="2"/>
      <c r="AB42" s="2" t="s">
        <v>348</v>
      </c>
      <c r="AC42" s="2" t="s">
        <v>348</v>
      </c>
      <c r="AD42" s="2" t="s">
        <v>348</v>
      </c>
      <c r="AE42" s="2"/>
      <c r="AF42" s="2" t="s">
        <v>348</v>
      </c>
      <c r="AG42" s="2" t="s">
        <v>348</v>
      </c>
      <c r="AH42" s="2" t="s">
        <v>348</v>
      </c>
      <c r="AI42" s="2" t="s">
        <v>348</v>
      </c>
      <c r="AJ42" s="2" t="s">
        <v>348</v>
      </c>
      <c r="AK42" s="2"/>
      <c r="AL42" s="2"/>
      <c r="AM42" s="2" t="s">
        <v>348</v>
      </c>
      <c r="AN42" s="2"/>
      <c r="AO42" s="2" t="s">
        <v>348</v>
      </c>
      <c r="AP42" s="2" t="s">
        <v>348</v>
      </c>
      <c r="AQ42" s="2" t="s">
        <v>348</v>
      </c>
      <c r="AR42" s="2" t="s">
        <v>348</v>
      </c>
      <c r="AS42" s="2" t="s">
        <v>348</v>
      </c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</row>
    <row r="43" spans="1:82" x14ac:dyDescent="0.25">
      <c r="A43" s="2">
        <v>40</v>
      </c>
      <c r="B43" s="2" t="s">
        <v>367</v>
      </c>
      <c r="C43" s="58">
        <v>2026</v>
      </c>
      <c r="D43" s="54" t="s">
        <v>226</v>
      </c>
      <c r="E43" s="54"/>
      <c r="F43" s="2" t="s">
        <v>37</v>
      </c>
      <c r="G43" s="2">
        <f t="shared" si="6"/>
        <v>39</v>
      </c>
      <c r="H43" s="6">
        <f>I43+개인기록Sheet!C43</f>
        <v>10.9</v>
      </c>
      <c r="I43" s="6">
        <f t="shared" si="3"/>
        <v>10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348</v>
      </c>
      <c r="U43" s="2"/>
      <c r="V43" s="2"/>
      <c r="W43" s="2" t="s">
        <v>348</v>
      </c>
      <c r="X43" s="2"/>
      <c r="Y43" s="2"/>
      <c r="Z43" s="2" t="s">
        <v>348</v>
      </c>
      <c r="AA43" s="2"/>
      <c r="AB43" s="2"/>
      <c r="AC43" s="2"/>
      <c r="AD43" s="2"/>
      <c r="AE43" s="2"/>
      <c r="AF43" s="2" t="s">
        <v>348</v>
      </c>
      <c r="AG43" s="2"/>
      <c r="AH43" s="2" t="s">
        <v>348</v>
      </c>
      <c r="AI43" s="2" t="s">
        <v>348</v>
      </c>
      <c r="AJ43" s="2"/>
      <c r="AK43" s="2"/>
      <c r="AL43" s="2" t="s">
        <v>348</v>
      </c>
      <c r="AM43" s="2"/>
      <c r="AN43" s="2" t="s">
        <v>348</v>
      </c>
      <c r="AO43" s="2"/>
      <c r="AP43" s="2"/>
      <c r="AQ43" s="2" t="s">
        <v>348</v>
      </c>
      <c r="AR43" s="2" t="s">
        <v>348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</row>
    <row r="44" spans="1:82" x14ac:dyDescent="0.25">
      <c r="A44" s="2">
        <v>41</v>
      </c>
      <c r="B44" s="2" t="s">
        <v>219</v>
      </c>
      <c r="C44" s="58">
        <v>2024</v>
      </c>
      <c r="D44" s="54" t="s">
        <v>322</v>
      </c>
      <c r="E44" s="54"/>
      <c r="F44" s="2" t="s">
        <v>37</v>
      </c>
      <c r="G44" s="2">
        <f t="shared" si="6"/>
        <v>41</v>
      </c>
      <c r="H44" s="6">
        <f>I44+개인기록Sheet!C44</f>
        <v>10.600000000000001</v>
      </c>
      <c r="I44" s="6">
        <f t="shared" si="3"/>
        <v>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s">
        <v>348</v>
      </c>
      <c r="AE44" s="2"/>
      <c r="AF44" s="2"/>
      <c r="AG44" s="2" t="s">
        <v>348</v>
      </c>
      <c r="AH44" s="2" t="s">
        <v>348</v>
      </c>
      <c r="AI44" s="2"/>
      <c r="AJ44" s="2" t="s">
        <v>348</v>
      </c>
      <c r="AK44" s="2" t="s">
        <v>348</v>
      </c>
      <c r="AL44" s="2"/>
      <c r="AM44" s="2"/>
      <c r="AN44" s="2"/>
      <c r="AO44" s="2"/>
      <c r="AP44" s="2" t="s">
        <v>348</v>
      </c>
      <c r="AQ44" s="2"/>
      <c r="AR44" s="2"/>
      <c r="AS44" s="2" t="s">
        <v>348</v>
      </c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1:82" x14ac:dyDescent="0.25">
      <c r="A45" s="2">
        <v>42</v>
      </c>
      <c r="B45" s="2" t="s">
        <v>342</v>
      </c>
      <c r="C45" s="58">
        <v>2026</v>
      </c>
      <c r="D45" s="54">
        <f>COUNTA(AF45:AU45)</f>
        <v>0</v>
      </c>
      <c r="E45" s="54"/>
      <c r="F45" s="60"/>
      <c r="G45" s="2">
        <f t="shared" si="6"/>
        <v>92</v>
      </c>
      <c r="H45" s="6">
        <f>I45+개인기록Sheet!C45</f>
        <v>0</v>
      </c>
      <c r="I45" s="6">
        <f t="shared" si="3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1:82" x14ac:dyDescent="0.25">
      <c r="A46" s="2">
        <v>43</v>
      </c>
      <c r="B46" s="2" t="s">
        <v>118</v>
      </c>
      <c r="C46" s="57">
        <v>2022</v>
      </c>
      <c r="D46" s="54" t="s">
        <v>322</v>
      </c>
      <c r="E46" s="54"/>
      <c r="F46" s="2" t="s">
        <v>37</v>
      </c>
      <c r="G46" s="2">
        <f t="shared" si="6"/>
        <v>11</v>
      </c>
      <c r="H46" s="6">
        <f>I46+개인기록Sheet!C46</f>
        <v>22.6</v>
      </c>
      <c r="I46" s="6">
        <f t="shared" si="3"/>
        <v>19</v>
      </c>
      <c r="J46" s="2"/>
      <c r="K46" s="2" t="s">
        <v>348</v>
      </c>
      <c r="L46" s="2"/>
      <c r="M46" s="2" t="s">
        <v>348</v>
      </c>
      <c r="N46" s="2"/>
      <c r="O46" s="2" t="s">
        <v>348</v>
      </c>
      <c r="P46" s="2"/>
      <c r="Q46" s="2"/>
      <c r="R46" s="2"/>
      <c r="S46" s="2" t="s">
        <v>348</v>
      </c>
      <c r="T46" s="2"/>
      <c r="U46" s="2" t="s">
        <v>348</v>
      </c>
      <c r="V46" s="2" t="s">
        <v>348</v>
      </c>
      <c r="W46" s="2"/>
      <c r="X46" s="2"/>
      <c r="Y46" s="2" t="s">
        <v>348</v>
      </c>
      <c r="Z46" s="2"/>
      <c r="AA46" s="2" t="s">
        <v>348</v>
      </c>
      <c r="AB46" s="2"/>
      <c r="AC46" s="2" t="s">
        <v>348</v>
      </c>
      <c r="AD46" s="2" t="s">
        <v>348</v>
      </c>
      <c r="AE46" s="2"/>
      <c r="AF46" s="2" t="s">
        <v>348</v>
      </c>
      <c r="AG46" s="2"/>
      <c r="AH46" s="2" t="s">
        <v>348</v>
      </c>
      <c r="AI46" s="2" t="s">
        <v>348</v>
      </c>
      <c r="AJ46" s="2" t="s">
        <v>348</v>
      </c>
      <c r="AK46" s="2"/>
      <c r="AL46" s="2"/>
      <c r="AM46" s="2" t="s">
        <v>348</v>
      </c>
      <c r="AN46" s="2"/>
      <c r="AO46" s="2" t="s">
        <v>439</v>
      </c>
      <c r="AP46" s="2" t="s">
        <v>348</v>
      </c>
      <c r="AQ46" s="2" t="s">
        <v>348</v>
      </c>
      <c r="AR46" s="2"/>
      <c r="AS46" s="2" t="s">
        <v>348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spans="1:82" x14ac:dyDescent="0.25">
      <c r="A47" s="2">
        <v>44</v>
      </c>
      <c r="B47" s="2" t="s">
        <v>120</v>
      </c>
      <c r="C47" s="57">
        <v>2022</v>
      </c>
      <c r="D47" s="54">
        <f t="shared" ref="D47:D49" si="8">COUNTA(AF47:AU47)</f>
        <v>3</v>
      </c>
      <c r="E47" s="54"/>
      <c r="F47" s="2" t="s">
        <v>37</v>
      </c>
      <c r="G47" s="2">
        <f t="shared" si="6"/>
        <v>72</v>
      </c>
      <c r="H47" s="6">
        <f>I47+개인기록Sheet!C47</f>
        <v>3.5</v>
      </c>
      <c r="I47" s="6">
        <f t="shared" si="3"/>
        <v>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348</v>
      </c>
      <c r="AH47" s="2"/>
      <c r="AI47" s="2" t="s">
        <v>348</v>
      </c>
      <c r="AJ47" s="2"/>
      <c r="AK47" s="2"/>
      <c r="AL47" s="2"/>
      <c r="AM47" s="2"/>
      <c r="AN47" s="2"/>
      <c r="AO47" s="2"/>
      <c r="AP47" s="2"/>
      <c r="AQ47" s="2"/>
      <c r="AR47" s="2"/>
      <c r="AS47" s="2" t="s">
        <v>348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</row>
    <row r="48" spans="1:82" x14ac:dyDescent="0.25">
      <c r="A48" s="2">
        <v>45</v>
      </c>
      <c r="B48" s="2" t="s">
        <v>343</v>
      </c>
      <c r="C48" s="58">
        <v>2025</v>
      </c>
      <c r="D48" s="54">
        <f t="shared" si="8"/>
        <v>0</v>
      </c>
      <c r="E48" s="54"/>
      <c r="F48" s="2" t="s">
        <v>37</v>
      </c>
      <c r="G48" s="2">
        <f t="shared" si="6"/>
        <v>92</v>
      </c>
      <c r="H48" s="6">
        <f>I48+개인기록Sheet!C48</f>
        <v>0</v>
      </c>
      <c r="I48" s="6">
        <f t="shared" si="3"/>
        <v>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</row>
    <row r="49" spans="1:82" x14ac:dyDescent="0.25">
      <c r="A49" s="2">
        <v>46</v>
      </c>
      <c r="B49" s="2" t="s">
        <v>117</v>
      </c>
      <c r="C49" s="57">
        <v>2022</v>
      </c>
      <c r="D49" s="54">
        <f t="shared" si="8"/>
        <v>0</v>
      </c>
      <c r="E49" s="54"/>
      <c r="F49" s="2" t="s">
        <v>37</v>
      </c>
      <c r="G49" s="2">
        <f t="shared" si="6"/>
        <v>92</v>
      </c>
      <c r="H49" s="6">
        <f>I49+개인기록Sheet!C49</f>
        <v>0</v>
      </c>
      <c r="I49" s="6">
        <f t="shared" si="3"/>
        <v>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</row>
    <row r="50" spans="1:82" x14ac:dyDescent="0.25">
      <c r="A50" s="2">
        <v>47</v>
      </c>
      <c r="B50" s="2" t="s">
        <v>135</v>
      </c>
      <c r="C50" s="57">
        <v>2023</v>
      </c>
      <c r="D50" s="54" t="s">
        <v>322</v>
      </c>
      <c r="E50" s="54"/>
      <c r="F50" s="2" t="s">
        <v>37</v>
      </c>
      <c r="G50" s="2">
        <f t="shared" si="6"/>
        <v>20</v>
      </c>
      <c r="H50" s="6">
        <f>I50+개인기록Sheet!C50</f>
        <v>17.399999999999999</v>
      </c>
      <c r="I50" s="6">
        <f t="shared" si="3"/>
        <v>15</v>
      </c>
      <c r="J50" s="2"/>
      <c r="K50" s="2" t="s">
        <v>348</v>
      </c>
      <c r="L50" s="2"/>
      <c r="M50" s="2"/>
      <c r="N50" s="2"/>
      <c r="O50" s="2" t="s">
        <v>348</v>
      </c>
      <c r="P50" s="2" t="s">
        <v>348</v>
      </c>
      <c r="Q50" s="2" t="s">
        <v>348</v>
      </c>
      <c r="R50" s="2"/>
      <c r="S50" s="2"/>
      <c r="T50" s="2" t="s">
        <v>348</v>
      </c>
      <c r="U50" s="2" t="s">
        <v>348</v>
      </c>
      <c r="V50" s="2"/>
      <c r="W50" s="2"/>
      <c r="X50" s="2"/>
      <c r="Y50" s="2" t="s">
        <v>348</v>
      </c>
      <c r="Z50" s="2"/>
      <c r="AA50" s="2" t="s">
        <v>348</v>
      </c>
      <c r="AB50" s="2" t="s">
        <v>348</v>
      </c>
      <c r="AC50" s="2"/>
      <c r="AD50" s="2" t="s">
        <v>348</v>
      </c>
      <c r="AE50" s="2" t="s">
        <v>348</v>
      </c>
      <c r="AF50" s="2" t="s">
        <v>348</v>
      </c>
      <c r="AG50" s="2"/>
      <c r="AH50" s="2" t="s">
        <v>348</v>
      </c>
      <c r="AI50" s="2"/>
      <c r="AJ50" s="2"/>
      <c r="AK50" s="2"/>
      <c r="AL50" s="2" t="s">
        <v>348</v>
      </c>
      <c r="AM50" s="2" t="s">
        <v>348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x14ac:dyDescent="0.25">
      <c r="A51" s="2">
        <v>48</v>
      </c>
      <c r="B51" s="2" t="s">
        <v>200</v>
      </c>
      <c r="C51" s="57">
        <v>2023</v>
      </c>
      <c r="D51" s="54">
        <f t="shared" ref="D51:D55" si="9">COUNTA(AF51:AU51)</f>
        <v>0</v>
      </c>
      <c r="E51" s="54"/>
      <c r="F51" s="2" t="s">
        <v>37</v>
      </c>
      <c r="G51" s="2">
        <f t="shared" si="6"/>
        <v>92</v>
      </c>
      <c r="H51" s="6">
        <f>I51+개인기록Sheet!C51</f>
        <v>0</v>
      </c>
      <c r="I51" s="6">
        <f t="shared" si="3"/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</row>
    <row r="52" spans="1:82" x14ac:dyDescent="0.25">
      <c r="A52" s="2">
        <v>49</v>
      </c>
      <c r="B52" s="2" t="s">
        <v>372</v>
      </c>
      <c r="C52" s="58">
        <v>2026</v>
      </c>
      <c r="D52" s="54">
        <f t="shared" si="9"/>
        <v>1</v>
      </c>
      <c r="E52" s="54"/>
      <c r="F52" s="2" t="s">
        <v>37</v>
      </c>
      <c r="G52" s="2">
        <f t="shared" si="6"/>
        <v>61</v>
      </c>
      <c r="H52" s="6">
        <f>I52+개인기록Sheet!C52</f>
        <v>5.4</v>
      </c>
      <c r="I52" s="6">
        <f t="shared" si="3"/>
        <v>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348</v>
      </c>
      <c r="V52" s="2" t="s">
        <v>348</v>
      </c>
      <c r="W52" s="2"/>
      <c r="X52" s="2"/>
      <c r="Y52" s="2"/>
      <c r="Z52" s="2"/>
      <c r="AA52" s="2"/>
      <c r="AB52" s="2"/>
      <c r="AC52" s="2"/>
      <c r="AD52" s="2" t="s">
        <v>348</v>
      </c>
      <c r="AE52" s="2" t="s">
        <v>348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 t="s">
        <v>348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</row>
    <row r="53" spans="1:82" x14ac:dyDescent="0.25">
      <c r="A53" s="2">
        <v>50</v>
      </c>
      <c r="B53" s="2" t="s">
        <v>362</v>
      </c>
      <c r="C53" s="58">
        <v>2026</v>
      </c>
      <c r="D53" s="54">
        <f t="shared" si="9"/>
        <v>0</v>
      </c>
      <c r="E53" s="54"/>
      <c r="F53" s="2" t="s">
        <v>37</v>
      </c>
      <c r="G53" s="2">
        <f t="shared" si="6"/>
        <v>61</v>
      </c>
      <c r="H53" s="6">
        <f>I53+개인기록Sheet!C53</f>
        <v>5.4</v>
      </c>
      <c r="I53" s="6">
        <f t="shared" si="3"/>
        <v>5</v>
      </c>
      <c r="J53" s="2"/>
      <c r="K53" s="2"/>
      <c r="L53" s="2"/>
      <c r="M53" s="2"/>
      <c r="N53" s="2"/>
      <c r="O53" s="2"/>
      <c r="P53" s="2"/>
      <c r="Q53" s="2"/>
      <c r="R53" s="2" t="s">
        <v>348</v>
      </c>
      <c r="S53" s="2" t="s">
        <v>348</v>
      </c>
      <c r="T53" s="2"/>
      <c r="U53" s="2" t="s">
        <v>348</v>
      </c>
      <c r="V53" s="2"/>
      <c r="W53" s="2"/>
      <c r="X53" s="2"/>
      <c r="Y53" s="2" t="s">
        <v>348</v>
      </c>
      <c r="Z53" s="2" t="s">
        <v>348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</row>
    <row r="54" spans="1:82" x14ac:dyDescent="0.25">
      <c r="A54" s="2">
        <v>51</v>
      </c>
      <c r="B54" s="2" t="s">
        <v>132</v>
      </c>
      <c r="C54" s="57">
        <v>2023</v>
      </c>
      <c r="D54" s="54">
        <f t="shared" si="9"/>
        <v>0</v>
      </c>
      <c r="E54" s="54"/>
      <c r="F54" s="2" t="s">
        <v>37</v>
      </c>
      <c r="G54" s="2">
        <f t="shared" si="6"/>
        <v>92</v>
      </c>
      <c r="H54" s="6">
        <f>I54+개인기록Sheet!C54</f>
        <v>0</v>
      </c>
      <c r="I54" s="6">
        <f t="shared" si="3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</row>
    <row r="55" spans="1:82" x14ac:dyDescent="0.25">
      <c r="A55" s="2">
        <v>52</v>
      </c>
      <c r="B55" s="2" t="s">
        <v>38</v>
      </c>
      <c r="C55" s="57">
        <v>2022</v>
      </c>
      <c r="D55" s="54">
        <f t="shared" si="9"/>
        <v>0</v>
      </c>
      <c r="E55" s="54"/>
      <c r="F55" s="2" t="s">
        <v>37</v>
      </c>
      <c r="G55" s="2">
        <f t="shared" si="6"/>
        <v>92</v>
      </c>
      <c r="H55" s="6">
        <f>I55+개인기록Sheet!C55</f>
        <v>0</v>
      </c>
      <c r="I55" s="6">
        <f t="shared" si="3"/>
        <v>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</row>
    <row r="56" spans="1:82" x14ac:dyDescent="0.25">
      <c r="A56" s="2">
        <v>53</v>
      </c>
      <c r="B56" s="2" t="s">
        <v>130</v>
      </c>
      <c r="C56" s="57">
        <v>2023</v>
      </c>
      <c r="D56" s="54" t="s">
        <v>322</v>
      </c>
      <c r="E56" s="54"/>
      <c r="F56" s="2" t="s">
        <v>37</v>
      </c>
      <c r="G56" s="2">
        <f t="shared" si="6"/>
        <v>7</v>
      </c>
      <c r="H56" s="6">
        <f>I56+개인기록Sheet!C56</f>
        <v>25.6</v>
      </c>
      <c r="I56" s="6">
        <f t="shared" si="3"/>
        <v>22</v>
      </c>
      <c r="J56" s="2"/>
      <c r="K56" s="2" t="s">
        <v>348</v>
      </c>
      <c r="L56" s="2"/>
      <c r="M56" s="2"/>
      <c r="N56" s="2"/>
      <c r="O56" s="2"/>
      <c r="P56" s="2"/>
      <c r="Q56" s="2"/>
      <c r="R56" s="2"/>
      <c r="S56" s="2" t="s">
        <v>348</v>
      </c>
      <c r="T56" s="2" t="s">
        <v>348</v>
      </c>
      <c r="U56" s="2" t="s">
        <v>348</v>
      </c>
      <c r="V56" s="2" t="s">
        <v>348</v>
      </c>
      <c r="W56" s="2"/>
      <c r="X56" s="2" t="s">
        <v>348</v>
      </c>
      <c r="Y56" s="2" t="s">
        <v>348</v>
      </c>
      <c r="Z56" s="2" t="s">
        <v>348</v>
      </c>
      <c r="AA56" s="2"/>
      <c r="AB56" s="2" t="s">
        <v>348</v>
      </c>
      <c r="AC56" s="2"/>
      <c r="AD56" s="2" t="s">
        <v>348</v>
      </c>
      <c r="AE56" s="2" t="s">
        <v>348</v>
      </c>
      <c r="AF56" s="2" t="s">
        <v>348</v>
      </c>
      <c r="AG56" s="2"/>
      <c r="AH56" s="2" t="s">
        <v>348</v>
      </c>
      <c r="AI56" s="2" t="s">
        <v>348</v>
      </c>
      <c r="AJ56" s="2" t="s">
        <v>348</v>
      </c>
      <c r="AK56" s="2" t="s">
        <v>348</v>
      </c>
      <c r="AL56" s="2" t="s">
        <v>348</v>
      </c>
      <c r="AM56" s="2"/>
      <c r="AN56" s="2"/>
      <c r="AO56" s="2" t="s">
        <v>439</v>
      </c>
      <c r="AP56" s="2" t="s">
        <v>348</v>
      </c>
      <c r="AQ56" s="2" t="s">
        <v>348</v>
      </c>
      <c r="AR56" s="2" t="s">
        <v>348</v>
      </c>
      <c r="AS56" s="2" t="s">
        <v>348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</row>
    <row r="57" spans="1:82" x14ac:dyDescent="0.25">
      <c r="A57" s="2">
        <v>54</v>
      </c>
      <c r="B57" s="2" t="s">
        <v>307</v>
      </c>
      <c r="C57" s="58">
        <v>2025</v>
      </c>
      <c r="D57" s="54" t="s">
        <v>322</v>
      </c>
      <c r="E57" s="54"/>
      <c r="F57" s="2" t="s">
        <v>37</v>
      </c>
      <c r="G57" s="2">
        <f t="shared" si="6"/>
        <v>64</v>
      </c>
      <c r="H57" s="6">
        <f>I57+개인기록Sheet!C57</f>
        <v>5.2</v>
      </c>
      <c r="I57" s="6">
        <f t="shared" si="3"/>
        <v>4</v>
      </c>
      <c r="J57" s="2" t="s">
        <v>348</v>
      </c>
      <c r="K57" s="2"/>
      <c r="L57" s="2"/>
      <c r="M57" s="2"/>
      <c r="N57" s="2"/>
      <c r="O57" s="2"/>
      <c r="P57" s="2" t="s">
        <v>348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 t="s">
        <v>439</v>
      </c>
      <c r="AP57" s="2"/>
      <c r="AQ57" s="2"/>
      <c r="AR57" s="2"/>
      <c r="AS57" s="2" t="s">
        <v>348</v>
      </c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</row>
    <row r="58" spans="1:82" x14ac:dyDescent="0.25">
      <c r="A58" s="2">
        <v>55</v>
      </c>
      <c r="B58" s="2" t="s">
        <v>344</v>
      </c>
      <c r="C58" s="58">
        <v>2025</v>
      </c>
      <c r="D58" s="54" t="s">
        <v>322</v>
      </c>
      <c r="E58" s="54"/>
      <c r="F58" s="2" t="s">
        <v>37</v>
      </c>
      <c r="G58" s="2">
        <f t="shared" si="6"/>
        <v>38</v>
      </c>
      <c r="H58" s="6">
        <f>I58+개인기록Sheet!C58</f>
        <v>11.1</v>
      </c>
      <c r="I58" s="6">
        <f t="shared" si="3"/>
        <v>9</v>
      </c>
      <c r="J58" s="2"/>
      <c r="K58" s="2"/>
      <c r="L58" s="2"/>
      <c r="M58" s="2" t="s">
        <v>348</v>
      </c>
      <c r="N58" s="2"/>
      <c r="O58" s="2"/>
      <c r="P58" s="2"/>
      <c r="Q58" s="2"/>
      <c r="R58" s="2" t="s">
        <v>348</v>
      </c>
      <c r="S58" s="2"/>
      <c r="T58" s="2" t="s">
        <v>348</v>
      </c>
      <c r="U58" s="2"/>
      <c r="V58" s="2" t="s">
        <v>348</v>
      </c>
      <c r="W58" s="2" t="s">
        <v>348</v>
      </c>
      <c r="X58" s="2" t="s">
        <v>348</v>
      </c>
      <c r="Y58" s="2"/>
      <c r="Z58" s="2"/>
      <c r="AA58" s="2"/>
      <c r="AB58" s="2"/>
      <c r="AC58" s="2"/>
      <c r="AD58" s="2"/>
      <c r="AE58" s="2" t="s">
        <v>348</v>
      </c>
      <c r="AF58" s="2"/>
      <c r="AG58" s="2"/>
      <c r="AH58" s="2"/>
      <c r="AI58" s="2"/>
      <c r="AJ58" s="2"/>
      <c r="AK58" s="2" t="s">
        <v>348</v>
      </c>
      <c r="AL58" s="2"/>
      <c r="AM58" s="2"/>
      <c r="AN58" s="2"/>
      <c r="AO58" s="2"/>
      <c r="AP58" s="2"/>
      <c r="AQ58" s="2" t="s">
        <v>348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</row>
    <row r="59" spans="1:82" x14ac:dyDescent="0.25">
      <c r="A59" s="2">
        <v>56</v>
      </c>
      <c r="B59" s="2" t="s">
        <v>295</v>
      </c>
      <c r="C59" s="58">
        <v>2024</v>
      </c>
      <c r="D59" s="54">
        <f>COUNTA(AF59:AU59)</f>
        <v>0</v>
      </c>
      <c r="E59" s="54"/>
      <c r="F59" s="2" t="s">
        <v>37</v>
      </c>
      <c r="G59" s="2">
        <f t="shared" si="6"/>
        <v>92</v>
      </c>
      <c r="H59" s="6">
        <f>I59+개인기록Sheet!C59</f>
        <v>0</v>
      </c>
      <c r="I59" s="6">
        <f t="shared" si="3"/>
        <v>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</row>
    <row r="60" spans="1:82" x14ac:dyDescent="0.25">
      <c r="A60" s="2">
        <v>57</v>
      </c>
      <c r="B60" s="2" t="s">
        <v>99</v>
      </c>
      <c r="C60" s="57">
        <v>2022</v>
      </c>
      <c r="D60" s="54" t="s">
        <v>322</v>
      </c>
      <c r="E60" s="54"/>
      <c r="F60" s="2" t="s">
        <v>37</v>
      </c>
      <c r="G60" s="2">
        <f t="shared" si="6"/>
        <v>65</v>
      </c>
      <c r="H60" s="6">
        <f>I60+개인기록Sheet!C60</f>
        <v>4.8</v>
      </c>
      <c r="I60" s="6">
        <f t="shared" si="3"/>
        <v>4</v>
      </c>
      <c r="J60" s="2"/>
      <c r="K60" s="2" t="s">
        <v>348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 t="s">
        <v>348</v>
      </c>
      <c r="AJ60" s="2"/>
      <c r="AK60" s="2"/>
      <c r="AL60" s="2"/>
      <c r="AM60" s="2"/>
      <c r="AN60" s="2"/>
      <c r="AO60" s="2" t="s">
        <v>439</v>
      </c>
      <c r="AP60" s="2"/>
      <c r="AQ60" s="2"/>
      <c r="AR60" s="2"/>
      <c r="AS60" s="2" t="s">
        <v>348</v>
      </c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spans="1:82" x14ac:dyDescent="0.25">
      <c r="A61" s="2">
        <v>58</v>
      </c>
      <c r="B61" s="2" t="s">
        <v>300</v>
      </c>
      <c r="C61" s="58">
        <v>2025</v>
      </c>
      <c r="D61" s="54" t="s">
        <v>322</v>
      </c>
      <c r="E61" s="54"/>
      <c r="F61" s="2" t="s">
        <v>37</v>
      </c>
      <c r="G61" s="2">
        <f t="shared" si="6"/>
        <v>34</v>
      </c>
      <c r="H61" s="6">
        <f>I61+개인기록Sheet!C61</f>
        <v>12</v>
      </c>
      <c r="I61" s="6">
        <f t="shared" si="3"/>
        <v>10</v>
      </c>
      <c r="J61" s="2" t="s">
        <v>348</v>
      </c>
      <c r="K61" s="2" t="s">
        <v>348</v>
      </c>
      <c r="L61" s="2" t="s">
        <v>348</v>
      </c>
      <c r="M61" s="2" t="s">
        <v>348</v>
      </c>
      <c r="N61" s="2"/>
      <c r="O61" s="2" t="s">
        <v>348</v>
      </c>
      <c r="P61" s="2"/>
      <c r="Q61" s="2" t="s">
        <v>348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 t="s">
        <v>348</v>
      </c>
      <c r="AI61" s="2"/>
      <c r="AJ61" s="2" t="s">
        <v>348</v>
      </c>
      <c r="AK61" s="2"/>
      <c r="AL61" s="2" t="s">
        <v>348</v>
      </c>
      <c r="AM61" s="2"/>
      <c r="AN61" s="2" t="s">
        <v>348</v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spans="1:82" x14ac:dyDescent="0.25">
      <c r="A62" s="2">
        <v>59</v>
      </c>
      <c r="B62" s="2" t="s">
        <v>363</v>
      </c>
      <c r="C62" s="58">
        <v>2026</v>
      </c>
      <c r="D62" s="54" t="s">
        <v>322</v>
      </c>
      <c r="E62" s="54"/>
      <c r="F62" s="2" t="s">
        <v>37</v>
      </c>
      <c r="G62" s="2">
        <f t="shared" si="6"/>
        <v>33</v>
      </c>
      <c r="H62" s="6">
        <f>I62+개인기록Sheet!C62</f>
        <v>12.7</v>
      </c>
      <c r="I62" s="6">
        <f t="shared" si="3"/>
        <v>9</v>
      </c>
      <c r="J62" s="2"/>
      <c r="K62" s="2"/>
      <c r="L62" s="2"/>
      <c r="M62" s="2"/>
      <c r="N62" s="2"/>
      <c r="O62" s="2"/>
      <c r="P62" s="2"/>
      <c r="Q62" s="2"/>
      <c r="R62" s="2" t="s">
        <v>348</v>
      </c>
      <c r="S62" s="2" t="s">
        <v>348</v>
      </c>
      <c r="T62" s="2"/>
      <c r="U62" s="2"/>
      <c r="V62" s="2"/>
      <c r="W62" s="2"/>
      <c r="X62" s="2" t="s">
        <v>348</v>
      </c>
      <c r="Y62" s="2" t="s">
        <v>348</v>
      </c>
      <c r="Z62" s="2"/>
      <c r="AA62" s="2"/>
      <c r="AB62" s="2"/>
      <c r="AC62" s="2"/>
      <c r="AD62" s="2"/>
      <c r="AE62" s="2"/>
      <c r="AF62" s="2"/>
      <c r="AG62" s="2" t="s">
        <v>348</v>
      </c>
      <c r="AH62" s="2" t="s">
        <v>348</v>
      </c>
      <c r="AI62" s="2"/>
      <c r="AJ62" s="2" t="s">
        <v>348</v>
      </c>
      <c r="AK62" s="2" t="s">
        <v>348</v>
      </c>
      <c r="AL62" s="2"/>
      <c r="AM62" s="2"/>
      <c r="AN62" s="2"/>
      <c r="AO62" s="2"/>
      <c r="AP62" s="2"/>
      <c r="AQ62" s="2" t="s">
        <v>348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</row>
    <row r="63" spans="1:82" x14ac:dyDescent="0.25">
      <c r="A63" s="2">
        <v>60</v>
      </c>
      <c r="B63" s="2" t="s">
        <v>361</v>
      </c>
      <c r="C63" s="58">
        <v>2026</v>
      </c>
      <c r="D63" s="54">
        <f>COUNTA(AF63:AU63)</f>
        <v>0</v>
      </c>
      <c r="E63" s="54"/>
      <c r="F63" s="2" t="s">
        <v>37</v>
      </c>
      <c r="G63" s="2">
        <f t="shared" si="6"/>
        <v>70</v>
      </c>
      <c r="H63" s="6">
        <f>I63+개인기록Sheet!C63</f>
        <v>4.3</v>
      </c>
      <c r="I63" s="6">
        <f t="shared" si="3"/>
        <v>4</v>
      </c>
      <c r="J63" s="2"/>
      <c r="K63" s="2"/>
      <c r="L63" s="2"/>
      <c r="M63" s="2"/>
      <c r="N63" s="2"/>
      <c r="O63" s="2"/>
      <c r="P63" s="2"/>
      <c r="Q63" s="2"/>
      <c r="R63" s="2" t="s">
        <v>348</v>
      </c>
      <c r="S63" s="2" t="s">
        <v>348</v>
      </c>
      <c r="T63" s="2"/>
      <c r="U63" s="2" t="s">
        <v>348</v>
      </c>
      <c r="V63" s="2"/>
      <c r="W63" s="2"/>
      <c r="X63" s="2"/>
      <c r="Y63" s="2" t="s">
        <v>348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</row>
    <row r="64" spans="1:82" x14ac:dyDescent="0.25">
      <c r="A64" s="2">
        <v>61</v>
      </c>
      <c r="B64" s="2" t="s">
        <v>110</v>
      </c>
      <c r="C64" s="57">
        <v>2022</v>
      </c>
      <c r="D64" s="54" t="s">
        <v>322</v>
      </c>
      <c r="E64" s="54"/>
      <c r="F64" s="2" t="s">
        <v>37</v>
      </c>
      <c r="G64" s="2">
        <f t="shared" si="6"/>
        <v>35</v>
      </c>
      <c r="H64" s="6">
        <f>I64+개인기록Sheet!C64</f>
        <v>11.9</v>
      </c>
      <c r="I64" s="6">
        <f t="shared" si="3"/>
        <v>9</v>
      </c>
      <c r="J64" s="2"/>
      <c r="K64" s="2"/>
      <c r="L64" s="2"/>
      <c r="M64" s="2"/>
      <c r="N64" s="2" t="s">
        <v>348</v>
      </c>
      <c r="O64" s="2"/>
      <c r="P64" s="2"/>
      <c r="Q64" s="2" t="s">
        <v>348</v>
      </c>
      <c r="R64" s="2"/>
      <c r="S64" s="2" t="s">
        <v>348</v>
      </c>
      <c r="T64" s="2"/>
      <c r="U64" s="2"/>
      <c r="V64" s="2"/>
      <c r="W64" s="2"/>
      <c r="X64" s="2"/>
      <c r="Y64" s="2"/>
      <c r="Z64" s="2" t="s">
        <v>348</v>
      </c>
      <c r="AA64" s="2"/>
      <c r="AB64" s="2"/>
      <c r="AC64" s="2" t="s">
        <v>348</v>
      </c>
      <c r="AD64" s="2" t="s">
        <v>348</v>
      </c>
      <c r="AE64" s="2"/>
      <c r="AF64" s="2" t="s">
        <v>348</v>
      </c>
      <c r="AG64" s="2"/>
      <c r="AH64" s="2"/>
      <c r="AI64" s="2"/>
      <c r="AJ64" s="2"/>
      <c r="AK64" s="2"/>
      <c r="AL64" s="2"/>
      <c r="AM64" s="2" t="s">
        <v>348</v>
      </c>
      <c r="AN64" s="2"/>
      <c r="AO64" s="2"/>
      <c r="AP64" s="2" t="s">
        <v>348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</row>
    <row r="65" spans="1:82" x14ac:dyDescent="0.25">
      <c r="A65" s="2">
        <v>62</v>
      </c>
      <c r="B65" s="2" t="s">
        <v>3</v>
      </c>
      <c r="C65" s="57" t="s">
        <v>318</v>
      </c>
      <c r="D65" s="54">
        <f t="shared" ref="D65:D67" si="10">COUNTA(AF65:AU65)</f>
        <v>0</v>
      </c>
      <c r="E65" s="54"/>
      <c r="F65" s="2" t="s">
        <v>37</v>
      </c>
      <c r="G65" s="2">
        <f t="shared" si="6"/>
        <v>92</v>
      </c>
      <c r="H65" s="6">
        <f>I65+개인기록Sheet!C65</f>
        <v>0</v>
      </c>
      <c r="I65" s="6">
        <f t="shared" si="3"/>
        <v>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</row>
    <row r="66" spans="1:82" x14ac:dyDescent="0.25">
      <c r="A66" s="2">
        <v>63</v>
      </c>
      <c r="B66" s="2" t="s">
        <v>412</v>
      </c>
      <c r="C66" s="57"/>
      <c r="D66" s="54">
        <f t="shared" si="10"/>
        <v>0</v>
      </c>
      <c r="E66" s="54"/>
      <c r="F66" s="60"/>
      <c r="G66" s="2">
        <f t="shared" si="6"/>
        <v>92</v>
      </c>
      <c r="H66" s="6">
        <f>I66+개인기록Sheet!C66</f>
        <v>0</v>
      </c>
      <c r="I66" s="6">
        <f t="shared" ref="I66:I122" si="11">(COUNTIF(J66:CD66,"출전")*1)</f>
        <v>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</row>
    <row r="67" spans="1:82" x14ac:dyDescent="0.25">
      <c r="A67" s="2">
        <v>64</v>
      </c>
      <c r="B67" s="2" t="s">
        <v>345</v>
      </c>
      <c r="C67" s="58">
        <v>2025</v>
      </c>
      <c r="D67" s="54">
        <f t="shared" si="10"/>
        <v>0</v>
      </c>
      <c r="E67" s="54"/>
      <c r="F67" s="2" t="s">
        <v>37</v>
      </c>
      <c r="G67" s="2">
        <f t="shared" si="6"/>
        <v>92</v>
      </c>
      <c r="H67" s="6">
        <f>I67+개인기록Sheet!C67</f>
        <v>0</v>
      </c>
      <c r="I67" s="6">
        <f t="shared" si="11"/>
        <v>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</row>
    <row r="68" spans="1:82" x14ac:dyDescent="0.25">
      <c r="A68" s="2">
        <v>65</v>
      </c>
      <c r="B68" s="2" t="s">
        <v>297</v>
      </c>
      <c r="C68" s="58">
        <v>2025</v>
      </c>
      <c r="D68" s="54" t="s">
        <v>322</v>
      </c>
      <c r="E68" s="54"/>
      <c r="F68" s="2" t="s">
        <v>37</v>
      </c>
      <c r="G68" s="2">
        <f t="shared" ref="G68:G99" si="12">RANK(H68,$H$4:$H$122,0)</f>
        <v>14</v>
      </c>
      <c r="H68" s="6">
        <f>I68+개인기록Sheet!C68</f>
        <v>21</v>
      </c>
      <c r="I68" s="6">
        <f t="shared" si="11"/>
        <v>16</v>
      </c>
      <c r="J68" s="2"/>
      <c r="K68" s="2" t="s">
        <v>348</v>
      </c>
      <c r="L68" s="2"/>
      <c r="M68" s="2"/>
      <c r="N68" s="2" t="s">
        <v>348</v>
      </c>
      <c r="O68" s="2"/>
      <c r="P68" s="2"/>
      <c r="Q68" s="2" t="s">
        <v>348</v>
      </c>
      <c r="R68" s="2"/>
      <c r="S68" s="2" t="s">
        <v>348</v>
      </c>
      <c r="T68" s="2" t="s">
        <v>348</v>
      </c>
      <c r="U68" s="2" t="s">
        <v>348</v>
      </c>
      <c r="V68" s="2"/>
      <c r="W68" s="2" t="s">
        <v>348</v>
      </c>
      <c r="X68" s="2"/>
      <c r="Y68" s="2"/>
      <c r="Z68" s="2" t="s">
        <v>348</v>
      </c>
      <c r="AA68" s="2" t="s">
        <v>348</v>
      </c>
      <c r="AB68" s="2" t="s">
        <v>348</v>
      </c>
      <c r="AC68" s="2" t="s">
        <v>348</v>
      </c>
      <c r="AD68" s="2" t="s">
        <v>348</v>
      </c>
      <c r="AE68" s="2"/>
      <c r="AF68" s="2" t="s">
        <v>348</v>
      </c>
      <c r="AG68" s="2"/>
      <c r="AH68" s="2"/>
      <c r="AI68" s="2"/>
      <c r="AJ68" s="2" t="s">
        <v>348</v>
      </c>
      <c r="AK68" s="2" t="s">
        <v>348</v>
      </c>
      <c r="AL68" s="2"/>
      <c r="AM68" s="2"/>
      <c r="AN68" s="2" t="s">
        <v>348</v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</row>
    <row r="69" spans="1:82" x14ac:dyDescent="0.25">
      <c r="A69" s="2">
        <v>66</v>
      </c>
      <c r="B69" s="2" t="s">
        <v>368</v>
      </c>
      <c r="C69" s="58">
        <v>2026</v>
      </c>
      <c r="D69" s="54">
        <f>COUNTA(AF69:AU69)</f>
        <v>0</v>
      </c>
      <c r="E69" s="54"/>
      <c r="F69" s="2" t="s">
        <v>37</v>
      </c>
      <c r="G69" s="2">
        <f t="shared" si="12"/>
        <v>68</v>
      </c>
      <c r="H69" s="6">
        <f>I69+개인기록Sheet!C69</f>
        <v>4.4000000000000004</v>
      </c>
      <c r="I69" s="6">
        <f t="shared" si="11"/>
        <v>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348</v>
      </c>
      <c r="V69" s="2"/>
      <c r="W69" s="2" t="s">
        <v>348</v>
      </c>
      <c r="X69" s="2" t="s">
        <v>348</v>
      </c>
      <c r="Y69" s="2" t="s">
        <v>348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</row>
    <row r="70" spans="1:82" x14ac:dyDescent="0.25">
      <c r="A70" s="2">
        <v>67</v>
      </c>
      <c r="B70" s="2" t="s">
        <v>125</v>
      </c>
      <c r="C70" s="57">
        <v>2023</v>
      </c>
      <c r="D70" s="54" t="s">
        <v>322</v>
      </c>
      <c r="E70" s="54"/>
      <c r="F70" s="2" t="s">
        <v>37</v>
      </c>
      <c r="G70" s="2">
        <f t="shared" si="12"/>
        <v>49</v>
      </c>
      <c r="H70" s="6">
        <f>I70+개인기록Sheet!C70</f>
        <v>8</v>
      </c>
      <c r="I70" s="6">
        <f t="shared" si="11"/>
        <v>7</v>
      </c>
      <c r="J70" s="2"/>
      <c r="K70" s="2"/>
      <c r="L70" s="2" t="s">
        <v>348</v>
      </c>
      <c r="M70" s="2"/>
      <c r="N70" s="2"/>
      <c r="O70" s="2"/>
      <c r="P70" s="2" t="s">
        <v>348</v>
      </c>
      <c r="Q70" s="2"/>
      <c r="R70" s="2"/>
      <c r="S70" s="2"/>
      <c r="T70" s="2"/>
      <c r="U70" s="2"/>
      <c r="V70" s="2"/>
      <c r="W70" s="2"/>
      <c r="X70" s="2"/>
      <c r="Y70" s="2" t="s">
        <v>348</v>
      </c>
      <c r="Z70" s="2"/>
      <c r="AA70" s="2"/>
      <c r="AB70" s="2"/>
      <c r="AC70" s="2"/>
      <c r="AD70" s="2"/>
      <c r="AE70" s="2"/>
      <c r="AF70" s="2"/>
      <c r="AG70" s="2"/>
      <c r="AH70" s="2"/>
      <c r="AI70" s="2" t="s">
        <v>348</v>
      </c>
      <c r="AJ70" s="2"/>
      <c r="AK70" s="2" t="s">
        <v>348</v>
      </c>
      <c r="AL70" s="2"/>
      <c r="AM70" s="2" t="s">
        <v>348</v>
      </c>
      <c r="AN70" s="2"/>
      <c r="AO70" s="2"/>
      <c r="AP70" s="2"/>
      <c r="AQ70" s="2"/>
      <c r="AR70" s="2"/>
      <c r="AS70" s="2" t="s">
        <v>348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spans="1:82" x14ac:dyDescent="0.25">
      <c r="A71" s="2">
        <v>68</v>
      </c>
      <c r="B71" s="2" t="s">
        <v>97</v>
      </c>
      <c r="C71" s="57">
        <v>2021</v>
      </c>
      <c r="D71" s="54" t="s">
        <v>322</v>
      </c>
      <c r="E71" s="54"/>
      <c r="F71" s="2" t="s">
        <v>37</v>
      </c>
      <c r="G71" s="2">
        <f t="shared" si="12"/>
        <v>43</v>
      </c>
      <c r="H71" s="6">
        <f>I71+개인기록Sheet!C71</f>
        <v>9.5</v>
      </c>
      <c r="I71" s="6">
        <f t="shared" si="11"/>
        <v>8</v>
      </c>
      <c r="J71" s="2"/>
      <c r="K71" s="2" t="s">
        <v>348</v>
      </c>
      <c r="L71" s="2"/>
      <c r="M71" s="2"/>
      <c r="N71" s="2"/>
      <c r="O71" s="2" t="s">
        <v>348</v>
      </c>
      <c r="P71" s="2"/>
      <c r="Q71" s="2" t="s">
        <v>348</v>
      </c>
      <c r="R71" s="2" t="s">
        <v>348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 t="s">
        <v>348</v>
      </c>
      <c r="AI71" s="2"/>
      <c r="AJ71" s="2" t="s">
        <v>348</v>
      </c>
      <c r="AK71" s="2"/>
      <c r="AL71" s="2"/>
      <c r="AM71" s="2" t="s">
        <v>348</v>
      </c>
      <c r="AN71" s="2"/>
      <c r="AO71" s="2"/>
      <c r="AP71" s="2" t="s">
        <v>348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</row>
    <row r="72" spans="1:82" x14ac:dyDescent="0.25">
      <c r="A72" s="2">
        <v>69</v>
      </c>
      <c r="B72" s="2" t="s">
        <v>43</v>
      </c>
      <c r="C72" s="57" t="s">
        <v>318</v>
      </c>
      <c r="D72" s="54">
        <f>COUNTA(AF72:AU72)</f>
        <v>0</v>
      </c>
      <c r="E72" s="54"/>
      <c r="F72" s="2" t="s">
        <v>37</v>
      </c>
      <c r="G72" s="2">
        <f t="shared" si="12"/>
        <v>92</v>
      </c>
      <c r="H72" s="6">
        <f>I72+개인기록Sheet!C72</f>
        <v>0</v>
      </c>
      <c r="I72" s="6">
        <f t="shared" si="11"/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</row>
    <row r="73" spans="1:82" x14ac:dyDescent="0.25">
      <c r="A73" s="2">
        <v>70</v>
      </c>
      <c r="B73" s="2" t="s">
        <v>305</v>
      </c>
      <c r="C73" s="58">
        <v>2025</v>
      </c>
      <c r="D73" s="54" t="s">
        <v>322</v>
      </c>
      <c r="E73" s="54"/>
      <c r="F73" s="2" t="s">
        <v>37</v>
      </c>
      <c r="G73" s="2">
        <f t="shared" si="12"/>
        <v>58</v>
      </c>
      <c r="H73" s="6">
        <f>I73+개인기록Sheet!C73</f>
        <v>6.2</v>
      </c>
      <c r="I73" s="6">
        <f t="shared" si="11"/>
        <v>5</v>
      </c>
      <c r="J73" s="2"/>
      <c r="K73" s="2" t="s">
        <v>348</v>
      </c>
      <c r="L73" s="2"/>
      <c r="M73" s="2" t="s">
        <v>348</v>
      </c>
      <c r="N73" s="2"/>
      <c r="O73" s="2"/>
      <c r="P73" s="2"/>
      <c r="Q73" s="2" t="s">
        <v>348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 t="s">
        <v>348</v>
      </c>
      <c r="AC73" s="2"/>
      <c r="AD73" s="2"/>
      <c r="AE73" s="2"/>
      <c r="AF73" s="2" t="s">
        <v>348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</row>
    <row r="74" spans="1:82" x14ac:dyDescent="0.25">
      <c r="A74" s="2">
        <v>71</v>
      </c>
      <c r="B74" s="2" t="s">
        <v>75</v>
      </c>
      <c r="C74" s="57" t="s">
        <v>318</v>
      </c>
      <c r="D74" s="54" t="s">
        <v>322</v>
      </c>
      <c r="E74" s="54"/>
      <c r="F74" s="2" t="s">
        <v>37</v>
      </c>
      <c r="G74" s="2">
        <f t="shared" si="12"/>
        <v>51</v>
      </c>
      <c r="H74" s="6">
        <f>I74+개인기록Sheet!C74</f>
        <v>7.8</v>
      </c>
      <c r="I74" s="6">
        <f t="shared" si="11"/>
        <v>6</v>
      </c>
      <c r="J74" s="2"/>
      <c r="K74" s="2" t="s">
        <v>348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348</v>
      </c>
      <c r="X74" s="2"/>
      <c r="Y74" s="2"/>
      <c r="Z74" s="2"/>
      <c r="AA74" s="2"/>
      <c r="AB74" s="2" t="s">
        <v>348</v>
      </c>
      <c r="AC74" s="2" t="s">
        <v>348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 t="s">
        <v>348</v>
      </c>
      <c r="AO74" s="2"/>
      <c r="AP74" s="2"/>
      <c r="AQ74" s="2"/>
      <c r="AR74" s="2"/>
      <c r="AS74" s="2" t="s">
        <v>348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</row>
    <row r="75" spans="1:82" x14ac:dyDescent="0.25">
      <c r="A75" s="2">
        <v>72</v>
      </c>
      <c r="B75" s="2" t="s">
        <v>347</v>
      </c>
      <c r="C75" s="57">
        <v>2026</v>
      </c>
      <c r="D75" s="54" t="s">
        <v>322</v>
      </c>
      <c r="E75" s="54"/>
      <c r="F75" s="2" t="s">
        <v>37</v>
      </c>
      <c r="G75" s="2">
        <f t="shared" si="12"/>
        <v>48</v>
      </c>
      <c r="H75" s="6">
        <f>I75+개인기록Sheet!C75</f>
        <v>8.1</v>
      </c>
      <c r="I75" s="6">
        <f t="shared" si="11"/>
        <v>7</v>
      </c>
      <c r="J75" s="2"/>
      <c r="K75" s="2"/>
      <c r="L75" s="2"/>
      <c r="M75" s="2" t="s">
        <v>348</v>
      </c>
      <c r="N75" s="2"/>
      <c r="O75" s="2"/>
      <c r="P75" s="2" t="s">
        <v>348</v>
      </c>
      <c r="Q75" s="2"/>
      <c r="R75" s="2" t="s">
        <v>348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s">
        <v>348</v>
      </c>
      <c r="AJ75" s="2" t="s">
        <v>348</v>
      </c>
      <c r="AK75" s="2" t="s">
        <v>348</v>
      </c>
      <c r="AL75" s="2"/>
      <c r="AM75" s="2"/>
      <c r="AN75" s="2"/>
      <c r="AO75" s="2"/>
      <c r="AP75" s="2"/>
      <c r="AQ75" s="2" t="s">
        <v>348</v>
      </c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</row>
    <row r="76" spans="1:82" x14ac:dyDescent="0.25">
      <c r="A76" s="2">
        <v>73</v>
      </c>
      <c r="B76" s="2" t="s">
        <v>325</v>
      </c>
      <c r="C76" s="58">
        <v>2025</v>
      </c>
      <c r="D76" s="54">
        <f t="shared" ref="D76:D77" si="13">COUNTA(AF76:AU76)</f>
        <v>1</v>
      </c>
      <c r="E76" s="54"/>
      <c r="F76" s="2" t="s">
        <v>37</v>
      </c>
      <c r="G76" s="2">
        <f t="shared" si="12"/>
        <v>82</v>
      </c>
      <c r="H76" s="6">
        <f>I76+개인기록Sheet!C76</f>
        <v>1.6</v>
      </c>
      <c r="I76" s="6">
        <f t="shared" si="11"/>
        <v>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s">
        <v>348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</row>
    <row r="77" spans="1:82" x14ac:dyDescent="0.25">
      <c r="A77" s="2">
        <v>74</v>
      </c>
      <c r="B77" s="2" t="s">
        <v>162</v>
      </c>
      <c r="C77" s="57">
        <v>2023</v>
      </c>
      <c r="D77" s="54">
        <f t="shared" si="13"/>
        <v>1</v>
      </c>
      <c r="E77" s="54"/>
      <c r="F77" s="2" t="s">
        <v>37</v>
      </c>
      <c r="G77" s="2">
        <f t="shared" si="12"/>
        <v>76</v>
      </c>
      <c r="H77" s="6">
        <f>I77+개인기록Sheet!C77</f>
        <v>2.6</v>
      </c>
      <c r="I77" s="6">
        <f t="shared" si="11"/>
        <v>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">
        <v>348</v>
      </c>
      <c r="Z77" s="2"/>
      <c r="AA77" s="2"/>
      <c r="AB77" s="2"/>
      <c r="AC77" s="2"/>
      <c r="AD77" s="2"/>
      <c r="AE77" s="2"/>
      <c r="AF77" s="2" t="s">
        <v>348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</row>
    <row r="78" spans="1:82" x14ac:dyDescent="0.25">
      <c r="A78" s="2">
        <v>75</v>
      </c>
      <c r="B78" s="2" t="s">
        <v>346</v>
      </c>
      <c r="C78" s="58">
        <v>2025</v>
      </c>
      <c r="D78" s="54" t="s">
        <v>322</v>
      </c>
      <c r="E78" s="54"/>
      <c r="F78" s="2" t="s">
        <v>37</v>
      </c>
      <c r="G78" s="2">
        <f t="shared" si="12"/>
        <v>42</v>
      </c>
      <c r="H78" s="6">
        <f>I78+개인기록Sheet!C78</f>
        <v>10.199999999999999</v>
      </c>
      <c r="I78" s="6">
        <f t="shared" si="11"/>
        <v>9</v>
      </c>
      <c r="J78" s="2"/>
      <c r="K78" s="2"/>
      <c r="L78" s="2"/>
      <c r="M78" s="2" t="s">
        <v>348</v>
      </c>
      <c r="N78" s="2"/>
      <c r="O78" s="2"/>
      <c r="P78" s="2" t="s">
        <v>348</v>
      </c>
      <c r="Q78" s="2"/>
      <c r="R78" s="2"/>
      <c r="S78" s="2"/>
      <c r="T78" s="2" t="s">
        <v>348</v>
      </c>
      <c r="U78" s="2"/>
      <c r="V78" s="2"/>
      <c r="W78" s="2" t="s">
        <v>348</v>
      </c>
      <c r="X78" s="2" t="s">
        <v>348</v>
      </c>
      <c r="Y78" s="2"/>
      <c r="Z78" s="2"/>
      <c r="AA78" s="2"/>
      <c r="AB78" s="2"/>
      <c r="AC78" s="2"/>
      <c r="AD78" s="2"/>
      <c r="AE78" s="2" t="s">
        <v>348</v>
      </c>
      <c r="AF78" s="2"/>
      <c r="AG78" s="2"/>
      <c r="AH78" s="2"/>
      <c r="AI78" s="2" t="s">
        <v>348</v>
      </c>
      <c r="AJ78" s="2" t="s">
        <v>348</v>
      </c>
      <c r="AK78" s="2"/>
      <c r="AL78" s="2"/>
      <c r="AM78" s="2"/>
      <c r="AN78" s="2"/>
      <c r="AO78" s="2"/>
      <c r="AP78" s="2"/>
      <c r="AQ78" s="2" t="s">
        <v>348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</row>
    <row r="79" spans="1:82" x14ac:dyDescent="0.25">
      <c r="A79" s="2">
        <v>76</v>
      </c>
      <c r="B79" s="2" t="s">
        <v>178</v>
      </c>
      <c r="C79" s="57">
        <v>2023</v>
      </c>
      <c r="D79" s="54" t="s">
        <v>322</v>
      </c>
      <c r="E79" s="54"/>
      <c r="F79" s="2" t="s">
        <v>37</v>
      </c>
      <c r="G79" s="2">
        <f t="shared" si="12"/>
        <v>54</v>
      </c>
      <c r="H79" s="6">
        <f>I79+개인기록Sheet!C79</f>
        <v>7.2</v>
      </c>
      <c r="I79" s="6">
        <f t="shared" si="11"/>
        <v>6</v>
      </c>
      <c r="J79" s="2"/>
      <c r="K79" s="2"/>
      <c r="L79" s="2"/>
      <c r="M79" s="2" t="s">
        <v>348</v>
      </c>
      <c r="N79" s="2" t="s">
        <v>348</v>
      </c>
      <c r="O79" s="2"/>
      <c r="P79" s="2"/>
      <c r="Q79" s="2" t="s">
        <v>348</v>
      </c>
      <c r="R79" s="2" t="s">
        <v>348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s">
        <v>348</v>
      </c>
      <c r="AN79" s="2"/>
      <c r="AO79" s="2"/>
      <c r="AP79" s="2" t="s">
        <v>348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</row>
    <row r="80" spans="1:82" x14ac:dyDescent="0.25">
      <c r="A80" s="2">
        <v>77</v>
      </c>
      <c r="B80" s="2" t="s">
        <v>7</v>
      </c>
      <c r="C80" s="57" t="s">
        <v>318</v>
      </c>
      <c r="D80" s="54" t="s">
        <v>322</v>
      </c>
      <c r="E80" s="54"/>
      <c r="F80" s="2" t="s">
        <v>37</v>
      </c>
      <c r="G80" s="2">
        <f t="shared" si="12"/>
        <v>18</v>
      </c>
      <c r="H80" s="6">
        <f>I80+개인기록Sheet!C80</f>
        <v>18</v>
      </c>
      <c r="I80" s="6">
        <f t="shared" si="11"/>
        <v>14</v>
      </c>
      <c r="J80" s="2"/>
      <c r="K80" s="2"/>
      <c r="L80" s="2" t="s">
        <v>348</v>
      </c>
      <c r="M80" s="2"/>
      <c r="N80" s="2"/>
      <c r="O80" s="2"/>
      <c r="P80" s="2"/>
      <c r="Q80" s="2"/>
      <c r="R80" s="2" t="s">
        <v>348</v>
      </c>
      <c r="S80" s="2"/>
      <c r="T80" s="2"/>
      <c r="U80" s="2"/>
      <c r="V80" s="2"/>
      <c r="W80" s="2"/>
      <c r="X80" s="2"/>
      <c r="Y80" s="2" t="s">
        <v>348</v>
      </c>
      <c r="Z80" s="2" t="s">
        <v>348</v>
      </c>
      <c r="AA80" s="2"/>
      <c r="AB80" s="2" t="s">
        <v>348</v>
      </c>
      <c r="AC80" s="2"/>
      <c r="AD80" s="2" t="s">
        <v>348</v>
      </c>
      <c r="AE80" s="2" t="s">
        <v>348</v>
      </c>
      <c r="AF80" s="2"/>
      <c r="AG80" s="2"/>
      <c r="AH80" s="2"/>
      <c r="AI80" s="2"/>
      <c r="AJ80" s="2" t="s">
        <v>348</v>
      </c>
      <c r="AK80" s="2"/>
      <c r="AL80" s="2" t="s">
        <v>348</v>
      </c>
      <c r="AM80" s="2" t="s">
        <v>348</v>
      </c>
      <c r="AN80" s="2" t="s">
        <v>348</v>
      </c>
      <c r="AO80" s="2" t="s">
        <v>439</v>
      </c>
      <c r="AP80" s="2" t="s">
        <v>348</v>
      </c>
      <c r="AQ80" s="2"/>
      <c r="AR80" s="2"/>
      <c r="AS80" s="2" t="s">
        <v>348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</row>
    <row r="81" spans="1:82" x14ac:dyDescent="0.25">
      <c r="A81" s="2">
        <v>78</v>
      </c>
      <c r="B81" s="2" t="s">
        <v>92</v>
      </c>
      <c r="C81" s="57">
        <v>2022</v>
      </c>
      <c r="D81" s="54" t="s">
        <v>322</v>
      </c>
      <c r="E81" s="54"/>
      <c r="F81" s="2" t="s">
        <v>37</v>
      </c>
      <c r="G81" s="2">
        <f t="shared" si="12"/>
        <v>24</v>
      </c>
      <c r="H81" s="6">
        <f>I81+개인기록Sheet!C81</f>
        <v>16</v>
      </c>
      <c r="I81" s="6">
        <f t="shared" si="11"/>
        <v>13</v>
      </c>
      <c r="J81" s="2"/>
      <c r="K81" s="2"/>
      <c r="L81" s="2"/>
      <c r="M81" s="2"/>
      <c r="N81" s="2"/>
      <c r="O81" s="2" t="s">
        <v>348</v>
      </c>
      <c r="P81" s="2"/>
      <c r="Q81" s="2" t="s">
        <v>348</v>
      </c>
      <c r="R81" s="2"/>
      <c r="S81" s="2" t="s">
        <v>348</v>
      </c>
      <c r="T81" s="2"/>
      <c r="U81" s="2"/>
      <c r="V81" s="2"/>
      <c r="W81" s="2" t="s">
        <v>348</v>
      </c>
      <c r="X81" s="2"/>
      <c r="Y81" s="2" t="s">
        <v>348</v>
      </c>
      <c r="Z81" s="2"/>
      <c r="AA81" s="2" t="s">
        <v>348</v>
      </c>
      <c r="AB81" s="2"/>
      <c r="AC81" s="2"/>
      <c r="AD81" s="2"/>
      <c r="AE81" s="2"/>
      <c r="AF81" s="2" t="s">
        <v>348</v>
      </c>
      <c r="AG81" s="2"/>
      <c r="AH81" s="2"/>
      <c r="AI81" s="2" t="s">
        <v>348</v>
      </c>
      <c r="AJ81" s="2" t="s">
        <v>348</v>
      </c>
      <c r="AK81" s="2"/>
      <c r="AL81" s="2"/>
      <c r="AM81" s="2"/>
      <c r="AN81" s="2"/>
      <c r="AO81" s="2" t="s">
        <v>439</v>
      </c>
      <c r="AP81" s="2" t="s">
        <v>348</v>
      </c>
      <c r="AQ81" s="2" t="s">
        <v>348</v>
      </c>
      <c r="AR81" s="2"/>
      <c r="AS81" s="2" t="s">
        <v>348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</row>
    <row r="82" spans="1:82" x14ac:dyDescent="0.25">
      <c r="A82" s="2">
        <v>79</v>
      </c>
      <c r="B82" s="2" t="s">
        <v>34</v>
      </c>
      <c r="C82" s="57" t="s">
        <v>318</v>
      </c>
      <c r="D82" s="54" t="s">
        <v>322</v>
      </c>
      <c r="E82" s="54"/>
      <c r="F82" s="2" t="s">
        <v>37</v>
      </c>
      <c r="G82" s="2">
        <f t="shared" si="12"/>
        <v>31</v>
      </c>
      <c r="H82" s="6">
        <f>I82+개인기록Sheet!C82</f>
        <v>13.2</v>
      </c>
      <c r="I82" s="6">
        <f t="shared" si="11"/>
        <v>11</v>
      </c>
      <c r="J82" s="2"/>
      <c r="K82" s="2"/>
      <c r="L82" s="2"/>
      <c r="M82" s="2"/>
      <c r="N82" s="2"/>
      <c r="O82" s="2"/>
      <c r="P82" s="2"/>
      <c r="Q82" s="2" t="s">
        <v>348</v>
      </c>
      <c r="R82" s="2"/>
      <c r="S82" s="2"/>
      <c r="T82" s="2" t="s">
        <v>348</v>
      </c>
      <c r="U82" s="2" t="s">
        <v>348</v>
      </c>
      <c r="V82" s="2"/>
      <c r="W82" s="2" t="s">
        <v>348</v>
      </c>
      <c r="X82" s="2"/>
      <c r="Y82" s="2"/>
      <c r="Z82" s="2" t="s">
        <v>348</v>
      </c>
      <c r="AA82" s="2" t="s">
        <v>348</v>
      </c>
      <c r="AB82" s="2"/>
      <c r="AC82" s="2"/>
      <c r="AD82" s="2"/>
      <c r="AE82" s="2"/>
      <c r="AF82" s="2"/>
      <c r="AG82" s="2"/>
      <c r="AH82" s="2" t="s">
        <v>348</v>
      </c>
      <c r="AI82" s="2"/>
      <c r="AJ82" s="2" t="s">
        <v>348</v>
      </c>
      <c r="AK82" s="2"/>
      <c r="AL82" s="2"/>
      <c r="AM82" s="2" t="s">
        <v>348</v>
      </c>
      <c r="AN82" s="2"/>
      <c r="AO82" s="2" t="s">
        <v>439</v>
      </c>
      <c r="AP82" s="2" t="s">
        <v>348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</row>
    <row r="83" spans="1:82" x14ac:dyDescent="0.25">
      <c r="A83" s="2">
        <v>80</v>
      </c>
      <c r="B83" s="2" t="s">
        <v>233</v>
      </c>
      <c r="C83" s="58">
        <v>2024</v>
      </c>
      <c r="D83" s="54" t="s">
        <v>322</v>
      </c>
      <c r="E83" s="54"/>
      <c r="F83" s="2" t="s">
        <v>37</v>
      </c>
      <c r="G83" s="2">
        <f t="shared" si="12"/>
        <v>23</v>
      </c>
      <c r="H83" s="6">
        <f>I83+개인기록Sheet!C83</f>
        <v>16.2</v>
      </c>
      <c r="I83" s="6">
        <f t="shared" si="11"/>
        <v>13</v>
      </c>
      <c r="J83" s="2"/>
      <c r="K83" s="2"/>
      <c r="L83" s="2"/>
      <c r="M83" s="2"/>
      <c r="N83" s="2"/>
      <c r="O83" s="2" t="s">
        <v>348</v>
      </c>
      <c r="P83" s="2"/>
      <c r="Q83" s="2"/>
      <c r="R83" s="2"/>
      <c r="S83" s="2" t="s">
        <v>348</v>
      </c>
      <c r="T83" s="2"/>
      <c r="U83" s="2"/>
      <c r="V83" s="2"/>
      <c r="W83" s="2"/>
      <c r="X83" s="2"/>
      <c r="Y83" s="2"/>
      <c r="Z83" s="2"/>
      <c r="AA83" s="2" t="s">
        <v>348</v>
      </c>
      <c r="AB83" s="2"/>
      <c r="AC83" s="2" t="s">
        <v>348</v>
      </c>
      <c r="AD83" s="2" t="s">
        <v>348</v>
      </c>
      <c r="AE83" s="2" t="s">
        <v>348</v>
      </c>
      <c r="AF83" s="2"/>
      <c r="AG83" s="2" t="s">
        <v>348</v>
      </c>
      <c r="AH83" s="2" t="s">
        <v>348</v>
      </c>
      <c r="AI83" s="2"/>
      <c r="AJ83" s="2"/>
      <c r="AK83" s="2"/>
      <c r="AL83" s="2" t="s">
        <v>348</v>
      </c>
      <c r="AM83" s="2" t="s">
        <v>348</v>
      </c>
      <c r="AN83" s="2"/>
      <c r="AO83" s="2"/>
      <c r="AP83" s="2" t="s">
        <v>348</v>
      </c>
      <c r="AQ83" s="2"/>
      <c r="AR83" s="2" t="s">
        <v>348</v>
      </c>
      <c r="AS83" s="2" t="s">
        <v>348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</row>
    <row r="84" spans="1:82" x14ac:dyDescent="0.25">
      <c r="A84" s="2">
        <v>81</v>
      </c>
      <c r="B84" s="2" t="s">
        <v>5</v>
      </c>
      <c r="C84" s="57" t="s">
        <v>318</v>
      </c>
      <c r="D84" s="54" t="s">
        <v>322</v>
      </c>
      <c r="E84" s="54"/>
      <c r="F84" s="2" t="s">
        <v>37</v>
      </c>
      <c r="G84" s="2">
        <f t="shared" si="12"/>
        <v>68</v>
      </c>
      <c r="H84" s="6">
        <f>I84+개인기록Sheet!C84</f>
        <v>4.4000000000000004</v>
      </c>
      <c r="I84" s="6">
        <f t="shared" si="11"/>
        <v>4</v>
      </c>
      <c r="J84" s="2"/>
      <c r="K84" s="2"/>
      <c r="L84" s="2"/>
      <c r="M84" s="2"/>
      <c r="N84" s="2"/>
      <c r="O84" s="2"/>
      <c r="P84" s="2"/>
      <c r="Q84" s="2"/>
      <c r="R84" s="2" t="s">
        <v>348</v>
      </c>
      <c r="S84" s="2"/>
      <c r="T84" s="2"/>
      <c r="U84" s="2"/>
      <c r="V84" s="2" t="s">
        <v>348</v>
      </c>
      <c r="W84" s="2"/>
      <c r="X84" s="2" t="s">
        <v>348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 t="s">
        <v>348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spans="1:82" x14ac:dyDescent="0.25">
      <c r="A85" s="2">
        <v>82</v>
      </c>
      <c r="B85" s="2" t="s">
        <v>371</v>
      </c>
      <c r="C85" s="58">
        <v>2026</v>
      </c>
      <c r="D85" s="54" t="s">
        <v>322</v>
      </c>
      <c r="E85" s="54"/>
      <c r="F85" s="2" t="s">
        <v>37</v>
      </c>
      <c r="G85" s="2">
        <f t="shared" si="12"/>
        <v>50</v>
      </c>
      <c r="H85" s="6">
        <f>I85+개인기록Sheet!C85</f>
        <v>7.9</v>
      </c>
      <c r="I85" s="6">
        <f t="shared" si="11"/>
        <v>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348</v>
      </c>
      <c r="V85" s="2"/>
      <c r="W85" s="2" t="s">
        <v>348</v>
      </c>
      <c r="X85" s="2" t="s">
        <v>348</v>
      </c>
      <c r="Y85" s="2" t="s">
        <v>348</v>
      </c>
      <c r="Z85" s="2"/>
      <c r="AA85" s="2"/>
      <c r="AB85" s="2"/>
      <c r="AC85" s="2"/>
      <c r="AD85" s="2"/>
      <c r="AE85" s="2" t="s">
        <v>348</v>
      </c>
      <c r="AF85" s="2" t="s">
        <v>348</v>
      </c>
      <c r="AG85" s="2"/>
      <c r="AH85" s="2"/>
      <c r="AI85" s="2"/>
      <c r="AJ85" s="2"/>
      <c r="AK85" s="2"/>
      <c r="AL85" s="2"/>
      <c r="AM85" s="2" t="s">
        <v>348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spans="1:82" x14ac:dyDescent="0.25">
      <c r="A86" s="2">
        <v>83</v>
      </c>
      <c r="B86" s="2" t="s">
        <v>312</v>
      </c>
      <c r="C86" s="58">
        <v>2025</v>
      </c>
      <c r="D86" s="54" t="s">
        <v>322</v>
      </c>
      <c r="E86" s="54"/>
      <c r="F86" s="2" t="s">
        <v>37</v>
      </c>
      <c r="G86" s="2">
        <f t="shared" si="12"/>
        <v>57</v>
      </c>
      <c r="H86" s="6">
        <f>I86+개인기록Sheet!C86</f>
        <v>6.4</v>
      </c>
      <c r="I86" s="6">
        <f t="shared" si="11"/>
        <v>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348</v>
      </c>
      <c r="AD86" s="2"/>
      <c r="AE86" s="2"/>
      <c r="AF86" s="2" t="s">
        <v>348</v>
      </c>
      <c r="AG86" s="2" t="s">
        <v>348</v>
      </c>
      <c r="AH86" s="2" t="s">
        <v>348</v>
      </c>
      <c r="AI86" s="2"/>
      <c r="AJ86" s="2"/>
      <c r="AK86" s="2"/>
      <c r="AL86" s="2"/>
      <c r="AM86" s="2" t="s">
        <v>348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</row>
    <row r="87" spans="1:82" x14ac:dyDescent="0.25">
      <c r="A87" s="2">
        <v>84</v>
      </c>
      <c r="B87" s="2" t="s">
        <v>20</v>
      </c>
      <c r="C87" s="57" t="s">
        <v>318</v>
      </c>
      <c r="D87" s="54" t="s">
        <v>322</v>
      </c>
      <c r="E87" s="54"/>
      <c r="F87" s="2" t="s">
        <v>37</v>
      </c>
      <c r="G87" s="2">
        <f t="shared" si="12"/>
        <v>92</v>
      </c>
      <c r="H87" s="6">
        <f>I87+개인기록Sheet!C87</f>
        <v>0</v>
      </c>
      <c r="I87" s="6">
        <f t="shared" si="11"/>
        <v>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</row>
    <row r="88" spans="1:82" x14ac:dyDescent="0.25">
      <c r="A88" s="2">
        <v>85</v>
      </c>
      <c r="B88" s="2" t="s">
        <v>369</v>
      </c>
      <c r="C88" s="58">
        <v>2026</v>
      </c>
      <c r="D88" s="54">
        <f>COUNTA(AF88:AU88)</f>
        <v>0</v>
      </c>
      <c r="E88" s="54"/>
      <c r="F88" s="2" t="s">
        <v>37</v>
      </c>
      <c r="G88" s="2">
        <f t="shared" si="12"/>
        <v>71</v>
      </c>
      <c r="H88" s="6">
        <f>I88+개인기록Sheet!C88</f>
        <v>4</v>
      </c>
      <c r="I88" s="6">
        <f t="shared" si="11"/>
        <v>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348</v>
      </c>
      <c r="V88" s="2"/>
      <c r="W88" s="2"/>
      <c r="X88" s="2" t="s">
        <v>348</v>
      </c>
      <c r="Y88" s="2"/>
      <c r="Z88" s="2" t="s">
        <v>348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</row>
    <row r="89" spans="1:82" x14ac:dyDescent="0.25">
      <c r="A89" s="2">
        <v>86</v>
      </c>
      <c r="B89" s="2" t="s">
        <v>303</v>
      </c>
      <c r="C89" s="58">
        <v>2025</v>
      </c>
      <c r="D89" s="54" t="s">
        <v>322</v>
      </c>
      <c r="E89" s="54"/>
      <c r="F89" s="2" t="s">
        <v>37</v>
      </c>
      <c r="G89" s="2">
        <f t="shared" si="12"/>
        <v>73</v>
      </c>
      <c r="H89" s="6">
        <f>I89+개인기록Sheet!C89</f>
        <v>3.4</v>
      </c>
      <c r="I89" s="6">
        <f t="shared" si="11"/>
        <v>3</v>
      </c>
      <c r="J89" s="2"/>
      <c r="K89" s="2"/>
      <c r="L89" s="2"/>
      <c r="M89" s="2"/>
      <c r="N89" s="2"/>
      <c r="O89" s="2"/>
      <c r="P89" s="2"/>
      <c r="Q89" s="2" t="s">
        <v>348</v>
      </c>
      <c r="R89" s="2"/>
      <c r="S89" s="2" t="s">
        <v>348</v>
      </c>
      <c r="T89" s="2"/>
      <c r="U89" s="2"/>
      <c r="V89" s="2" t="s">
        <v>348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</row>
    <row r="90" spans="1:82" x14ac:dyDescent="0.25">
      <c r="A90" s="2">
        <v>87</v>
      </c>
      <c r="B90" s="2" t="s">
        <v>225</v>
      </c>
      <c r="C90" s="58">
        <v>2024</v>
      </c>
      <c r="D90" s="54">
        <f t="shared" ref="D90:D91" si="14">COUNTA(AF90:AU90)</f>
        <v>0</v>
      </c>
      <c r="E90" s="54"/>
      <c r="F90" s="2" t="s">
        <v>37</v>
      </c>
      <c r="G90" s="2">
        <f t="shared" si="12"/>
        <v>86</v>
      </c>
      <c r="H90" s="6">
        <f>I90+개인기록Sheet!C90</f>
        <v>1</v>
      </c>
      <c r="I90" s="6">
        <f t="shared" si="11"/>
        <v>1</v>
      </c>
      <c r="J90" s="2"/>
      <c r="K90" s="2"/>
      <c r="L90" s="2"/>
      <c r="M90" s="2"/>
      <c r="N90" s="2"/>
      <c r="O90" s="2"/>
      <c r="P90" s="2"/>
      <c r="Q90" s="2" t="s">
        <v>348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</row>
    <row r="91" spans="1:82" x14ac:dyDescent="0.25">
      <c r="A91" s="2">
        <v>88</v>
      </c>
      <c r="B91" s="2" t="s">
        <v>410</v>
      </c>
      <c r="C91" s="58">
        <v>2026</v>
      </c>
      <c r="D91" s="54">
        <f t="shared" si="14"/>
        <v>1</v>
      </c>
      <c r="E91" s="54"/>
      <c r="F91" s="2" t="s">
        <v>37</v>
      </c>
      <c r="G91" s="2">
        <f t="shared" si="12"/>
        <v>86</v>
      </c>
      <c r="H91" s="6">
        <f>I91+개인기록Sheet!C91</f>
        <v>1</v>
      </c>
      <c r="I91" s="6">
        <f t="shared" si="11"/>
        <v>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 t="s">
        <v>348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</row>
    <row r="92" spans="1:82" x14ac:dyDescent="0.25">
      <c r="A92" s="2">
        <v>89</v>
      </c>
      <c r="B92" s="2" t="s">
        <v>237</v>
      </c>
      <c r="C92" s="58">
        <v>2024</v>
      </c>
      <c r="D92" s="54" t="s">
        <v>322</v>
      </c>
      <c r="E92" s="54"/>
      <c r="F92" s="2" t="s">
        <v>37</v>
      </c>
      <c r="G92" s="2">
        <f t="shared" si="12"/>
        <v>65</v>
      </c>
      <c r="H92" s="6">
        <f>I92+개인기록Sheet!C92</f>
        <v>4.8</v>
      </c>
      <c r="I92" s="6">
        <f t="shared" si="11"/>
        <v>4</v>
      </c>
      <c r="J92" s="2"/>
      <c r="K92" s="2" t="s">
        <v>348</v>
      </c>
      <c r="L92" s="2"/>
      <c r="M92" s="2"/>
      <c r="N92" s="2"/>
      <c r="O92" s="2"/>
      <c r="P92" s="2"/>
      <c r="Q92" s="2"/>
      <c r="R92" s="2"/>
      <c r="S92" s="2"/>
      <c r="T92" s="2"/>
      <c r="U92" s="2" t="s">
        <v>348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348</v>
      </c>
      <c r="AI92" s="2"/>
      <c r="AJ92" s="2"/>
      <c r="AK92" s="2"/>
      <c r="AL92" s="2" t="s">
        <v>348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</row>
    <row r="93" spans="1:82" x14ac:dyDescent="0.25">
      <c r="A93" s="2">
        <v>90</v>
      </c>
      <c r="B93" s="2" t="s">
        <v>70</v>
      </c>
      <c r="C93" s="57" t="s">
        <v>318</v>
      </c>
      <c r="D93" s="54" t="s">
        <v>322</v>
      </c>
      <c r="E93" s="54"/>
      <c r="F93" s="2" t="s">
        <v>37</v>
      </c>
      <c r="G93" s="2">
        <f t="shared" si="12"/>
        <v>92</v>
      </c>
      <c r="H93" s="6">
        <f>I93+개인기록Sheet!C93</f>
        <v>0</v>
      </c>
      <c r="I93" s="6">
        <f t="shared" si="11"/>
        <v>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</row>
    <row r="94" spans="1:82" x14ac:dyDescent="0.25">
      <c r="A94" s="2">
        <v>91</v>
      </c>
      <c r="B94" s="2" t="s">
        <v>139</v>
      </c>
      <c r="C94" s="57">
        <v>2023</v>
      </c>
      <c r="D94" s="54" t="s">
        <v>322</v>
      </c>
      <c r="E94" s="54"/>
      <c r="F94" s="2" t="s">
        <v>37</v>
      </c>
      <c r="G94" s="2">
        <f t="shared" si="12"/>
        <v>19</v>
      </c>
      <c r="H94" s="6">
        <f>I94+개인기록Sheet!C94</f>
        <v>17.5</v>
      </c>
      <c r="I94" s="6">
        <f t="shared" si="11"/>
        <v>13</v>
      </c>
      <c r="J94" s="2"/>
      <c r="K94" s="2"/>
      <c r="L94" s="2"/>
      <c r="M94" s="2"/>
      <c r="N94" s="2"/>
      <c r="O94" s="2"/>
      <c r="P94" s="2"/>
      <c r="Q94" s="2" t="s">
        <v>348</v>
      </c>
      <c r="R94" s="2"/>
      <c r="S94" s="2"/>
      <c r="T94" s="2"/>
      <c r="U94" s="2"/>
      <c r="V94" s="2"/>
      <c r="W94" s="2" t="s">
        <v>348</v>
      </c>
      <c r="X94" s="2"/>
      <c r="Y94" s="2" t="s">
        <v>348</v>
      </c>
      <c r="Z94" s="2"/>
      <c r="AA94" s="2" t="s">
        <v>348</v>
      </c>
      <c r="AB94" s="2"/>
      <c r="AC94" s="2" t="s">
        <v>348</v>
      </c>
      <c r="AD94" s="2" t="s">
        <v>348</v>
      </c>
      <c r="AE94" s="2" t="s">
        <v>348</v>
      </c>
      <c r="AF94" s="2"/>
      <c r="AG94" s="2" t="s">
        <v>348</v>
      </c>
      <c r="AH94" s="2" t="s">
        <v>348</v>
      </c>
      <c r="AI94" s="2" t="s">
        <v>348</v>
      </c>
      <c r="AJ94" s="2"/>
      <c r="AK94" s="2"/>
      <c r="AL94" s="2"/>
      <c r="AM94" s="2"/>
      <c r="AN94" s="2"/>
      <c r="AO94" s="2" t="s">
        <v>439</v>
      </c>
      <c r="AP94" s="2"/>
      <c r="AQ94" s="2" t="s">
        <v>348</v>
      </c>
      <c r="AR94" s="2"/>
      <c r="AS94" s="2" t="s">
        <v>348</v>
      </c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</row>
    <row r="95" spans="1:82" x14ac:dyDescent="0.25">
      <c r="A95" s="2">
        <v>92</v>
      </c>
      <c r="B95" s="2" t="s">
        <v>93</v>
      </c>
      <c r="C95" s="57">
        <v>2022</v>
      </c>
      <c r="D95" s="54" t="s">
        <v>322</v>
      </c>
      <c r="E95" s="54"/>
      <c r="F95" s="2" t="s">
        <v>37</v>
      </c>
      <c r="G95" s="2">
        <f t="shared" si="12"/>
        <v>81</v>
      </c>
      <c r="H95" s="6">
        <f>I95+개인기록Sheet!C95</f>
        <v>2</v>
      </c>
      <c r="I95" s="6">
        <f t="shared" si="11"/>
        <v>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 t="s">
        <v>348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 t="s">
        <v>439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</row>
    <row r="96" spans="1:82" x14ac:dyDescent="0.25">
      <c r="A96" s="2">
        <v>93</v>
      </c>
      <c r="B96" s="2" t="s">
        <v>94</v>
      </c>
      <c r="C96" s="57">
        <v>2022</v>
      </c>
      <c r="D96" s="54">
        <f>COUNTA(AF96:AU96)</f>
        <v>1</v>
      </c>
      <c r="E96" s="54"/>
      <c r="F96" s="2" t="s">
        <v>37</v>
      </c>
      <c r="G96" s="2">
        <f t="shared" si="12"/>
        <v>86</v>
      </c>
      <c r="H96" s="6">
        <f>I96+개인기록Sheet!C96</f>
        <v>1</v>
      </c>
      <c r="I96" s="6">
        <f t="shared" si="11"/>
        <v>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 t="s">
        <v>439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</row>
    <row r="97" spans="1:82" x14ac:dyDescent="0.25">
      <c r="A97" s="2">
        <v>94</v>
      </c>
      <c r="B97" s="2" t="s">
        <v>95</v>
      </c>
      <c r="C97" s="57">
        <v>2022</v>
      </c>
      <c r="D97" s="54" t="s">
        <v>322</v>
      </c>
      <c r="E97" s="54"/>
      <c r="F97" s="2" t="s">
        <v>37</v>
      </c>
      <c r="G97" s="2">
        <f t="shared" si="12"/>
        <v>29</v>
      </c>
      <c r="H97" s="6">
        <f>I97+개인기록Sheet!C97</f>
        <v>14.7</v>
      </c>
      <c r="I97" s="6">
        <f t="shared" si="11"/>
        <v>12</v>
      </c>
      <c r="J97" s="2"/>
      <c r="K97" s="2" t="s">
        <v>348</v>
      </c>
      <c r="L97" s="2"/>
      <c r="M97" s="2"/>
      <c r="N97" s="2"/>
      <c r="O97" s="2" t="s">
        <v>348</v>
      </c>
      <c r="P97" s="2"/>
      <c r="Q97" s="2"/>
      <c r="R97" s="2"/>
      <c r="S97" s="2" t="s">
        <v>348</v>
      </c>
      <c r="T97" s="2"/>
      <c r="U97" s="2"/>
      <c r="V97" s="2"/>
      <c r="W97" s="2"/>
      <c r="X97" s="2"/>
      <c r="Y97" s="2"/>
      <c r="Z97" s="2"/>
      <c r="AA97" s="2" t="s">
        <v>348</v>
      </c>
      <c r="AB97" s="2"/>
      <c r="AC97" s="2" t="s">
        <v>348</v>
      </c>
      <c r="AD97" s="2"/>
      <c r="AE97" s="2" t="s">
        <v>348</v>
      </c>
      <c r="AF97" s="2" t="s">
        <v>348</v>
      </c>
      <c r="AG97" s="2" t="s">
        <v>348</v>
      </c>
      <c r="AH97" s="2" t="s">
        <v>348</v>
      </c>
      <c r="AI97" s="2"/>
      <c r="AJ97" s="2"/>
      <c r="AK97" s="2"/>
      <c r="AL97" s="2" t="s">
        <v>348</v>
      </c>
      <c r="AM97" s="2" t="s">
        <v>348</v>
      </c>
      <c r="AN97" s="2"/>
      <c r="AO97" s="2"/>
      <c r="AP97" s="2"/>
      <c r="AQ97" s="2"/>
      <c r="AR97" s="2" t="s">
        <v>348</v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</row>
    <row r="98" spans="1:82" x14ac:dyDescent="0.25">
      <c r="A98" s="2">
        <v>95</v>
      </c>
      <c r="B98" s="2" t="s">
        <v>121</v>
      </c>
      <c r="C98" s="57">
        <v>2022</v>
      </c>
      <c r="D98" s="54">
        <f>COUNTA(AF98:AU98)</f>
        <v>0</v>
      </c>
      <c r="E98" s="54"/>
      <c r="F98" s="2" t="s">
        <v>37</v>
      </c>
      <c r="G98" s="2">
        <f t="shared" si="12"/>
        <v>84</v>
      </c>
      <c r="H98" s="6">
        <f>I98+개인기록Sheet!C98</f>
        <v>1.2</v>
      </c>
      <c r="I98" s="6">
        <f t="shared" si="11"/>
        <v>1</v>
      </c>
      <c r="J98" s="2"/>
      <c r="K98" s="2"/>
      <c r="L98" s="2"/>
      <c r="M98" s="2"/>
      <c r="N98" s="2"/>
      <c r="O98" s="2"/>
      <c r="P98" s="2"/>
      <c r="Q98" s="2"/>
      <c r="R98" s="2"/>
      <c r="S98" s="2" t="s">
        <v>348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</row>
    <row r="99" spans="1:82" x14ac:dyDescent="0.25">
      <c r="A99" s="2">
        <v>96</v>
      </c>
      <c r="B99" s="2" t="s">
        <v>9</v>
      </c>
      <c r="C99" s="57" t="s">
        <v>318</v>
      </c>
      <c r="D99" s="54" t="s">
        <v>322</v>
      </c>
      <c r="E99" s="54"/>
      <c r="F99" s="2" t="s">
        <v>37</v>
      </c>
      <c r="G99" s="2">
        <f t="shared" si="12"/>
        <v>60</v>
      </c>
      <c r="H99" s="6">
        <f>I99+개인기록Sheet!C99</f>
        <v>5.9</v>
      </c>
      <c r="I99" s="6">
        <f t="shared" si="11"/>
        <v>5</v>
      </c>
      <c r="J99" s="2"/>
      <c r="K99" s="2"/>
      <c r="L99" s="2"/>
      <c r="M99" s="2" t="s">
        <v>348</v>
      </c>
      <c r="N99" s="2"/>
      <c r="O99" s="2"/>
      <c r="P99" s="2"/>
      <c r="Q99" s="2" t="s">
        <v>348</v>
      </c>
      <c r="R99" s="2"/>
      <c r="S99" s="2" t="s">
        <v>348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348</v>
      </c>
      <c r="AG99" s="2"/>
      <c r="AH99" s="2"/>
      <c r="AI99" s="2"/>
      <c r="AJ99" s="2"/>
      <c r="AK99" s="2"/>
      <c r="AL99" s="2"/>
      <c r="AM99" s="2"/>
      <c r="AN99" s="2"/>
      <c r="AO99" s="2"/>
      <c r="AP99" s="2" t="s">
        <v>348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1:82" x14ac:dyDescent="0.25">
      <c r="A100" s="2">
        <v>97</v>
      </c>
      <c r="B100" s="2" t="s">
        <v>202</v>
      </c>
      <c r="C100" s="58">
        <v>2024</v>
      </c>
      <c r="D100" s="54" t="s">
        <v>322</v>
      </c>
      <c r="E100" s="54"/>
      <c r="F100" s="2" t="s">
        <v>37</v>
      </c>
      <c r="G100" s="2">
        <f t="shared" ref="G100:G122" si="15">RANK(H100,$H$4:$H$122,0)</f>
        <v>8</v>
      </c>
      <c r="H100" s="6">
        <f>I100+개인기록Sheet!C100</f>
        <v>23.8</v>
      </c>
      <c r="I100" s="6">
        <f t="shared" si="11"/>
        <v>18</v>
      </c>
      <c r="J100" s="2"/>
      <c r="K100" s="2"/>
      <c r="L100" s="2" t="s">
        <v>348</v>
      </c>
      <c r="M100" s="2"/>
      <c r="N100" s="2" t="s">
        <v>348</v>
      </c>
      <c r="O100" s="2"/>
      <c r="P100" s="2" t="s">
        <v>348</v>
      </c>
      <c r="Q100" s="2"/>
      <c r="R100" s="2"/>
      <c r="S100" s="2" t="s">
        <v>348</v>
      </c>
      <c r="T100" s="2"/>
      <c r="U100" s="2" t="s">
        <v>348</v>
      </c>
      <c r="V100" s="2"/>
      <c r="W100" s="2" t="s">
        <v>348</v>
      </c>
      <c r="X100" s="2" t="s">
        <v>348</v>
      </c>
      <c r="Y100" s="2"/>
      <c r="Z100" s="2" t="s">
        <v>348</v>
      </c>
      <c r="AA100" s="2" t="s">
        <v>348</v>
      </c>
      <c r="AB100" s="2"/>
      <c r="AC100" s="2" t="s">
        <v>348</v>
      </c>
      <c r="AD100" s="2" t="s">
        <v>348</v>
      </c>
      <c r="AE100" s="2"/>
      <c r="AF100" s="2" t="s">
        <v>348</v>
      </c>
      <c r="AG100" s="2" t="s">
        <v>348</v>
      </c>
      <c r="AH100" s="2"/>
      <c r="AI100" s="2" t="s">
        <v>348</v>
      </c>
      <c r="AJ100" s="2" t="s">
        <v>348</v>
      </c>
      <c r="AK100" s="2"/>
      <c r="AL100" s="2"/>
      <c r="AM100" s="2" t="s">
        <v>348</v>
      </c>
      <c r="AN100" s="2"/>
      <c r="AO100" s="2"/>
      <c r="AP100" s="2"/>
      <c r="AQ100" s="2"/>
      <c r="AR100" s="2" t="s">
        <v>348</v>
      </c>
      <c r="AS100" s="2" t="s">
        <v>348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</row>
    <row r="101" spans="1:82" x14ac:dyDescent="0.25">
      <c r="A101" s="2">
        <v>98</v>
      </c>
      <c r="B101" s="2" t="s">
        <v>98</v>
      </c>
      <c r="C101" s="57">
        <v>2022</v>
      </c>
      <c r="D101" s="54" t="s">
        <v>322</v>
      </c>
      <c r="E101" s="54"/>
      <c r="F101" s="2" t="s">
        <v>37</v>
      </c>
      <c r="G101" s="2">
        <f t="shared" si="15"/>
        <v>13</v>
      </c>
      <c r="H101" s="6">
        <f>I101+개인기록Sheet!C101</f>
        <v>21.4</v>
      </c>
      <c r="I101" s="6">
        <f t="shared" si="11"/>
        <v>17</v>
      </c>
      <c r="J101" s="2"/>
      <c r="K101" s="2"/>
      <c r="L101" s="2"/>
      <c r="M101" s="2" t="s">
        <v>348</v>
      </c>
      <c r="N101" s="2"/>
      <c r="O101" s="2"/>
      <c r="P101" s="2"/>
      <c r="Q101" s="2"/>
      <c r="R101" s="2" t="s">
        <v>348</v>
      </c>
      <c r="S101" s="2" t="s">
        <v>348</v>
      </c>
      <c r="T101" s="2"/>
      <c r="U101" s="2"/>
      <c r="V101" s="2"/>
      <c r="W101" s="2"/>
      <c r="X101" s="2"/>
      <c r="Y101" s="2"/>
      <c r="Z101" s="2"/>
      <c r="AA101" s="2" t="s">
        <v>348</v>
      </c>
      <c r="AB101" s="2"/>
      <c r="AC101" s="2"/>
      <c r="AD101" s="2" t="s">
        <v>348</v>
      </c>
      <c r="AE101" s="2" t="s">
        <v>348</v>
      </c>
      <c r="AF101" s="2" t="s">
        <v>348</v>
      </c>
      <c r="AG101" s="2" t="s">
        <v>348</v>
      </c>
      <c r="AH101" s="2" t="s">
        <v>348</v>
      </c>
      <c r="AI101" s="2" t="s">
        <v>348</v>
      </c>
      <c r="AJ101" s="2" t="s">
        <v>348</v>
      </c>
      <c r="AK101" s="2"/>
      <c r="AL101" s="2" t="s">
        <v>348</v>
      </c>
      <c r="AM101" s="2" t="s">
        <v>348</v>
      </c>
      <c r="AN101" s="2"/>
      <c r="AO101" s="2" t="s">
        <v>439</v>
      </c>
      <c r="AP101" s="2"/>
      <c r="AQ101" s="2" t="s">
        <v>348</v>
      </c>
      <c r="AR101" s="2" t="s">
        <v>348</v>
      </c>
      <c r="AS101" s="2" t="s">
        <v>348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</row>
    <row r="102" spans="1:82" x14ac:dyDescent="0.25">
      <c r="A102" s="2">
        <v>99</v>
      </c>
      <c r="B102" s="2" t="s">
        <v>373</v>
      </c>
      <c r="C102" s="58">
        <v>2026</v>
      </c>
      <c r="D102" s="54" t="s">
        <v>322</v>
      </c>
      <c r="E102" s="54"/>
      <c r="F102" s="2" t="s">
        <v>37</v>
      </c>
      <c r="G102" s="2">
        <f t="shared" si="15"/>
        <v>40</v>
      </c>
      <c r="H102" s="6">
        <f>I102+개인기록Sheet!C102</f>
        <v>10.7</v>
      </c>
      <c r="I102" s="6">
        <f t="shared" si="11"/>
        <v>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348</v>
      </c>
      <c r="V102" s="2" t="s">
        <v>348</v>
      </c>
      <c r="W102" s="2" t="s">
        <v>348</v>
      </c>
      <c r="X102" s="2"/>
      <c r="Y102" s="2" t="s">
        <v>348</v>
      </c>
      <c r="Z102" s="2"/>
      <c r="AA102" s="2"/>
      <c r="AB102" s="2"/>
      <c r="AC102" s="2"/>
      <c r="AD102" s="2" t="s">
        <v>348</v>
      </c>
      <c r="AE102" s="2" t="s">
        <v>348</v>
      </c>
      <c r="AF102" s="2" t="s">
        <v>348</v>
      </c>
      <c r="AG102" s="2"/>
      <c r="AH102" s="2"/>
      <c r="AI102" s="2"/>
      <c r="AJ102" s="2"/>
      <c r="AK102" s="2"/>
      <c r="AL102" s="2"/>
      <c r="AM102" s="2" t="s">
        <v>348</v>
      </c>
      <c r="AN102" s="2"/>
      <c r="AO102" s="2"/>
      <c r="AP102" s="2"/>
      <c r="AQ102" s="2"/>
      <c r="AR102" s="2"/>
      <c r="AS102" s="2" t="s">
        <v>348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</row>
    <row r="103" spans="1:82" x14ac:dyDescent="0.25">
      <c r="A103" s="2">
        <v>100</v>
      </c>
      <c r="B103" s="2" t="s">
        <v>203</v>
      </c>
      <c r="C103" s="58">
        <v>2024</v>
      </c>
      <c r="D103" s="54" t="s">
        <v>322</v>
      </c>
      <c r="E103" s="54"/>
      <c r="F103" s="2" t="s">
        <v>37</v>
      </c>
      <c r="G103" s="2">
        <f t="shared" si="15"/>
        <v>3</v>
      </c>
      <c r="H103" s="6">
        <f>I103+개인기록Sheet!C103</f>
        <v>32</v>
      </c>
      <c r="I103" s="6">
        <f t="shared" si="11"/>
        <v>25</v>
      </c>
      <c r="J103" s="2" t="s">
        <v>348</v>
      </c>
      <c r="K103" s="2" t="s">
        <v>348</v>
      </c>
      <c r="L103" s="2"/>
      <c r="M103" s="2" t="s">
        <v>348</v>
      </c>
      <c r="N103" s="2" t="s">
        <v>348</v>
      </c>
      <c r="O103" s="2" t="s">
        <v>348</v>
      </c>
      <c r="P103" s="2"/>
      <c r="Q103" s="2" t="s">
        <v>348</v>
      </c>
      <c r="R103" s="2"/>
      <c r="S103" s="2" t="s">
        <v>348</v>
      </c>
      <c r="T103" s="2"/>
      <c r="U103" s="2" t="s">
        <v>348</v>
      </c>
      <c r="V103" s="2" t="s">
        <v>348</v>
      </c>
      <c r="W103" s="2" t="s">
        <v>348</v>
      </c>
      <c r="X103" s="2" t="s">
        <v>348</v>
      </c>
      <c r="Y103" s="2" t="s">
        <v>348</v>
      </c>
      <c r="Z103" s="2" t="s">
        <v>348</v>
      </c>
      <c r="AA103" s="2"/>
      <c r="AB103" s="2" t="s">
        <v>348</v>
      </c>
      <c r="AC103" s="2" t="s">
        <v>348</v>
      </c>
      <c r="AD103" s="2"/>
      <c r="AE103" s="2"/>
      <c r="AF103" s="2" t="s">
        <v>348</v>
      </c>
      <c r="AG103" s="2" t="s">
        <v>348</v>
      </c>
      <c r="AH103" s="2" t="s">
        <v>348</v>
      </c>
      <c r="AI103" s="2" t="s">
        <v>348</v>
      </c>
      <c r="AJ103" s="2" t="s">
        <v>348</v>
      </c>
      <c r="AK103" s="2"/>
      <c r="AL103" s="2" t="s">
        <v>348</v>
      </c>
      <c r="AM103" s="2"/>
      <c r="AN103" s="2"/>
      <c r="AO103" s="2"/>
      <c r="AP103" s="2" t="s">
        <v>348</v>
      </c>
      <c r="AQ103" s="2" t="s">
        <v>348</v>
      </c>
      <c r="AR103" s="2" t="s">
        <v>348</v>
      </c>
      <c r="AS103" s="2" t="s">
        <v>348</v>
      </c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</row>
    <row r="104" spans="1:82" x14ac:dyDescent="0.25">
      <c r="A104" s="2">
        <v>101</v>
      </c>
      <c r="B104" s="2" t="s">
        <v>62</v>
      </c>
      <c r="C104" s="57" t="s">
        <v>318</v>
      </c>
      <c r="D104" s="54" t="s">
        <v>322</v>
      </c>
      <c r="E104" s="54"/>
      <c r="F104" s="2" t="s">
        <v>37</v>
      </c>
      <c r="G104" s="2">
        <f t="shared" si="15"/>
        <v>10</v>
      </c>
      <c r="H104" s="6">
        <f>I104+개인기록Sheet!C104</f>
        <v>23.2</v>
      </c>
      <c r="I104" s="6">
        <f t="shared" si="11"/>
        <v>20</v>
      </c>
      <c r="J104" s="2" t="s">
        <v>348</v>
      </c>
      <c r="K104" s="2" t="s">
        <v>348</v>
      </c>
      <c r="L104" s="2"/>
      <c r="M104" s="2" t="s">
        <v>348</v>
      </c>
      <c r="N104" s="2" t="s">
        <v>348</v>
      </c>
      <c r="O104" s="2" t="s">
        <v>348</v>
      </c>
      <c r="P104" s="2"/>
      <c r="Q104" s="2"/>
      <c r="R104" s="2"/>
      <c r="S104" s="2" t="s">
        <v>348</v>
      </c>
      <c r="T104" s="2"/>
      <c r="U104" s="2" t="s">
        <v>348</v>
      </c>
      <c r="V104" s="2"/>
      <c r="W104" s="2"/>
      <c r="X104" s="2" t="s">
        <v>348</v>
      </c>
      <c r="Y104" s="2" t="s">
        <v>348</v>
      </c>
      <c r="Z104" s="2" t="s">
        <v>348</v>
      </c>
      <c r="AA104" s="2" t="s">
        <v>348</v>
      </c>
      <c r="AB104" s="2"/>
      <c r="AC104" s="2"/>
      <c r="AD104" s="2"/>
      <c r="AE104" s="2" t="s">
        <v>348</v>
      </c>
      <c r="AF104" s="2" t="s">
        <v>348</v>
      </c>
      <c r="AG104" s="2" t="s">
        <v>348</v>
      </c>
      <c r="AH104" s="2"/>
      <c r="AI104" s="2" t="s">
        <v>348</v>
      </c>
      <c r="AJ104" s="2"/>
      <c r="AK104" s="2" t="s">
        <v>348</v>
      </c>
      <c r="AL104" s="2" t="s">
        <v>348</v>
      </c>
      <c r="AM104" s="2"/>
      <c r="AN104" s="2"/>
      <c r="AO104" s="2"/>
      <c r="AP104" s="2" t="s">
        <v>348</v>
      </c>
      <c r="AQ104" s="2"/>
      <c r="AR104" s="2" t="s">
        <v>348</v>
      </c>
      <c r="AS104" s="2" t="s">
        <v>348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</row>
    <row r="105" spans="1:82" x14ac:dyDescent="0.25">
      <c r="A105" s="2">
        <v>102</v>
      </c>
      <c r="B105" s="2" t="s">
        <v>136</v>
      </c>
      <c r="C105" s="57">
        <v>2023</v>
      </c>
      <c r="D105" s="54" t="s">
        <v>322</v>
      </c>
      <c r="E105" s="54"/>
      <c r="F105" s="2" t="s">
        <v>37</v>
      </c>
      <c r="G105" s="2">
        <f t="shared" si="15"/>
        <v>59</v>
      </c>
      <c r="H105" s="6">
        <f>I105+개인기록Sheet!C105</f>
        <v>6</v>
      </c>
      <c r="I105" s="6">
        <f t="shared" si="11"/>
        <v>5</v>
      </c>
      <c r="J105" s="2" t="s">
        <v>348</v>
      </c>
      <c r="K105" s="2"/>
      <c r="L105" s="2" t="s">
        <v>348</v>
      </c>
      <c r="M105" s="2"/>
      <c r="N105" s="2" t="s">
        <v>348</v>
      </c>
      <c r="O105" s="2"/>
      <c r="P105" s="2" t="s">
        <v>348</v>
      </c>
      <c r="Q105" s="2"/>
      <c r="R105" s="2"/>
      <c r="S105" s="2"/>
      <c r="T105" s="2"/>
      <c r="U105" s="2"/>
      <c r="V105" s="2" t="s">
        <v>348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</row>
    <row r="106" spans="1:82" x14ac:dyDescent="0.25">
      <c r="A106" s="2">
        <v>103</v>
      </c>
      <c r="B106" s="2" t="s">
        <v>440</v>
      </c>
      <c r="C106" s="58">
        <v>2026</v>
      </c>
      <c r="D106" s="54">
        <f>COUNTA(AF106:AU106)</f>
        <v>2</v>
      </c>
      <c r="E106" s="54"/>
      <c r="F106" s="2" t="s">
        <v>37</v>
      </c>
      <c r="G106" s="2">
        <f t="shared" si="15"/>
        <v>77</v>
      </c>
      <c r="H106" s="6">
        <f>I106+개인기록Sheet!C106</f>
        <v>2.5</v>
      </c>
      <c r="I106" s="6">
        <f t="shared" si="11"/>
        <v>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 t="s">
        <v>439</v>
      </c>
      <c r="AP106" s="2"/>
      <c r="AQ106" s="2" t="s">
        <v>348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</row>
    <row r="107" spans="1:82" x14ac:dyDescent="0.25">
      <c r="A107" s="2">
        <v>104</v>
      </c>
      <c r="B107" s="2" t="s">
        <v>122</v>
      </c>
      <c r="C107" s="57">
        <v>2022</v>
      </c>
      <c r="D107" s="54" t="s">
        <v>322</v>
      </c>
      <c r="E107" s="54"/>
      <c r="F107" s="2" t="s">
        <v>37</v>
      </c>
      <c r="G107" s="2">
        <f t="shared" si="15"/>
        <v>22</v>
      </c>
      <c r="H107" s="6">
        <f>I107+개인기록Sheet!C107</f>
        <v>16.600000000000001</v>
      </c>
      <c r="I107" s="6">
        <f t="shared" si="11"/>
        <v>12</v>
      </c>
      <c r="J107" s="2" t="s">
        <v>348</v>
      </c>
      <c r="K107" s="2"/>
      <c r="L107" s="2"/>
      <c r="M107" s="2"/>
      <c r="N107" s="2"/>
      <c r="O107" s="2"/>
      <c r="P107" s="2"/>
      <c r="Q107" s="2" t="s">
        <v>348</v>
      </c>
      <c r="R107" s="2"/>
      <c r="S107" s="2" t="s">
        <v>348</v>
      </c>
      <c r="T107" s="2"/>
      <c r="U107" s="2" t="s">
        <v>348</v>
      </c>
      <c r="V107" s="2"/>
      <c r="W107" s="2"/>
      <c r="X107" s="2"/>
      <c r="Y107" s="2" t="s">
        <v>348</v>
      </c>
      <c r="Z107" s="2"/>
      <c r="AA107" s="2"/>
      <c r="AB107" s="2" t="s">
        <v>348</v>
      </c>
      <c r="AC107" s="2" t="s">
        <v>348</v>
      </c>
      <c r="AD107" s="2" t="s">
        <v>348</v>
      </c>
      <c r="AE107" s="2"/>
      <c r="AF107" s="2" t="s">
        <v>348</v>
      </c>
      <c r="AG107" s="2"/>
      <c r="AH107" s="2"/>
      <c r="AI107" s="2"/>
      <c r="AJ107" s="2" t="s">
        <v>348</v>
      </c>
      <c r="AK107" s="2"/>
      <c r="AL107" s="2"/>
      <c r="AM107" s="2" t="s">
        <v>348</v>
      </c>
      <c r="AN107" s="2"/>
      <c r="AO107" s="2"/>
      <c r="AP107" s="2" t="s">
        <v>348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</row>
    <row r="108" spans="1:82" x14ac:dyDescent="0.25">
      <c r="A108" s="2">
        <v>105</v>
      </c>
      <c r="B108" s="2" t="s">
        <v>96</v>
      </c>
      <c r="C108" s="57">
        <v>2021</v>
      </c>
      <c r="D108" s="54">
        <f>COUNTA(AF108:AU108)</f>
        <v>0</v>
      </c>
      <c r="E108" s="54"/>
      <c r="F108" s="2" t="s">
        <v>37</v>
      </c>
      <c r="G108" s="2">
        <f t="shared" si="15"/>
        <v>92</v>
      </c>
      <c r="H108" s="6">
        <f>I108+개인기록Sheet!C108</f>
        <v>0</v>
      </c>
      <c r="I108" s="6">
        <f t="shared" si="11"/>
        <v>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</row>
    <row r="109" spans="1:82" x14ac:dyDescent="0.25">
      <c r="A109" s="2">
        <v>106</v>
      </c>
      <c r="B109" s="2" t="s">
        <v>324</v>
      </c>
      <c r="C109" s="58">
        <v>2025</v>
      </c>
      <c r="D109" s="54" t="s">
        <v>322</v>
      </c>
      <c r="E109" s="54"/>
      <c r="F109" s="2" t="s">
        <v>37</v>
      </c>
      <c r="G109" s="2">
        <f t="shared" si="15"/>
        <v>21</v>
      </c>
      <c r="H109" s="6">
        <f>I109+개인기록Sheet!C109</f>
        <v>17.2</v>
      </c>
      <c r="I109" s="6">
        <f t="shared" si="11"/>
        <v>14</v>
      </c>
      <c r="J109" s="2" t="s">
        <v>348</v>
      </c>
      <c r="K109" s="2"/>
      <c r="L109" s="2"/>
      <c r="M109" s="2"/>
      <c r="N109" s="2" t="s">
        <v>348</v>
      </c>
      <c r="O109" s="2"/>
      <c r="P109" s="2"/>
      <c r="Q109" s="2"/>
      <c r="R109" s="2" t="s">
        <v>348</v>
      </c>
      <c r="S109" s="2"/>
      <c r="T109" s="2" t="s">
        <v>348</v>
      </c>
      <c r="U109" s="2"/>
      <c r="V109" s="2"/>
      <c r="W109" s="2"/>
      <c r="X109" s="2"/>
      <c r="Y109" s="2"/>
      <c r="Z109" s="2" t="s">
        <v>348</v>
      </c>
      <c r="AA109" s="2" t="s">
        <v>348</v>
      </c>
      <c r="AB109" s="2"/>
      <c r="AC109" s="2" t="s">
        <v>348</v>
      </c>
      <c r="AD109" s="2"/>
      <c r="AE109" s="2" t="s">
        <v>348</v>
      </c>
      <c r="AF109" s="2" t="s">
        <v>348</v>
      </c>
      <c r="AG109" s="2" t="s">
        <v>348</v>
      </c>
      <c r="AH109" s="2" t="s">
        <v>348</v>
      </c>
      <c r="AI109" s="2"/>
      <c r="AJ109" s="2" t="s">
        <v>348</v>
      </c>
      <c r="AK109" s="2" t="s">
        <v>348</v>
      </c>
      <c r="AL109" s="2"/>
      <c r="AM109" s="2" t="s">
        <v>348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</row>
    <row r="110" spans="1:82" x14ac:dyDescent="0.25">
      <c r="A110" s="2">
        <v>107</v>
      </c>
      <c r="B110" s="2" t="s">
        <v>195</v>
      </c>
      <c r="C110" s="57">
        <v>2023</v>
      </c>
      <c r="D110" s="54" t="s">
        <v>322</v>
      </c>
      <c r="E110" s="54"/>
      <c r="F110" s="2" t="s">
        <v>37</v>
      </c>
      <c r="G110" s="2">
        <f t="shared" si="15"/>
        <v>27</v>
      </c>
      <c r="H110" s="6">
        <f>I110+개인기록Sheet!C110</f>
        <v>15.2</v>
      </c>
      <c r="I110" s="6">
        <f t="shared" si="11"/>
        <v>13</v>
      </c>
      <c r="J110" s="2" t="s">
        <v>348</v>
      </c>
      <c r="K110" s="2"/>
      <c r="L110" s="2"/>
      <c r="M110" s="2" t="s">
        <v>348</v>
      </c>
      <c r="N110" s="2"/>
      <c r="O110" s="2" t="s">
        <v>348</v>
      </c>
      <c r="P110" s="2"/>
      <c r="Q110" s="2" t="s">
        <v>348</v>
      </c>
      <c r="R110" s="2"/>
      <c r="S110" s="2"/>
      <c r="T110" s="2"/>
      <c r="U110" s="2"/>
      <c r="V110" s="2"/>
      <c r="W110" s="2"/>
      <c r="X110" s="2"/>
      <c r="Y110" s="2"/>
      <c r="Z110" s="2" t="s">
        <v>348</v>
      </c>
      <c r="AA110" s="2"/>
      <c r="AB110" s="2"/>
      <c r="AC110" s="2"/>
      <c r="AD110" s="2"/>
      <c r="AE110" s="2" t="s">
        <v>348</v>
      </c>
      <c r="AF110" s="2" t="s">
        <v>348</v>
      </c>
      <c r="AG110" s="2" t="s">
        <v>348</v>
      </c>
      <c r="AH110" s="2" t="s">
        <v>348</v>
      </c>
      <c r="AI110" s="2"/>
      <c r="AJ110" s="2" t="s">
        <v>348</v>
      </c>
      <c r="AK110" s="2" t="s">
        <v>348</v>
      </c>
      <c r="AL110" s="2"/>
      <c r="AM110" s="2"/>
      <c r="AN110" s="2"/>
      <c r="AO110" s="2"/>
      <c r="AP110" s="2" t="s">
        <v>348</v>
      </c>
      <c r="AQ110" s="2"/>
      <c r="AR110" s="2" t="s">
        <v>348</v>
      </c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</row>
    <row r="111" spans="1:82" x14ac:dyDescent="0.25">
      <c r="A111" s="2">
        <v>108</v>
      </c>
      <c r="B111" s="2" t="s">
        <v>67</v>
      </c>
      <c r="C111" s="57" t="s">
        <v>318</v>
      </c>
      <c r="D111" s="54" t="s">
        <v>322</v>
      </c>
      <c r="E111" s="54"/>
      <c r="F111" s="2" t="s">
        <v>37</v>
      </c>
      <c r="G111" s="2">
        <f t="shared" si="15"/>
        <v>36</v>
      </c>
      <c r="H111" s="6">
        <f>I111+개인기록Sheet!C111</f>
        <v>11.8</v>
      </c>
      <c r="I111" s="6">
        <f t="shared" si="11"/>
        <v>10</v>
      </c>
      <c r="J111" s="2" t="s">
        <v>348</v>
      </c>
      <c r="K111" s="2"/>
      <c r="L111" s="2"/>
      <c r="M111" s="2" t="s">
        <v>348</v>
      </c>
      <c r="N111" s="2"/>
      <c r="O111" s="2"/>
      <c r="P111" s="2"/>
      <c r="Q111" s="2" t="s">
        <v>348</v>
      </c>
      <c r="R111" s="2" t="s">
        <v>348</v>
      </c>
      <c r="S111" s="2" t="s">
        <v>348</v>
      </c>
      <c r="T111" s="2"/>
      <c r="U111" s="2"/>
      <c r="V111" s="2"/>
      <c r="W111" s="2"/>
      <c r="X111" s="2" t="s">
        <v>348</v>
      </c>
      <c r="Y111" s="2" t="s">
        <v>348</v>
      </c>
      <c r="Z111" s="2" t="s">
        <v>348</v>
      </c>
      <c r="AA111" s="2" t="s">
        <v>348</v>
      </c>
      <c r="AB111" s="2"/>
      <c r="AC111" s="2"/>
      <c r="AD111" s="2"/>
      <c r="AE111" s="2"/>
      <c r="AF111" s="2" t="s">
        <v>348</v>
      </c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</row>
    <row r="112" spans="1:82" x14ac:dyDescent="0.25">
      <c r="A112" s="2">
        <v>109</v>
      </c>
      <c r="B112" s="2" t="s">
        <v>306</v>
      </c>
      <c r="C112" s="58">
        <v>2025</v>
      </c>
      <c r="D112" s="54" t="s">
        <v>322</v>
      </c>
      <c r="E112" s="54"/>
      <c r="F112" s="2" t="s">
        <v>37</v>
      </c>
      <c r="G112" s="2">
        <f t="shared" si="15"/>
        <v>46</v>
      </c>
      <c r="H112" s="6">
        <f>I112+개인기록Sheet!C112</f>
        <v>8.6</v>
      </c>
      <c r="I112" s="6">
        <f t="shared" si="11"/>
        <v>6</v>
      </c>
      <c r="J112" s="2" t="s">
        <v>348</v>
      </c>
      <c r="K112" s="2" t="s">
        <v>348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 t="s">
        <v>348</v>
      </c>
      <c r="AB112" s="2"/>
      <c r="AC112" s="2"/>
      <c r="AD112" s="2"/>
      <c r="AE112" s="2"/>
      <c r="AF112" s="2"/>
      <c r="AG112" s="2"/>
      <c r="AH112" s="2"/>
      <c r="AI112" s="2" t="s">
        <v>348</v>
      </c>
      <c r="AJ112" s="2" t="s">
        <v>348</v>
      </c>
      <c r="AK112" s="2"/>
      <c r="AL112" s="2" t="s">
        <v>348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</row>
    <row r="113" spans="1:82" x14ac:dyDescent="0.25">
      <c r="A113" s="2">
        <v>110</v>
      </c>
      <c r="B113" s="2" t="s">
        <v>113</v>
      </c>
      <c r="C113" s="57">
        <v>2022</v>
      </c>
      <c r="D113" s="54" t="s">
        <v>322</v>
      </c>
      <c r="E113" s="54"/>
      <c r="F113" s="2" t="s">
        <v>37</v>
      </c>
      <c r="G113" s="2">
        <f t="shared" si="15"/>
        <v>52</v>
      </c>
      <c r="H113" s="6">
        <f>I113+개인기록Sheet!C113</f>
        <v>7.6</v>
      </c>
      <c r="I113" s="6">
        <f t="shared" si="11"/>
        <v>6</v>
      </c>
      <c r="J113" s="2"/>
      <c r="K113" s="2"/>
      <c r="L113" s="2"/>
      <c r="M113" s="2"/>
      <c r="N113" s="2"/>
      <c r="O113" s="2"/>
      <c r="P113" s="2"/>
      <c r="Q113" s="2"/>
      <c r="R113" s="2"/>
      <c r="S113" s="2" t="s">
        <v>348</v>
      </c>
      <c r="T113" s="2"/>
      <c r="U113" s="2"/>
      <c r="V113" s="2"/>
      <c r="W113" s="2"/>
      <c r="X113" s="2"/>
      <c r="Y113" s="2" t="s">
        <v>348</v>
      </c>
      <c r="Z113" s="2" t="s">
        <v>348</v>
      </c>
      <c r="AA113" s="2"/>
      <c r="AB113" s="2"/>
      <c r="AC113" s="2"/>
      <c r="AD113" s="2"/>
      <c r="AE113" s="2"/>
      <c r="AF113" s="2"/>
      <c r="AG113" s="2"/>
      <c r="AH113" s="2"/>
      <c r="AI113" s="2" t="s">
        <v>348</v>
      </c>
      <c r="AJ113" s="2" t="s">
        <v>348</v>
      </c>
      <c r="AK113" s="2"/>
      <c r="AL113" s="2"/>
      <c r="AM113" s="2"/>
      <c r="AN113" s="2"/>
      <c r="AO113" s="2" t="s">
        <v>439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</row>
    <row r="114" spans="1:82" x14ac:dyDescent="0.25">
      <c r="A114" s="2">
        <v>111</v>
      </c>
      <c r="B114" s="2" t="s">
        <v>296</v>
      </c>
      <c r="C114" s="58">
        <v>2024</v>
      </c>
      <c r="D114" s="54" t="s">
        <v>322</v>
      </c>
      <c r="E114" s="54"/>
      <c r="F114" s="2" t="s">
        <v>37</v>
      </c>
      <c r="G114" s="2">
        <f t="shared" si="15"/>
        <v>80</v>
      </c>
      <c r="H114" s="6">
        <f>I114+개인기록Sheet!C114</f>
        <v>2.2000000000000002</v>
      </c>
      <c r="I114" s="6">
        <f t="shared" si="11"/>
        <v>2</v>
      </c>
      <c r="J114" s="2"/>
      <c r="K114" s="2"/>
      <c r="L114" s="2" t="s">
        <v>348</v>
      </c>
      <c r="M114" s="2"/>
      <c r="N114" s="2" t="s">
        <v>348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</row>
    <row r="115" spans="1:82" x14ac:dyDescent="0.25">
      <c r="A115" s="2">
        <v>112</v>
      </c>
      <c r="B115" s="2" t="s">
        <v>370</v>
      </c>
      <c r="C115" s="58">
        <v>2026</v>
      </c>
      <c r="D115" s="54" t="s">
        <v>390</v>
      </c>
      <c r="E115" s="54"/>
      <c r="F115" s="2" t="s">
        <v>37</v>
      </c>
      <c r="G115" s="2">
        <f t="shared" si="15"/>
        <v>53</v>
      </c>
      <c r="H115" s="6">
        <f>I115+개인기록Sheet!C115</f>
        <v>7.5</v>
      </c>
      <c r="I115" s="6">
        <f t="shared" si="11"/>
        <v>5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348</v>
      </c>
      <c r="V115" s="2" t="s">
        <v>348</v>
      </c>
      <c r="W115" s="2" t="s">
        <v>348</v>
      </c>
      <c r="X115" s="2" t="s">
        <v>348</v>
      </c>
      <c r="Y115" s="2" t="s">
        <v>348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</row>
    <row r="116" spans="1:82" x14ac:dyDescent="0.25">
      <c r="A116" s="2">
        <v>113</v>
      </c>
      <c r="B116" s="2" t="s">
        <v>124</v>
      </c>
      <c r="C116" s="57">
        <v>2023</v>
      </c>
      <c r="D116" s="54" t="s">
        <v>322</v>
      </c>
      <c r="E116" s="54"/>
      <c r="F116" s="2" t="s">
        <v>37</v>
      </c>
      <c r="G116" s="2">
        <f t="shared" si="15"/>
        <v>26</v>
      </c>
      <c r="H116" s="6">
        <f>I116+개인기록Sheet!C116</f>
        <v>15.8</v>
      </c>
      <c r="I116" s="6">
        <f t="shared" si="11"/>
        <v>12</v>
      </c>
      <c r="J116" s="2"/>
      <c r="K116" s="2"/>
      <c r="L116" s="2" t="s">
        <v>348</v>
      </c>
      <c r="M116" s="2"/>
      <c r="N116" s="2" t="s">
        <v>348</v>
      </c>
      <c r="O116" s="2"/>
      <c r="P116" s="2"/>
      <c r="Q116" s="2"/>
      <c r="R116" s="2"/>
      <c r="S116" s="2"/>
      <c r="T116" s="2"/>
      <c r="U116" s="2" t="s">
        <v>348</v>
      </c>
      <c r="V116" s="2"/>
      <c r="W116" s="2"/>
      <c r="X116" s="2"/>
      <c r="Y116" s="2"/>
      <c r="Z116" s="2"/>
      <c r="AA116" s="2"/>
      <c r="AB116" s="2" t="s">
        <v>348</v>
      </c>
      <c r="AC116" s="2" t="s">
        <v>348</v>
      </c>
      <c r="AD116" s="2" t="s">
        <v>348</v>
      </c>
      <c r="AE116" s="2"/>
      <c r="AF116" s="2"/>
      <c r="AG116" s="2" t="s">
        <v>348</v>
      </c>
      <c r="AH116" s="2"/>
      <c r="AI116" s="2" t="s">
        <v>348</v>
      </c>
      <c r="AJ116" s="2" t="s">
        <v>348</v>
      </c>
      <c r="AK116" s="2" t="s">
        <v>348</v>
      </c>
      <c r="AL116" s="2"/>
      <c r="AM116" s="2" t="s">
        <v>348</v>
      </c>
      <c r="AN116" s="2" t="s">
        <v>348</v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</row>
    <row r="117" spans="1:82" x14ac:dyDescent="0.25">
      <c r="A117" s="2">
        <v>114</v>
      </c>
      <c r="B117" s="2" t="s">
        <v>131</v>
      </c>
      <c r="C117" s="57">
        <v>2023</v>
      </c>
      <c r="D117" s="54" t="s">
        <v>349</v>
      </c>
      <c r="E117" s="54"/>
      <c r="F117" s="2" t="s">
        <v>37</v>
      </c>
      <c r="G117" s="2">
        <f t="shared" si="15"/>
        <v>83</v>
      </c>
      <c r="H117" s="6">
        <f>I117+개인기록Sheet!C117</f>
        <v>1.4</v>
      </c>
      <c r="I117" s="6">
        <f t="shared" si="11"/>
        <v>1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 t="s">
        <v>348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</row>
    <row r="118" spans="1:82" x14ac:dyDescent="0.25">
      <c r="A118" s="2">
        <v>115</v>
      </c>
      <c r="B118" s="2" t="s">
        <v>315</v>
      </c>
      <c r="C118" s="58">
        <v>2025</v>
      </c>
      <c r="D118" s="54">
        <f>COUNTA(AF118:AU118)</f>
        <v>1</v>
      </c>
      <c r="E118" s="54"/>
      <c r="F118" s="2" t="s">
        <v>37</v>
      </c>
      <c r="G118" s="2">
        <f t="shared" si="15"/>
        <v>73</v>
      </c>
      <c r="H118" s="6">
        <f>I118+개인기록Sheet!C118</f>
        <v>3.4</v>
      </c>
      <c r="I118" s="6">
        <f t="shared" si="11"/>
        <v>3</v>
      </c>
      <c r="J118" s="2"/>
      <c r="K118" s="2"/>
      <c r="L118" s="2"/>
      <c r="M118" s="2"/>
      <c r="N118" s="2"/>
      <c r="O118" s="2"/>
      <c r="P118" s="2"/>
      <c r="Q118" s="2" t="s">
        <v>348</v>
      </c>
      <c r="R118" s="2"/>
      <c r="S118" s="2"/>
      <c r="T118" s="2"/>
      <c r="U118" s="2"/>
      <c r="V118" s="2"/>
      <c r="W118" s="2"/>
      <c r="X118" s="2"/>
      <c r="Y118" s="2"/>
      <c r="Z118" s="2"/>
      <c r="AA118" s="2" t="s">
        <v>348</v>
      </c>
      <c r="AB118" s="2"/>
      <c r="AC118" s="2"/>
      <c r="AD118" s="2"/>
      <c r="AE118" s="2"/>
      <c r="AF118" s="2" t="s">
        <v>348</v>
      </c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</row>
    <row r="119" spans="1:82" x14ac:dyDescent="0.25">
      <c r="A119" s="2">
        <v>116</v>
      </c>
      <c r="B119" s="2" t="s">
        <v>32</v>
      </c>
      <c r="C119" s="57" t="s">
        <v>318</v>
      </c>
      <c r="D119" s="54" t="s">
        <v>322</v>
      </c>
      <c r="E119" s="54"/>
      <c r="F119" s="2" t="s">
        <v>37</v>
      </c>
      <c r="G119" s="2">
        <f t="shared" si="15"/>
        <v>92</v>
      </c>
      <c r="H119" s="6">
        <f>I119+개인기록Sheet!C119</f>
        <v>0</v>
      </c>
      <c r="I119" s="6">
        <f t="shared" si="11"/>
        <v>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</row>
    <row r="120" spans="1:82" x14ac:dyDescent="0.25">
      <c r="A120" s="2">
        <v>117</v>
      </c>
      <c r="B120" s="2" t="s">
        <v>240</v>
      </c>
      <c r="C120" s="58">
        <v>2024</v>
      </c>
      <c r="D120" s="54">
        <f>COUNTA(AF120:AU120)</f>
        <v>1</v>
      </c>
      <c r="E120" s="54"/>
      <c r="F120" s="2" t="s">
        <v>37</v>
      </c>
      <c r="G120" s="2">
        <f t="shared" si="15"/>
        <v>84</v>
      </c>
      <c r="H120" s="6">
        <f>I120+개인기록Sheet!C120</f>
        <v>1.2</v>
      </c>
      <c r="I120" s="6">
        <f t="shared" si="11"/>
        <v>1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 t="s">
        <v>348</v>
      </c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</row>
    <row r="121" spans="1:82" x14ac:dyDescent="0.25">
      <c r="A121" s="2">
        <v>118</v>
      </c>
      <c r="B121" s="2" t="s">
        <v>42</v>
      </c>
      <c r="C121" s="57" t="s">
        <v>318</v>
      </c>
      <c r="D121" s="54" t="s">
        <v>322</v>
      </c>
      <c r="E121" s="54"/>
      <c r="F121" s="2" t="s">
        <v>37</v>
      </c>
      <c r="G121" s="2">
        <f t="shared" si="15"/>
        <v>28</v>
      </c>
      <c r="H121" s="6">
        <f>I121+개인기록Sheet!C121</f>
        <v>14.8</v>
      </c>
      <c r="I121" s="6">
        <f t="shared" si="11"/>
        <v>10</v>
      </c>
      <c r="J121" s="2"/>
      <c r="K121" s="2" t="s">
        <v>348</v>
      </c>
      <c r="L121" s="2"/>
      <c r="M121" s="2"/>
      <c r="N121" s="2"/>
      <c r="O121" s="2"/>
      <c r="P121" s="2"/>
      <c r="Q121" s="2" t="s">
        <v>348</v>
      </c>
      <c r="R121" s="2"/>
      <c r="S121" s="2" t="s">
        <v>348</v>
      </c>
      <c r="T121" s="2"/>
      <c r="U121" s="2"/>
      <c r="V121" s="2"/>
      <c r="W121" s="2"/>
      <c r="X121" s="2"/>
      <c r="Y121" s="2"/>
      <c r="Z121" s="2" t="s">
        <v>348</v>
      </c>
      <c r="AA121" s="2"/>
      <c r="AB121" s="2"/>
      <c r="AC121" s="2" t="s">
        <v>348</v>
      </c>
      <c r="AD121" s="2"/>
      <c r="AE121" s="2"/>
      <c r="AF121" s="2" t="s">
        <v>348</v>
      </c>
      <c r="AG121" s="2"/>
      <c r="AH121" s="2"/>
      <c r="AI121" s="2" t="s">
        <v>348</v>
      </c>
      <c r="AJ121" s="2"/>
      <c r="AK121" s="2"/>
      <c r="AL121" s="2"/>
      <c r="AM121" s="2" t="s">
        <v>348</v>
      </c>
      <c r="AN121" s="2"/>
      <c r="AO121" s="2"/>
      <c r="AP121" s="2" t="s">
        <v>348</v>
      </c>
      <c r="AQ121" s="2"/>
      <c r="AR121" s="2"/>
      <c r="AS121" s="2" t="s">
        <v>348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</row>
    <row r="122" spans="1:82" x14ac:dyDescent="0.25">
      <c r="A122" s="2">
        <v>119</v>
      </c>
      <c r="B122" s="2" t="s">
        <v>408</v>
      </c>
      <c r="C122" s="58">
        <v>2026</v>
      </c>
      <c r="D122" s="54">
        <f>COUNTA(AF122:AU122)</f>
        <v>5</v>
      </c>
      <c r="E122" s="54"/>
      <c r="F122" s="2" t="s">
        <v>37</v>
      </c>
      <c r="G122" s="2">
        <f t="shared" si="15"/>
        <v>56</v>
      </c>
      <c r="H122" s="6">
        <f>I122+개인기록Sheet!C122</f>
        <v>6.6</v>
      </c>
      <c r="I122" s="6">
        <f t="shared" si="11"/>
        <v>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 t="s">
        <v>348</v>
      </c>
      <c r="AJ122" s="2"/>
      <c r="AK122" s="2"/>
      <c r="AL122" s="2" t="s">
        <v>348</v>
      </c>
      <c r="AM122" s="2"/>
      <c r="AN122" s="2"/>
      <c r="AO122" s="2"/>
      <c r="AP122" s="2"/>
      <c r="AQ122" s="2" t="s">
        <v>348</v>
      </c>
      <c r="AR122" s="2" t="s">
        <v>348</v>
      </c>
      <c r="AS122" s="2" t="s">
        <v>348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</row>
  </sheetData>
  <phoneticPr fontId="2" type="noConversion"/>
  <conditionalFormatting sqref="D4:E122">
    <cfRule type="containsText" dxfId="13" priority="1" operator="containsText" text="지급">
      <formula>NOT(ISERROR(SEARCH("지급",D4)))</formula>
    </cfRule>
  </conditionalFormatting>
  <conditionalFormatting sqref="G4:G122">
    <cfRule type="top10" dxfId="12" priority="969" bottom="1" rank="10"/>
  </conditionalFormatting>
  <conditionalFormatting sqref="H4:H122">
    <cfRule type="top10" dxfId="11" priority="971" rank="10"/>
  </conditionalFormatting>
  <conditionalFormatting sqref="I4:I122">
    <cfRule type="top10" dxfId="10" priority="973" rank="10"/>
  </conditionalFormatting>
  <pageMargins left="0.39347222447395325" right="0.39347222447395325" top="0.19666667282581329" bottom="0.19666667282581329" header="0.19666667282581329" footer="0.19666667282581329"/>
  <pageSetup paperSize="9" scale="9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V340"/>
  <sheetViews>
    <sheetView topLeftCell="A322" zoomScaleNormal="125" workbookViewId="0">
      <selection activeCell="Q338" sqref="Q338"/>
    </sheetView>
  </sheetViews>
  <sheetFormatPr defaultColWidth="8.8984375" defaultRowHeight="15.6" x14ac:dyDescent="0.25"/>
  <cols>
    <col min="1" max="1" width="4.8984375" style="1" bestFit="1" customWidth="1"/>
    <col min="2" max="2" width="5.69921875" style="1" bestFit="1" customWidth="1"/>
    <col min="3" max="4" width="8.8984375" style="1" customWidth="1"/>
    <col min="5" max="22" width="6.5" style="1" customWidth="1"/>
  </cols>
  <sheetData>
    <row r="2" spans="2:22" x14ac:dyDescent="0.25">
      <c r="B2" s="11">
        <v>46094</v>
      </c>
      <c r="C2" s="10" t="s">
        <v>127</v>
      </c>
      <c r="D2" s="10" t="s">
        <v>128</v>
      </c>
      <c r="E2" s="77" t="s">
        <v>82</v>
      </c>
      <c r="F2" s="77"/>
      <c r="G2" s="77"/>
      <c r="H2" s="77"/>
      <c r="I2" s="78" t="s">
        <v>85</v>
      </c>
      <c r="J2" s="78"/>
      <c r="K2" s="78"/>
      <c r="L2" s="78"/>
      <c r="M2" s="79" t="s">
        <v>84</v>
      </c>
      <c r="N2" s="79"/>
      <c r="O2" s="79"/>
      <c r="P2" s="79"/>
      <c r="Q2" s="80" t="s">
        <v>78</v>
      </c>
      <c r="R2" s="80"/>
      <c r="S2" s="80"/>
      <c r="T2" s="80"/>
      <c r="U2" s="80"/>
      <c r="V2" s="80"/>
    </row>
    <row r="3" spans="2:22" x14ac:dyDescent="0.25">
      <c r="B3" s="73" t="s">
        <v>65</v>
      </c>
      <c r="C3" s="75">
        <v>3</v>
      </c>
      <c r="D3" s="75">
        <v>0</v>
      </c>
      <c r="E3" s="7" t="s">
        <v>109</v>
      </c>
      <c r="F3" s="7" t="s">
        <v>310</v>
      </c>
      <c r="G3" s="7" t="s">
        <v>174</v>
      </c>
      <c r="H3" s="7"/>
      <c r="I3" s="8" t="s">
        <v>110</v>
      </c>
      <c r="J3" s="8" t="s">
        <v>103</v>
      </c>
      <c r="K3" s="8" t="s">
        <v>310</v>
      </c>
      <c r="L3" s="8"/>
      <c r="M3" s="20" t="s">
        <v>103</v>
      </c>
      <c r="N3" s="20" t="s">
        <v>110</v>
      </c>
      <c r="O3" s="20" t="s">
        <v>109</v>
      </c>
      <c r="P3" s="20"/>
      <c r="Q3" s="9" t="s">
        <v>297</v>
      </c>
      <c r="R3" s="9" t="s">
        <v>201</v>
      </c>
      <c r="S3" s="9" t="s">
        <v>202</v>
      </c>
      <c r="T3" s="9" t="s">
        <v>351</v>
      </c>
      <c r="U3" s="9"/>
      <c r="V3" s="13" t="s">
        <v>107</v>
      </c>
    </row>
    <row r="4" spans="2:22" x14ac:dyDescent="0.25">
      <c r="B4" s="74"/>
      <c r="C4" s="76"/>
      <c r="D4" s="76"/>
      <c r="E4" s="7"/>
      <c r="F4" s="7"/>
      <c r="G4" s="7"/>
      <c r="H4" s="7"/>
      <c r="I4" s="8"/>
      <c r="J4" s="8"/>
      <c r="K4" s="8"/>
      <c r="L4" s="8"/>
      <c r="M4" s="20"/>
      <c r="N4" s="20"/>
      <c r="O4" s="20"/>
      <c r="P4" s="20"/>
      <c r="Q4" s="9"/>
      <c r="R4" s="9"/>
      <c r="S4" s="9"/>
      <c r="T4" s="9"/>
      <c r="U4" s="9"/>
      <c r="V4" s="13"/>
    </row>
    <row r="5" spans="2:22" x14ac:dyDescent="0.25">
      <c r="B5" s="73" t="s">
        <v>71</v>
      </c>
      <c r="C5" s="75">
        <v>1</v>
      </c>
      <c r="D5" s="75">
        <v>0</v>
      </c>
      <c r="E5" s="7" t="s">
        <v>324</v>
      </c>
      <c r="F5" s="7"/>
      <c r="G5" s="7"/>
      <c r="H5" s="7"/>
      <c r="I5" s="8" t="s">
        <v>311</v>
      </c>
      <c r="J5" s="8"/>
      <c r="K5" s="8"/>
      <c r="L5" s="8"/>
      <c r="M5" s="20" t="s">
        <v>107</v>
      </c>
      <c r="N5" s="20" t="s">
        <v>236</v>
      </c>
      <c r="O5" s="20" t="s">
        <v>203</v>
      </c>
      <c r="P5" s="20"/>
      <c r="Q5" s="9" t="s">
        <v>181</v>
      </c>
      <c r="R5" s="9" t="s">
        <v>136</v>
      </c>
      <c r="S5" s="9" t="s">
        <v>124</v>
      </c>
      <c r="T5" s="9" t="s">
        <v>324</v>
      </c>
      <c r="U5" s="9"/>
      <c r="V5" s="13" t="s">
        <v>174</v>
      </c>
    </row>
    <row r="6" spans="2:22" x14ac:dyDescent="0.25">
      <c r="B6" s="74"/>
      <c r="C6" s="76"/>
      <c r="D6" s="76"/>
      <c r="E6" s="7"/>
      <c r="F6" s="7"/>
      <c r="G6" s="7"/>
      <c r="H6" s="7"/>
      <c r="I6" s="8"/>
      <c r="J6" s="8"/>
      <c r="K6" s="8"/>
      <c r="L6" s="8"/>
      <c r="M6" s="20"/>
      <c r="N6" s="20"/>
      <c r="O6" s="20"/>
      <c r="P6" s="20"/>
      <c r="Q6" s="9"/>
      <c r="R6" s="9"/>
      <c r="S6" s="9"/>
      <c r="T6" s="9"/>
      <c r="U6" s="9"/>
      <c r="V6" s="13"/>
    </row>
    <row r="7" spans="2:22" x14ac:dyDescent="0.25">
      <c r="B7" s="73" t="s">
        <v>73</v>
      </c>
      <c r="C7" s="75">
        <v>2</v>
      </c>
      <c r="D7" s="75">
        <v>0</v>
      </c>
      <c r="E7" s="7" t="s">
        <v>178</v>
      </c>
      <c r="F7" s="7" t="s">
        <v>109</v>
      </c>
      <c r="G7" s="7"/>
      <c r="H7" s="7"/>
      <c r="I7" s="8" t="s">
        <v>181</v>
      </c>
      <c r="J7" s="8" t="s">
        <v>110</v>
      </c>
      <c r="K7" s="8"/>
      <c r="L7" s="8"/>
      <c r="M7" s="20" t="s">
        <v>110</v>
      </c>
      <c r="N7" s="20" t="s">
        <v>109</v>
      </c>
      <c r="O7" s="20" t="s">
        <v>103</v>
      </c>
      <c r="P7" s="20"/>
      <c r="Q7" s="9" t="s">
        <v>297</v>
      </c>
      <c r="R7" s="9" t="s">
        <v>178</v>
      </c>
      <c r="S7" s="9" t="s">
        <v>181</v>
      </c>
      <c r="T7" s="9" t="s">
        <v>296</v>
      </c>
      <c r="U7" s="9"/>
      <c r="V7" s="13" t="s">
        <v>174</v>
      </c>
    </row>
    <row r="8" spans="2:22" x14ac:dyDescent="0.25">
      <c r="B8" s="74"/>
      <c r="C8" s="76"/>
      <c r="D8" s="76"/>
      <c r="E8" s="7"/>
      <c r="F8" s="7"/>
      <c r="G8" s="7"/>
      <c r="H8" s="7"/>
      <c r="I8" s="8"/>
      <c r="J8" s="8"/>
      <c r="K8" s="8"/>
      <c r="L8" s="8"/>
      <c r="M8" s="20"/>
      <c r="N8" s="20"/>
      <c r="O8" s="20"/>
      <c r="P8" s="20"/>
      <c r="Q8" s="9"/>
      <c r="R8" s="9"/>
      <c r="S8" s="9"/>
      <c r="T8" s="9"/>
      <c r="U8" s="9"/>
      <c r="V8" s="13"/>
    </row>
    <row r="9" spans="2:22" x14ac:dyDescent="0.25">
      <c r="B9" s="73" t="s">
        <v>41</v>
      </c>
      <c r="C9" s="75">
        <v>2</v>
      </c>
      <c r="D9" s="75">
        <v>0</v>
      </c>
      <c r="E9" s="7" t="s">
        <v>174</v>
      </c>
      <c r="F9" s="7" t="s">
        <v>201</v>
      </c>
      <c r="G9" s="7"/>
      <c r="H9" s="7"/>
      <c r="I9" s="8" t="s">
        <v>201</v>
      </c>
      <c r="J9" s="8" t="s">
        <v>203</v>
      </c>
      <c r="K9" s="8"/>
      <c r="L9" s="8"/>
      <c r="M9" s="20" t="s">
        <v>107</v>
      </c>
      <c r="N9" s="20" t="s">
        <v>201</v>
      </c>
      <c r="O9" s="20" t="s">
        <v>203</v>
      </c>
      <c r="P9" s="20"/>
      <c r="Q9" s="9" t="s">
        <v>324</v>
      </c>
      <c r="R9" s="9" t="s">
        <v>136</v>
      </c>
      <c r="S9" s="9" t="s">
        <v>124</v>
      </c>
      <c r="T9" s="9" t="s">
        <v>351</v>
      </c>
      <c r="U9" s="9"/>
      <c r="V9" s="13" t="s">
        <v>297</v>
      </c>
    </row>
    <row r="10" spans="2:22" x14ac:dyDescent="0.25">
      <c r="B10" s="74"/>
      <c r="C10" s="76"/>
      <c r="D10" s="76"/>
      <c r="E10" s="7"/>
      <c r="F10" s="7"/>
      <c r="G10" s="7"/>
      <c r="H10" s="7"/>
      <c r="I10" s="8"/>
      <c r="J10" s="8"/>
      <c r="K10" s="8"/>
      <c r="L10" s="8"/>
      <c r="M10" s="20"/>
      <c r="N10" s="20"/>
      <c r="O10" s="20"/>
      <c r="P10" s="20"/>
      <c r="Q10" s="9"/>
      <c r="R10" s="9"/>
      <c r="S10" s="9"/>
      <c r="T10" s="9"/>
      <c r="U10" s="9"/>
      <c r="V10" s="13"/>
    </row>
    <row r="11" spans="2:22" x14ac:dyDescent="0.25">
      <c r="B11" s="2" t="s">
        <v>89</v>
      </c>
      <c r="C11" s="2">
        <f>SUM(C3:C10)</f>
        <v>8</v>
      </c>
      <c r="D11" s="2">
        <f>SUM(D3:D10)</f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3" spans="2:22" x14ac:dyDescent="0.25">
      <c r="B13" s="11">
        <v>46097</v>
      </c>
      <c r="C13" s="10" t="s">
        <v>354</v>
      </c>
      <c r="D13" s="10" t="s">
        <v>355</v>
      </c>
      <c r="E13" s="77" t="s">
        <v>82</v>
      </c>
      <c r="F13" s="77"/>
      <c r="G13" s="77"/>
      <c r="H13" s="77"/>
      <c r="I13" s="78" t="s">
        <v>85</v>
      </c>
      <c r="J13" s="78"/>
      <c r="K13" s="78"/>
      <c r="L13" s="78"/>
      <c r="M13" s="79" t="s">
        <v>84</v>
      </c>
      <c r="N13" s="79"/>
      <c r="O13" s="79"/>
      <c r="P13" s="79"/>
      <c r="Q13" s="80" t="s">
        <v>78</v>
      </c>
      <c r="R13" s="80"/>
      <c r="S13" s="80"/>
      <c r="T13" s="80"/>
      <c r="U13" s="80"/>
      <c r="V13" s="80"/>
    </row>
    <row r="14" spans="2:22" x14ac:dyDescent="0.25">
      <c r="B14" s="73" t="s">
        <v>65</v>
      </c>
      <c r="C14" s="75">
        <v>1</v>
      </c>
      <c r="D14" s="75">
        <v>2</v>
      </c>
      <c r="E14" s="7" t="s">
        <v>347</v>
      </c>
      <c r="F14" s="7"/>
      <c r="G14" s="7"/>
      <c r="H14" s="7"/>
      <c r="I14" s="8"/>
      <c r="J14" s="8"/>
      <c r="K14" s="8"/>
      <c r="L14" s="8"/>
      <c r="M14" s="20"/>
      <c r="N14" s="20"/>
      <c r="O14" s="20"/>
      <c r="P14" s="20"/>
      <c r="Q14" s="9"/>
      <c r="R14" s="9"/>
      <c r="S14" s="9"/>
      <c r="T14" s="9"/>
      <c r="U14" s="9"/>
      <c r="V14" s="13"/>
    </row>
    <row r="15" spans="2:22" x14ac:dyDescent="0.25">
      <c r="B15" s="74"/>
      <c r="C15" s="76"/>
      <c r="D15" s="76"/>
      <c r="E15" s="7"/>
      <c r="F15" s="7"/>
      <c r="G15" s="7"/>
      <c r="H15" s="7"/>
      <c r="I15" s="8"/>
      <c r="J15" s="8"/>
      <c r="K15" s="8"/>
      <c r="L15" s="8"/>
      <c r="M15" s="20"/>
      <c r="N15" s="20"/>
      <c r="O15" s="20"/>
      <c r="P15" s="20"/>
      <c r="Q15" s="9"/>
      <c r="R15" s="9"/>
      <c r="S15" s="9"/>
      <c r="T15" s="9"/>
      <c r="U15" s="9"/>
      <c r="V15" s="13"/>
    </row>
    <row r="16" spans="2:22" x14ac:dyDescent="0.25">
      <c r="B16" s="73" t="s">
        <v>71</v>
      </c>
      <c r="C16" s="75">
        <v>0</v>
      </c>
      <c r="D16" s="75">
        <v>1</v>
      </c>
      <c r="E16" s="7"/>
      <c r="F16" s="7"/>
      <c r="G16" s="7"/>
      <c r="H16" s="7"/>
      <c r="I16" s="8"/>
      <c r="J16" s="8"/>
      <c r="K16" s="8"/>
      <c r="L16" s="8"/>
      <c r="M16" s="20"/>
      <c r="N16" s="20"/>
      <c r="O16" s="20"/>
      <c r="P16" s="20"/>
      <c r="Q16" s="9"/>
      <c r="R16" s="9"/>
      <c r="S16" s="9"/>
      <c r="T16" s="9"/>
      <c r="U16" s="9"/>
      <c r="V16" s="13"/>
    </row>
    <row r="17" spans="2:22" x14ac:dyDescent="0.25">
      <c r="B17" s="74"/>
      <c r="C17" s="76"/>
      <c r="D17" s="76"/>
      <c r="E17" s="7"/>
      <c r="F17" s="7"/>
      <c r="G17" s="7"/>
      <c r="H17" s="7"/>
      <c r="I17" s="8"/>
      <c r="J17" s="8"/>
      <c r="K17" s="8"/>
      <c r="L17" s="8"/>
      <c r="M17" s="20"/>
      <c r="N17" s="20"/>
      <c r="O17" s="20"/>
      <c r="P17" s="20"/>
      <c r="Q17" s="9"/>
      <c r="R17" s="9"/>
      <c r="S17" s="9"/>
      <c r="T17" s="9"/>
      <c r="U17" s="9"/>
      <c r="V17" s="13"/>
    </row>
    <row r="18" spans="2:22" x14ac:dyDescent="0.25">
      <c r="B18" s="73" t="s">
        <v>73</v>
      </c>
      <c r="C18" s="75">
        <v>2</v>
      </c>
      <c r="D18" s="75">
        <v>0</v>
      </c>
      <c r="E18" s="7" t="s">
        <v>347</v>
      </c>
      <c r="F18" s="7" t="s">
        <v>135</v>
      </c>
      <c r="G18" s="7"/>
      <c r="H18" s="7"/>
      <c r="I18" s="8" t="s">
        <v>105</v>
      </c>
      <c r="J18" s="8" t="s">
        <v>346</v>
      </c>
      <c r="K18" s="8"/>
      <c r="L18" s="8"/>
      <c r="M18" s="20" t="s">
        <v>307</v>
      </c>
      <c r="N18" s="20" t="s">
        <v>347</v>
      </c>
      <c r="O18" s="20"/>
      <c r="P18" s="20"/>
      <c r="Q18" s="9" t="s">
        <v>136</v>
      </c>
      <c r="R18" s="9" t="s">
        <v>201</v>
      </c>
      <c r="S18" s="9" t="s">
        <v>135</v>
      </c>
      <c r="T18" s="9" t="s">
        <v>202</v>
      </c>
      <c r="U18" s="9"/>
      <c r="V18" s="13" t="s">
        <v>181</v>
      </c>
    </row>
    <row r="19" spans="2:22" x14ac:dyDescent="0.25">
      <c r="B19" s="74"/>
      <c r="C19" s="76"/>
      <c r="D19" s="76"/>
      <c r="E19" s="7"/>
      <c r="F19" s="7"/>
      <c r="G19" s="7"/>
      <c r="H19" s="7"/>
      <c r="I19" s="8"/>
      <c r="J19" s="8"/>
      <c r="K19" s="8"/>
      <c r="L19" s="8"/>
      <c r="M19" s="20"/>
      <c r="N19" s="20"/>
      <c r="O19" s="20"/>
      <c r="P19" s="20"/>
      <c r="Q19" s="9"/>
      <c r="R19" s="9"/>
      <c r="S19" s="9"/>
      <c r="T19" s="9"/>
      <c r="U19" s="9"/>
      <c r="V19" s="13"/>
    </row>
    <row r="20" spans="2:22" x14ac:dyDescent="0.25">
      <c r="B20" s="73" t="s">
        <v>41</v>
      </c>
      <c r="C20" s="75">
        <v>2</v>
      </c>
      <c r="D20" s="75">
        <v>0</v>
      </c>
      <c r="E20" s="7" t="s">
        <v>311</v>
      </c>
      <c r="F20" s="7" t="s">
        <v>340</v>
      </c>
      <c r="G20" s="7"/>
      <c r="H20" s="7"/>
      <c r="I20" s="8"/>
      <c r="J20" s="8" t="s">
        <v>311</v>
      </c>
      <c r="K20" s="8"/>
      <c r="L20" s="8"/>
      <c r="M20" s="20" t="s">
        <v>201</v>
      </c>
      <c r="N20" s="20" t="s">
        <v>307</v>
      </c>
      <c r="O20" s="20"/>
      <c r="P20" s="20"/>
      <c r="Q20" s="9" t="s">
        <v>136</v>
      </c>
      <c r="R20" s="9" t="s">
        <v>202</v>
      </c>
      <c r="S20" s="9" t="s">
        <v>135</v>
      </c>
      <c r="T20" s="9"/>
      <c r="U20" s="9"/>
      <c r="V20" s="13" t="s">
        <v>181</v>
      </c>
    </row>
    <row r="21" spans="2:22" x14ac:dyDescent="0.25">
      <c r="B21" s="74"/>
      <c r="C21" s="76"/>
      <c r="D21" s="76"/>
      <c r="E21" s="7"/>
      <c r="F21" s="7"/>
      <c r="G21" s="7"/>
      <c r="H21" s="7"/>
      <c r="I21" s="8"/>
      <c r="J21" s="8"/>
      <c r="K21" s="8"/>
      <c r="L21" s="8"/>
      <c r="M21" s="20"/>
      <c r="N21" s="20"/>
      <c r="O21" s="20"/>
      <c r="P21" s="20"/>
      <c r="Q21" s="9"/>
      <c r="R21" s="9"/>
      <c r="S21" s="9"/>
      <c r="T21" s="9"/>
      <c r="U21" s="9"/>
      <c r="V21" s="13"/>
    </row>
    <row r="22" spans="2:22" x14ac:dyDescent="0.25">
      <c r="B22" s="2" t="s">
        <v>89</v>
      </c>
      <c r="C22" s="2">
        <f>SUM(C14:C21)</f>
        <v>5</v>
      </c>
      <c r="D22" s="2">
        <f>SUM(D14:D21)</f>
        <v>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4" spans="2:22" x14ac:dyDescent="0.25">
      <c r="B24" s="11">
        <v>46100</v>
      </c>
      <c r="C24" s="10" t="s">
        <v>354</v>
      </c>
      <c r="D24" s="10" t="s">
        <v>354</v>
      </c>
      <c r="E24" s="77" t="s">
        <v>82</v>
      </c>
      <c r="F24" s="77"/>
      <c r="G24" s="77"/>
      <c r="H24" s="77"/>
      <c r="I24" s="78" t="s">
        <v>85</v>
      </c>
      <c r="J24" s="78"/>
      <c r="K24" s="78"/>
      <c r="L24" s="78"/>
      <c r="M24" s="79" t="s">
        <v>84</v>
      </c>
      <c r="N24" s="79"/>
      <c r="O24" s="79"/>
      <c r="P24" s="79"/>
      <c r="Q24" s="80" t="s">
        <v>78</v>
      </c>
      <c r="R24" s="80"/>
      <c r="S24" s="80"/>
      <c r="T24" s="80"/>
      <c r="U24" s="80"/>
      <c r="V24" s="80"/>
    </row>
    <row r="25" spans="2:22" x14ac:dyDescent="0.25">
      <c r="B25" s="73" t="s">
        <v>65</v>
      </c>
      <c r="C25" s="75">
        <v>2</v>
      </c>
      <c r="D25" s="75">
        <v>1</v>
      </c>
      <c r="E25" s="7" t="s">
        <v>310</v>
      </c>
      <c r="F25" s="7" t="s">
        <v>109</v>
      </c>
      <c r="G25" s="7"/>
      <c r="H25" s="7"/>
      <c r="I25" s="8" t="s">
        <v>97</v>
      </c>
      <c r="J25" s="8" t="s">
        <v>97</v>
      </c>
      <c r="K25" s="8"/>
      <c r="L25" s="8"/>
      <c r="M25" s="20"/>
      <c r="N25" s="20"/>
      <c r="O25" s="20"/>
      <c r="P25" s="20"/>
      <c r="Q25" s="9"/>
      <c r="R25" s="9"/>
      <c r="S25" s="9"/>
      <c r="T25" s="9"/>
      <c r="U25" s="9"/>
      <c r="V25" s="13"/>
    </row>
    <row r="26" spans="2:22" x14ac:dyDescent="0.25">
      <c r="B26" s="74"/>
      <c r="C26" s="76"/>
      <c r="D26" s="76"/>
      <c r="E26" s="7" t="s">
        <v>315</v>
      </c>
      <c r="F26" s="7"/>
      <c r="G26" s="7"/>
      <c r="H26" s="7"/>
      <c r="I26" s="8" t="s">
        <v>358</v>
      </c>
      <c r="J26" s="8"/>
      <c r="K26" s="8"/>
      <c r="L26" s="8"/>
      <c r="M26" s="20"/>
      <c r="N26" s="20"/>
      <c r="O26" s="20"/>
      <c r="P26" s="20"/>
      <c r="Q26" s="9"/>
      <c r="R26" s="9"/>
      <c r="S26" s="9"/>
      <c r="T26" s="9"/>
      <c r="U26" s="9"/>
      <c r="V26" s="13"/>
    </row>
    <row r="27" spans="2:22" x14ac:dyDescent="0.25">
      <c r="B27" s="73" t="s">
        <v>71</v>
      </c>
      <c r="C27" s="75">
        <v>4</v>
      </c>
      <c r="D27" s="75">
        <v>0</v>
      </c>
      <c r="E27" s="7" t="s">
        <v>310</v>
      </c>
      <c r="F27" s="7" t="s">
        <v>109</v>
      </c>
      <c r="G27" s="7" t="s">
        <v>109</v>
      </c>
      <c r="H27" s="7" t="s">
        <v>109</v>
      </c>
      <c r="I27" s="8" t="s">
        <v>103</v>
      </c>
      <c r="J27" s="8" t="s">
        <v>103</v>
      </c>
      <c r="K27" s="8" t="s">
        <v>103</v>
      </c>
      <c r="L27" s="8" t="s">
        <v>310</v>
      </c>
      <c r="M27" s="20" t="s">
        <v>103</v>
      </c>
      <c r="N27" s="20" t="s">
        <v>97</v>
      </c>
      <c r="O27" s="20" t="s">
        <v>201</v>
      </c>
      <c r="P27" s="20"/>
      <c r="Q27" s="9" t="s">
        <v>122</v>
      </c>
      <c r="R27" s="9" t="s">
        <v>297</v>
      </c>
      <c r="S27" s="9" t="s">
        <v>92</v>
      </c>
      <c r="T27" s="9" t="s">
        <v>135</v>
      </c>
      <c r="U27" s="9"/>
      <c r="V27" s="13" t="s">
        <v>108</v>
      </c>
    </row>
    <row r="28" spans="2:22" x14ac:dyDescent="0.25">
      <c r="B28" s="74"/>
      <c r="C28" s="76"/>
      <c r="D28" s="76"/>
      <c r="E28" s="7"/>
      <c r="F28" s="7"/>
      <c r="G28" s="7"/>
      <c r="H28" s="7"/>
      <c r="I28" s="8"/>
      <c r="J28" s="8"/>
      <c r="K28" s="8"/>
      <c r="L28" s="8"/>
      <c r="M28" s="20"/>
      <c r="N28" s="20"/>
      <c r="O28" s="20"/>
      <c r="P28" s="20"/>
      <c r="Q28" s="9"/>
      <c r="R28" s="9"/>
      <c r="S28" s="9"/>
      <c r="T28" s="9"/>
      <c r="U28" s="9"/>
      <c r="V28" s="13"/>
    </row>
    <row r="29" spans="2:22" x14ac:dyDescent="0.25">
      <c r="B29" s="73" t="s">
        <v>73</v>
      </c>
      <c r="C29" s="75">
        <v>2</v>
      </c>
      <c r="D29" s="75">
        <v>0</v>
      </c>
      <c r="E29" s="7" t="s">
        <v>139</v>
      </c>
      <c r="F29" s="7" t="s">
        <v>340</v>
      </c>
      <c r="G29" s="7"/>
      <c r="H29" s="7"/>
      <c r="I29" s="8"/>
      <c r="J29" s="8"/>
      <c r="K29" s="8"/>
      <c r="L29" s="8"/>
      <c r="M29" s="20" t="s">
        <v>298</v>
      </c>
      <c r="N29" s="20" t="s">
        <v>316</v>
      </c>
      <c r="O29" s="20"/>
      <c r="P29" s="20"/>
      <c r="Q29" s="9" t="s">
        <v>115</v>
      </c>
      <c r="R29" s="9" t="s">
        <v>195</v>
      </c>
      <c r="S29" s="9" t="s">
        <v>181</v>
      </c>
      <c r="T29" s="9" t="s">
        <v>303</v>
      </c>
      <c r="U29" s="9"/>
      <c r="V29" s="13" t="s">
        <v>108</v>
      </c>
    </row>
    <row r="30" spans="2:22" x14ac:dyDescent="0.25">
      <c r="B30" s="74"/>
      <c r="C30" s="76"/>
      <c r="D30" s="76"/>
      <c r="E30" s="7"/>
      <c r="F30" s="7"/>
      <c r="G30" s="7"/>
      <c r="H30" s="7"/>
      <c r="I30" s="8"/>
      <c r="J30" s="8"/>
      <c r="K30" s="8"/>
      <c r="L30" s="8"/>
      <c r="M30" s="20"/>
      <c r="N30" s="20"/>
      <c r="O30" s="20"/>
      <c r="P30" s="20"/>
      <c r="Q30" s="9"/>
      <c r="R30" s="9"/>
      <c r="S30" s="9"/>
      <c r="T30" s="9"/>
      <c r="U30" s="9"/>
      <c r="V30" s="13"/>
    </row>
    <row r="31" spans="2:22" x14ac:dyDescent="0.25">
      <c r="B31" s="73" t="s">
        <v>41</v>
      </c>
      <c r="C31" s="75">
        <v>4</v>
      </c>
      <c r="D31" s="75">
        <v>0</v>
      </c>
      <c r="E31" s="7" t="s">
        <v>310</v>
      </c>
      <c r="F31" s="7" t="s">
        <v>201</v>
      </c>
      <c r="G31" s="7" t="s">
        <v>109</v>
      </c>
      <c r="H31" s="7" t="s">
        <v>108</v>
      </c>
      <c r="I31" s="8" t="s">
        <v>103</v>
      </c>
      <c r="J31" s="8" t="s">
        <v>108</v>
      </c>
      <c r="K31" s="8" t="s">
        <v>103</v>
      </c>
      <c r="L31" s="8" t="s">
        <v>109</v>
      </c>
      <c r="M31" s="20" t="s">
        <v>103</v>
      </c>
      <c r="N31" s="20" t="s">
        <v>97</v>
      </c>
      <c r="O31" s="20" t="s">
        <v>201</v>
      </c>
      <c r="P31" s="20"/>
      <c r="Q31" s="9" t="s">
        <v>122</v>
      </c>
      <c r="R31" s="9" t="s">
        <v>297</v>
      </c>
      <c r="S31" s="9" t="s">
        <v>300</v>
      </c>
      <c r="T31" s="9" t="s">
        <v>135</v>
      </c>
      <c r="U31" s="9"/>
      <c r="V31" s="13" t="s">
        <v>92</v>
      </c>
    </row>
    <row r="32" spans="2:22" x14ac:dyDescent="0.25">
      <c r="B32" s="74"/>
      <c r="C32" s="76"/>
      <c r="D32" s="76"/>
      <c r="E32" s="7"/>
      <c r="F32" s="7"/>
      <c r="G32" s="7"/>
      <c r="H32" s="7"/>
      <c r="I32" s="8"/>
      <c r="J32" s="8"/>
      <c r="K32" s="8"/>
      <c r="L32" s="8"/>
      <c r="M32" s="20"/>
      <c r="N32" s="20"/>
      <c r="O32" s="20"/>
      <c r="P32" s="20"/>
      <c r="Q32" s="9"/>
      <c r="R32" s="9"/>
      <c r="S32" s="9"/>
      <c r="T32" s="9"/>
      <c r="U32" s="9"/>
      <c r="V32" s="13"/>
    </row>
    <row r="33" spans="2:22" x14ac:dyDescent="0.25">
      <c r="B33" s="73" t="s">
        <v>357</v>
      </c>
      <c r="C33" s="75">
        <v>2</v>
      </c>
      <c r="D33" s="75">
        <v>2</v>
      </c>
      <c r="E33" s="7" t="s">
        <v>103</v>
      </c>
      <c r="F33" s="7" t="s">
        <v>108</v>
      </c>
      <c r="G33" s="7"/>
      <c r="H33" s="7"/>
      <c r="I33" s="8" t="s">
        <v>297</v>
      </c>
      <c r="J33" s="8"/>
      <c r="K33" s="8"/>
      <c r="L33" s="8"/>
      <c r="M33" s="20"/>
      <c r="N33" s="20"/>
      <c r="O33" s="20"/>
      <c r="P33" s="20"/>
      <c r="Q33" s="9"/>
      <c r="R33" s="9"/>
      <c r="S33" s="9"/>
      <c r="T33" s="9"/>
      <c r="U33" s="9"/>
      <c r="V33" s="13"/>
    </row>
    <row r="34" spans="2:22" x14ac:dyDescent="0.25">
      <c r="B34" s="74"/>
      <c r="C34" s="76"/>
      <c r="D34" s="76"/>
      <c r="E34" s="7" t="s">
        <v>203</v>
      </c>
      <c r="F34" s="7" t="s">
        <v>340</v>
      </c>
      <c r="G34" s="7"/>
      <c r="H34" s="7"/>
      <c r="I34" s="8" t="s">
        <v>340</v>
      </c>
      <c r="J34" s="8" t="s">
        <v>138</v>
      </c>
      <c r="K34" s="8"/>
      <c r="L34" s="8"/>
      <c r="M34" s="20"/>
      <c r="N34" s="20"/>
      <c r="O34" s="20"/>
      <c r="P34" s="20"/>
      <c r="Q34" s="9"/>
      <c r="R34" s="9"/>
      <c r="S34" s="9"/>
      <c r="T34" s="9"/>
      <c r="U34" s="9"/>
      <c r="V34" s="13"/>
    </row>
    <row r="35" spans="2:22" x14ac:dyDescent="0.25">
      <c r="B35" s="2" t="s">
        <v>89</v>
      </c>
      <c r="C35" s="2">
        <f>SUM(C25:C34)</f>
        <v>14</v>
      </c>
      <c r="D35" s="2">
        <f>SUM(D25:D34)</f>
        <v>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7" spans="2:22" x14ac:dyDescent="0.25">
      <c r="B37" s="11">
        <v>46107</v>
      </c>
      <c r="C37" s="10" t="s">
        <v>354</v>
      </c>
      <c r="D37" s="10" t="s">
        <v>364</v>
      </c>
      <c r="E37" s="77" t="s">
        <v>82</v>
      </c>
      <c r="F37" s="77"/>
      <c r="G37" s="77"/>
      <c r="H37" s="77"/>
      <c r="I37" s="78" t="s">
        <v>85</v>
      </c>
      <c r="J37" s="78"/>
      <c r="K37" s="78"/>
      <c r="L37" s="78"/>
      <c r="M37" s="79" t="s">
        <v>84</v>
      </c>
      <c r="N37" s="79"/>
      <c r="O37" s="79"/>
      <c r="P37" s="79"/>
      <c r="Q37" s="80" t="s">
        <v>78</v>
      </c>
      <c r="R37" s="80"/>
      <c r="S37" s="80"/>
      <c r="T37" s="80"/>
      <c r="U37" s="80"/>
      <c r="V37" s="80"/>
    </row>
    <row r="38" spans="2:22" x14ac:dyDescent="0.25">
      <c r="B38" s="73" t="s">
        <v>65</v>
      </c>
      <c r="C38" s="75">
        <v>0</v>
      </c>
      <c r="D38" s="75">
        <v>2</v>
      </c>
      <c r="E38" s="7"/>
      <c r="F38" s="7"/>
      <c r="G38" s="7"/>
      <c r="H38" s="7"/>
      <c r="I38" s="8"/>
      <c r="J38" s="8"/>
      <c r="K38" s="8"/>
      <c r="L38" s="8"/>
      <c r="M38" s="20"/>
      <c r="N38" s="20"/>
      <c r="O38" s="20"/>
      <c r="P38" s="20"/>
      <c r="Q38" s="9"/>
      <c r="R38" s="9"/>
      <c r="S38" s="9"/>
      <c r="T38" s="9"/>
      <c r="U38" s="9"/>
      <c r="V38" s="13"/>
    </row>
    <row r="39" spans="2:22" x14ac:dyDescent="0.25">
      <c r="B39" s="74"/>
      <c r="C39" s="76"/>
      <c r="D39" s="76"/>
      <c r="E39" s="7"/>
      <c r="F39" s="7"/>
      <c r="G39" s="7"/>
      <c r="H39" s="7"/>
      <c r="I39" s="8"/>
      <c r="J39" s="8"/>
      <c r="K39" s="8"/>
      <c r="L39" s="8"/>
      <c r="M39" s="20"/>
      <c r="N39" s="20"/>
      <c r="O39" s="20"/>
      <c r="P39" s="20"/>
      <c r="Q39" s="9"/>
      <c r="R39" s="9"/>
      <c r="S39" s="9"/>
      <c r="T39" s="9"/>
      <c r="U39" s="9"/>
      <c r="V39" s="13"/>
    </row>
    <row r="40" spans="2:22" x14ac:dyDescent="0.25">
      <c r="B40" s="73" t="s">
        <v>71</v>
      </c>
      <c r="C40" s="75">
        <v>1</v>
      </c>
      <c r="D40" s="75">
        <v>4</v>
      </c>
      <c r="E40" s="7" t="s">
        <v>105</v>
      </c>
      <c r="F40" s="7"/>
      <c r="G40" s="7"/>
      <c r="H40" s="7"/>
      <c r="I40" s="8"/>
      <c r="J40" s="8"/>
      <c r="K40" s="8"/>
      <c r="L40" s="8"/>
      <c r="M40" s="20"/>
      <c r="N40" s="20"/>
      <c r="O40" s="20"/>
      <c r="P40" s="20"/>
      <c r="Q40" s="9"/>
      <c r="R40" s="9"/>
      <c r="S40" s="9"/>
      <c r="T40" s="9"/>
      <c r="U40" s="9"/>
      <c r="V40" s="13"/>
    </row>
    <row r="41" spans="2:22" x14ac:dyDescent="0.25">
      <c r="B41" s="74"/>
      <c r="C41" s="76"/>
      <c r="D41" s="76"/>
      <c r="E41" s="7"/>
      <c r="F41" s="7"/>
      <c r="G41" s="7"/>
      <c r="H41" s="7"/>
      <c r="I41" s="8"/>
      <c r="J41" s="8"/>
      <c r="K41" s="8"/>
      <c r="L41" s="8"/>
      <c r="M41" s="20"/>
      <c r="N41" s="20"/>
      <c r="O41" s="20"/>
      <c r="P41" s="20"/>
      <c r="Q41" s="9"/>
      <c r="R41" s="9"/>
      <c r="S41" s="9"/>
      <c r="T41" s="9"/>
      <c r="U41" s="9"/>
      <c r="V41" s="13"/>
    </row>
    <row r="42" spans="2:22" x14ac:dyDescent="0.25">
      <c r="B42" s="73" t="s">
        <v>73</v>
      </c>
      <c r="C42" s="75">
        <v>0</v>
      </c>
      <c r="D42" s="75">
        <v>2</v>
      </c>
      <c r="E42" s="7"/>
      <c r="F42" s="7"/>
      <c r="G42" s="7"/>
      <c r="H42" s="7"/>
      <c r="I42" s="8"/>
      <c r="J42" s="8"/>
      <c r="K42" s="8"/>
      <c r="L42" s="8"/>
      <c r="M42" s="20"/>
      <c r="N42" s="20"/>
      <c r="O42" s="20"/>
      <c r="P42" s="20"/>
      <c r="Q42" s="9"/>
      <c r="R42" s="9"/>
      <c r="S42" s="9"/>
      <c r="T42" s="9"/>
      <c r="U42" s="9"/>
      <c r="V42" s="13"/>
    </row>
    <row r="43" spans="2:22" x14ac:dyDescent="0.25">
      <c r="B43" s="74"/>
      <c r="C43" s="76"/>
      <c r="D43" s="76"/>
      <c r="E43" s="7"/>
      <c r="F43" s="7"/>
      <c r="G43" s="7"/>
      <c r="H43" s="7"/>
      <c r="I43" s="8"/>
      <c r="J43" s="8"/>
      <c r="K43" s="8"/>
      <c r="L43" s="8"/>
      <c r="M43" s="20"/>
      <c r="N43" s="20"/>
      <c r="O43" s="20"/>
      <c r="P43" s="20"/>
      <c r="Q43" s="9"/>
      <c r="R43" s="9"/>
      <c r="S43" s="9"/>
      <c r="T43" s="9"/>
      <c r="U43" s="9"/>
      <c r="V43" s="13"/>
    </row>
    <row r="44" spans="2:22" x14ac:dyDescent="0.25">
      <c r="B44" s="73" t="s">
        <v>41</v>
      </c>
      <c r="C44" s="75">
        <v>2</v>
      </c>
      <c r="D44" s="75">
        <v>2</v>
      </c>
      <c r="E44" s="7" t="s">
        <v>201</v>
      </c>
      <c r="F44" s="7" t="s">
        <v>201</v>
      </c>
      <c r="G44" s="7"/>
      <c r="H44" s="7"/>
      <c r="I44" s="8" t="s">
        <v>97</v>
      </c>
      <c r="J44" s="8" t="s">
        <v>340</v>
      </c>
      <c r="K44" s="8"/>
      <c r="L44" s="8"/>
      <c r="M44" s="20"/>
      <c r="N44" s="20"/>
      <c r="O44" s="20"/>
      <c r="P44" s="20"/>
      <c r="Q44" s="9"/>
      <c r="R44" s="9"/>
      <c r="S44" s="9"/>
      <c r="T44" s="9"/>
      <c r="U44" s="9"/>
      <c r="V44" s="13"/>
    </row>
    <row r="45" spans="2:22" x14ac:dyDescent="0.25">
      <c r="B45" s="74"/>
      <c r="C45" s="76"/>
      <c r="D45" s="76"/>
      <c r="E45" s="7"/>
      <c r="F45" s="7"/>
      <c r="G45" s="7"/>
      <c r="H45" s="7"/>
      <c r="I45" s="8"/>
      <c r="J45" s="8"/>
      <c r="K45" s="8"/>
      <c r="L45" s="8"/>
      <c r="M45" s="20"/>
      <c r="N45" s="20"/>
      <c r="O45" s="20"/>
      <c r="P45" s="20"/>
      <c r="Q45" s="9"/>
      <c r="R45" s="9"/>
      <c r="S45" s="9"/>
      <c r="T45" s="9"/>
      <c r="U45" s="9"/>
      <c r="V45" s="13"/>
    </row>
    <row r="46" spans="2:22" x14ac:dyDescent="0.25">
      <c r="B46" s="2" t="s">
        <v>89</v>
      </c>
      <c r="C46" s="2">
        <f>SUM(C38:C45)</f>
        <v>3</v>
      </c>
      <c r="D46" s="2">
        <f>SUM(D38:D45)</f>
        <v>10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9" spans="2:22" x14ac:dyDescent="0.25">
      <c r="B49" s="11">
        <v>46114</v>
      </c>
      <c r="C49" s="10" t="s">
        <v>354</v>
      </c>
      <c r="D49" s="10" t="s">
        <v>354</v>
      </c>
      <c r="E49" s="77" t="s">
        <v>82</v>
      </c>
      <c r="F49" s="77"/>
      <c r="G49" s="77"/>
      <c r="H49" s="77"/>
      <c r="I49" s="78" t="s">
        <v>85</v>
      </c>
      <c r="J49" s="78"/>
      <c r="K49" s="78"/>
      <c r="L49" s="78"/>
      <c r="M49" s="79" t="s">
        <v>84</v>
      </c>
      <c r="N49" s="79"/>
      <c r="O49" s="79"/>
      <c r="P49" s="79"/>
      <c r="Q49" s="80" t="s">
        <v>78</v>
      </c>
      <c r="R49" s="80"/>
      <c r="S49" s="80"/>
      <c r="T49" s="80"/>
      <c r="U49" s="80"/>
      <c r="V49" s="80"/>
    </row>
    <row r="50" spans="2:22" x14ac:dyDescent="0.25">
      <c r="B50" s="73" t="s">
        <v>65</v>
      </c>
      <c r="C50" s="75">
        <v>0</v>
      </c>
      <c r="D50" s="75">
        <v>1</v>
      </c>
      <c r="E50" s="7" t="s">
        <v>110</v>
      </c>
      <c r="F50" s="7"/>
      <c r="G50" s="7"/>
      <c r="H50" s="7"/>
      <c r="I50" s="8" t="s">
        <v>95</v>
      </c>
      <c r="J50" s="8"/>
      <c r="K50" s="8"/>
      <c r="L50" s="8"/>
      <c r="M50" s="20" t="s">
        <v>203</v>
      </c>
      <c r="N50" s="20" t="s">
        <v>95</v>
      </c>
      <c r="O50" s="20" t="s">
        <v>110</v>
      </c>
      <c r="P50" s="20"/>
      <c r="Q50" s="9" t="s">
        <v>365</v>
      </c>
      <c r="R50" s="9" t="s">
        <v>233</v>
      </c>
      <c r="S50" s="9" t="s">
        <v>351</v>
      </c>
      <c r="T50" s="9" t="s">
        <v>122</v>
      </c>
      <c r="U50" s="9"/>
      <c r="V50" s="13" t="s">
        <v>174</v>
      </c>
    </row>
    <row r="51" spans="2:22" x14ac:dyDescent="0.25">
      <c r="B51" s="74"/>
      <c r="C51" s="76"/>
      <c r="D51" s="76"/>
      <c r="E51" s="7"/>
      <c r="F51" s="7"/>
      <c r="G51" s="7"/>
      <c r="H51" s="7"/>
      <c r="I51" s="8"/>
      <c r="J51" s="8"/>
      <c r="K51" s="8"/>
      <c r="L51" s="8"/>
      <c r="M51" s="20"/>
      <c r="N51" s="20"/>
      <c r="O51" s="20"/>
      <c r="P51" s="20"/>
      <c r="Q51" s="9"/>
      <c r="R51" s="9"/>
      <c r="S51" s="9"/>
      <c r="T51" s="9"/>
      <c r="U51" s="9"/>
      <c r="V51" s="13"/>
    </row>
    <row r="52" spans="2:22" x14ac:dyDescent="0.25">
      <c r="B52" s="73" t="s">
        <v>71</v>
      </c>
      <c r="C52" s="75">
        <v>0</v>
      </c>
      <c r="D52" s="75">
        <v>0</v>
      </c>
      <c r="E52" s="7"/>
      <c r="F52" s="7"/>
      <c r="G52" s="7"/>
      <c r="H52" s="7"/>
      <c r="I52" s="8"/>
      <c r="J52" s="8"/>
      <c r="K52" s="8"/>
      <c r="L52" s="8"/>
      <c r="M52" s="20"/>
      <c r="N52" s="20"/>
      <c r="O52" s="20"/>
      <c r="P52" s="20"/>
      <c r="Q52" s="9" t="s">
        <v>297</v>
      </c>
      <c r="R52" s="9" t="s">
        <v>201</v>
      </c>
      <c r="S52" s="9" t="s">
        <v>202</v>
      </c>
      <c r="T52" s="9" t="s">
        <v>366</v>
      </c>
      <c r="U52" s="9"/>
      <c r="V52" s="13" t="s">
        <v>108</v>
      </c>
    </row>
    <row r="53" spans="2:22" x14ac:dyDescent="0.25">
      <c r="B53" s="74"/>
      <c r="C53" s="76"/>
      <c r="D53" s="76"/>
      <c r="E53" s="7"/>
      <c r="F53" s="7"/>
      <c r="G53" s="7"/>
      <c r="H53" s="7"/>
      <c r="I53" s="8"/>
      <c r="J53" s="8"/>
      <c r="K53" s="8"/>
      <c r="L53" s="8"/>
      <c r="M53" s="20"/>
      <c r="N53" s="20"/>
      <c r="O53" s="20"/>
      <c r="P53" s="20"/>
      <c r="Q53" s="9" t="s">
        <v>122</v>
      </c>
      <c r="R53" s="9" t="s">
        <v>92</v>
      </c>
      <c r="S53" s="9" t="s">
        <v>130</v>
      </c>
      <c r="T53" s="9" t="s">
        <v>303</v>
      </c>
      <c r="U53" s="9"/>
      <c r="V53" s="13" t="s">
        <v>174</v>
      </c>
    </row>
    <row r="54" spans="2:22" x14ac:dyDescent="0.25">
      <c r="B54" s="73" t="s">
        <v>73</v>
      </c>
      <c r="C54" s="75">
        <v>3</v>
      </c>
      <c r="D54" s="75">
        <v>0</v>
      </c>
      <c r="E54" s="7" t="s">
        <v>121</v>
      </c>
      <c r="F54" s="7" t="s">
        <v>310</v>
      </c>
      <c r="G54" s="7" t="s">
        <v>363</v>
      </c>
      <c r="H54" s="7"/>
      <c r="I54" s="8" t="s">
        <v>139</v>
      </c>
      <c r="J54" s="8"/>
      <c r="K54" s="8"/>
      <c r="L54" s="8"/>
      <c r="M54" s="20" t="s">
        <v>236</v>
      </c>
      <c r="N54" s="20" t="s">
        <v>363</v>
      </c>
      <c r="O54" s="20" t="s">
        <v>134</v>
      </c>
      <c r="P54" s="20"/>
      <c r="Q54" s="9" t="s">
        <v>202</v>
      </c>
      <c r="R54" s="9" t="s">
        <v>181</v>
      </c>
      <c r="S54" s="9" t="s">
        <v>92</v>
      </c>
      <c r="T54" s="9" t="s">
        <v>108</v>
      </c>
      <c r="U54" s="9"/>
      <c r="V54" s="13" t="s">
        <v>201</v>
      </c>
    </row>
    <row r="55" spans="2:22" x14ac:dyDescent="0.25">
      <c r="B55" s="74"/>
      <c r="C55" s="76"/>
      <c r="D55" s="76"/>
      <c r="E55" s="7"/>
      <c r="F55" s="7"/>
      <c r="G55" s="7"/>
      <c r="H55" s="7"/>
      <c r="I55" s="8"/>
      <c r="J55" s="8"/>
      <c r="K55" s="8"/>
      <c r="L55" s="8"/>
      <c r="M55" s="20"/>
      <c r="N55" s="20"/>
      <c r="O55" s="20"/>
      <c r="P55" s="20"/>
      <c r="Q55" s="9"/>
      <c r="R55" s="9"/>
      <c r="S55" s="9"/>
      <c r="T55" s="9"/>
      <c r="U55" s="9"/>
      <c r="V55" s="13"/>
    </row>
    <row r="56" spans="2:22" x14ac:dyDescent="0.25">
      <c r="B56" s="73" t="s">
        <v>41</v>
      </c>
      <c r="C56" s="75">
        <v>1</v>
      </c>
      <c r="D56" s="75">
        <v>1</v>
      </c>
      <c r="E56" s="7" t="s">
        <v>113</v>
      </c>
      <c r="F56" s="7"/>
      <c r="G56" s="7"/>
      <c r="H56" s="7"/>
      <c r="I56" s="8" t="s">
        <v>95</v>
      </c>
      <c r="J56" s="8"/>
      <c r="K56" s="8"/>
      <c r="L56" s="8"/>
      <c r="M56" s="20"/>
      <c r="N56" s="20"/>
      <c r="O56" s="20"/>
      <c r="P56" s="20"/>
      <c r="Q56" s="9"/>
      <c r="R56" s="9"/>
      <c r="S56" s="9"/>
      <c r="T56" s="9"/>
      <c r="U56" s="9"/>
      <c r="V56" s="13"/>
    </row>
    <row r="57" spans="2:22" x14ac:dyDescent="0.25">
      <c r="B57" s="74"/>
      <c r="C57" s="76"/>
      <c r="D57" s="76"/>
      <c r="E57" s="7" t="s">
        <v>340</v>
      </c>
      <c r="F57" s="7"/>
      <c r="G57" s="7"/>
      <c r="H57" s="7"/>
      <c r="I57" s="8"/>
      <c r="J57" s="8"/>
      <c r="K57" s="8"/>
      <c r="L57" s="8"/>
      <c r="M57" s="20"/>
      <c r="N57" s="20"/>
      <c r="O57" s="20"/>
      <c r="P57" s="20"/>
      <c r="Q57" s="9"/>
      <c r="R57" s="9"/>
      <c r="S57" s="9"/>
      <c r="T57" s="9"/>
      <c r="U57" s="9"/>
      <c r="V57" s="13"/>
    </row>
    <row r="58" spans="2:22" x14ac:dyDescent="0.25">
      <c r="B58" s="73" t="s">
        <v>357</v>
      </c>
      <c r="C58" s="75">
        <v>2</v>
      </c>
      <c r="D58" s="75">
        <v>0</v>
      </c>
      <c r="E58" s="7" t="s">
        <v>109</v>
      </c>
      <c r="F58" s="7" t="s">
        <v>363</v>
      </c>
      <c r="G58" s="7"/>
      <c r="H58" s="7"/>
      <c r="I58" s="8" t="s">
        <v>310</v>
      </c>
      <c r="J58" s="8" t="s">
        <v>122</v>
      </c>
      <c r="K58" s="8"/>
      <c r="L58" s="8"/>
      <c r="M58" s="20" t="s">
        <v>103</v>
      </c>
      <c r="N58" s="20" t="s">
        <v>201</v>
      </c>
      <c r="O58" s="20"/>
      <c r="P58" s="20"/>
      <c r="Q58" s="9" t="s">
        <v>122</v>
      </c>
      <c r="R58" s="9" t="s">
        <v>108</v>
      </c>
      <c r="S58" s="9" t="s">
        <v>297</v>
      </c>
      <c r="T58" s="9" t="s">
        <v>366</v>
      </c>
      <c r="U58" s="9"/>
      <c r="V58" s="13"/>
    </row>
    <row r="59" spans="2:22" x14ac:dyDescent="0.25">
      <c r="B59" s="74"/>
      <c r="C59" s="76"/>
      <c r="D59" s="76"/>
      <c r="E59" s="7"/>
      <c r="F59" s="7"/>
      <c r="G59" s="7"/>
      <c r="H59" s="7"/>
      <c r="I59" s="8"/>
      <c r="J59" s="8"/>
      <c r="K59" s="8"/>
      <c r="L59" s="8"/>
      <c r="M59" s="20"/>
      <c r="N59" s="20"/>
      <c r="O59" s="20"/>
      <c r="P59" s="20"/>
      <c r="Q59" s="9"/>
      <c r="R59" s="9"/>
      <c r="S59" s="9"/>
      <c r="T59" s="9"/>
      <c r="U59" s="9"/>
      <c r="V59" s="13"/>
    </row>
    <row r="60" spans="2:22" x14ac:dyDescent="0.25">
      <c r="B60" s="2" t="s">
        <v>89</v>
      </c>
      <c r="C60" s="2">
        <f>SUM(C50:C59)</f>
        <v>6</v>
      </c>
      <c r="D60" s="2">
        <f>SUM(D50:D59)</f>
        <v>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3" spans="2:22" x14ac:dyDescent="0.25">
      <c r="B63" s="11">
        <v>46128</v>
      </c>
      <c r="C63" s="10" t="s">
        <v>374</v>
      </c>
      <c r="D63" s="10" t="s">
        <v>383</v>
      </c>
      <c r="E63" s="77" t="s">
        <v>82</v>
      </c>
      <c r="F63" s="77"/>
      <c r="G63" s="77"/>
      <c r="H63" s="77"/>
      <c r="I63" s="78" t="s">
        <v>85</v>
      </c>
      <c r="J63" s="78"/>
      <c r="K63" s="78"/>
      <c r="L63" s="78"/>
      <c r="M63" s="79" t="s">
        <v>84</v>
      </c>
      <c r="N63" s="79"/>
      <c r="O63" s="79"/>
      <c r="P63" s="79"/>
      <c r="Q63" s="80" t="s">
        <v>78</v>
      </c>
      <c r="R63" s="80"/>
      <c r="S63" s="80"/>
      <c r="T63" s="80"/>
      <c r="U63" s="80"/>
      <c r="V63" s="80"/>
    </row>
    <row r="64" spans="2:22" x14ac:dyDescent="0.25">
      <c r="B64" s="73" t="s">
        <v>65</v>
      </c>
      <c r="C64" s="75">
        <v>0</v>
      </c>
      <c r="D64" s="75">
        <v>1</v>
      </c>
      <c r="E64" s="7"/>
      <c r="F64" s="7"/>
      <c r="G64" s="7"/>
      <c r="H64" s="7"/>
      <c r="I64" s="8"/>
      <c r="J64" s="8"/>
      <c r="K64" s="8"/>
      <c r="L64" s="8"/>
      <c r="M64" s="20"/>
      <c r="N64" s="20"/>
      <c r="O64" s="20"/>
      <c r="P64" s="20"/>
      <c r="Q64" s="9"/>
      <c r="R64" s="9"/>
      <c r="S64" s="9"/>
      <c r="T64" s="9"/>
      <c r="U64" s="9"/>
      <c r="V64" s="13"/>
    </row>
    <row r="65" spans="2:22" x14ac:dyDescent="0.25">
      <c r="B65" s="74"/>
      <c r="C65" s="76"/>
      <c r="D65" s="76"/>
      <c r="E65" s="7" t="s">
        <v>163</v>
      </c>
      <c r="F65" s="7"/>
      <c r="G65" s="7"/>
      <c r="H65" s="7"/>
      <c r="I65" s="8" t="s">
        <v>310</v>
      </c>
      <c r="J65" s="8"/>
      <c r="K65" s="8"/>
      <c r="L65" s="8"/>
      <c r="M65" s="20" t="s">
        <v>107</v>
      </c>
      <c r="N65" s="20" t="s">
        <v>134</v>
      </c>
      <c r="O65" s="20" t="s">
        <v>361</v>
      </c>
      <c r="P65" s="20"/>
      <c r="Q65" s="9" t="s">
        <v>124</v>
      </c>
      <c r="R65" s="9" t="s">
        <v>202</v>
      </c>
      <c r="S65" s="9" t="s">
        <v>201</v>
      </c>
      <c r="T65" s="9" t="s">
        <v>237</v>
      </c>
      <c r="U65" s="9"/>
      <c r="V65" s="13" t="s">
        <v>380</v>
      </c>
    </row>
    <row r="66" spans="2:22" x14ac:dyDescent="0.25">
      <c r="B66" s="73" t="s">
        <v>71</v>
      </c>
      <c r="C66" s="75">
        <v>0</v>
      </c>
      <c r="D66" s="75">
        <v>0</v>
      </c>
      <c r="E66" s="7"/>
      <c r="F66" s="7"/>
      <c r="G66" s="7"/>
      <c r="H66" s="7"/>
      <c r="I66" s="8"/>
      <c r="J66" s="8"/>
      <c r="K66" s="8"/>
      <c r="L66" s="8"/>
      <c r="M66" s="20"/>
      <c r="N66" s="20"/>
      <c r="O66" s="20"/>
      <c r="P66" s="20"/>
      <c r="Q66" s="9" t="s">
        <v>122</v>
      </c>
      <c r="R66" s="9" t="s">
        <v>118</v>
      </c>
      <c r="S66" s="9" t="s">
        <v>201</v>
      </c>
      <c r="T66" s="9" t="s">
        <v>380</v>
      </c>
      <c r="U66" s="9"/>
      <c r="V66" s="13" t="s">
        <v>124</v>
      </c>
    </row>
    <row r="67" spans="2:22" x14ac:dyDescent="0.25">
      <c r="B67" s="74"/>
      <c r="C67" s="76"/>
      <c r="D67" s="76"/>
      <c r="E67" s="7"/>
      <c r="F67" s="7"/>
      <c r="G67" s="7"/>
      <c r="H67" s="7"/>
      <c r="I67" s="8"/>
      <c r="J67" s="8"/>
      <c r="K67" s="8"/>
      <c r="L67" s="8"/>
      <c r="M67" s="20"/>
      <c r="N67" s="20"/>
      <c r="O67" s="20"/>
      <c r="P67" s="20"/>
      <c r="Q67" s="9" t="s">
        <v>297</v>
      </c>
      <c r="R67" s="9" t="s">
        <v>181</v>
      </c>
      <c r="S67" s="9" t="s">
        <v>135</v>
      </c>
      <c r="T67" s="9" t="s">
        <v>115</v>
      </c>
      <c r="U67" s="9"/>
      <c r="V67" s="13" t="s">
        <v>130</v>
      </c>
    </row>
    <row r="68" spans="2:22" x14ac:dyDescent="0.25">
      <c r="B68" s="73" t="s">
        <v>73</v>
      </c>
      <c r="C68" s="75">
        <v>0</v>
      </c>
      <c r="D68" s="75">
        <v>0</v>
      </c>
      <c r="E68" s="7"/>
      <c r="F68" s="7"/>
      <c r="G68" s="7"/>
      <c r="H68" s="7"/>
      <c r="I68" s="8"/>
      <c r="J68" s="8"/>
      <c r="K68" s="8"/>
      <c r="L68" s="8"/>
      <c r="M68" s="20"/>
      <c r="N68" s="20"/>
      <c r="O68" s="20"/>
      <c r="P68" s="20"/>
      <c r="Q68" s="9" t="s">
        <v>181</v>
      </c>
      <c r="R68" s="9" t="s">
        <v>104</v>
      </c>
      <c r="S68" s="9" t="s">
        <v>297</v>
      </c>
      <c r="T68" s="9" t="s">
        <v>115</v>
      </c>
      <c r="U68" s="9"/>
      <c r="V68" s="13" t="s">
        <v>174</v>
      </c>
    </row>
    <row r="69" spans="2:22" x14ac:dyDescent="0.25">
      <c r="B69" s="74"/>
      <c r="C69" s="76"/>
      <c r="D69" s="76"/>
      <c r="E69" s="7"/>
      <c r="F69" s="7"/>
      <c r="G69" s="7"/>
      <c r="H69" s="7"/>
      <c r="I69" s="8"/>
      <c r="J69" s="8"/>
      <c r="K69" s="8"/>
      <c r="L69" s="8"/>
      <c r="M69" s="20"/>
      <c r="N69" s="20"/>
      <c r="O69" s="20"/>
      <c r="P69" s="20"/>
      <c r="Q69" s="9" t="s">
        <v>202</v>
      </c>
      <c r="R69" s="9" t="s">
        <v>122</v>
      </c>
      <c r="S69" s="9" t="s">
        <v>124</v>
      </c>
      <c r="T69" s="9" t="s">
        <v>237</v>
      </c>
      <c r="U69" s="9"/>
      <c r="V69" s="13" t="s">
        <v>118</v>
      </c>
    </row>
    <row r="70" spans="2:22" x14ac:dyDescent="0.25">
      <c r="B70" s="73" t="s">
        <v>41</v>
      </c>
      <c r="C70" s="75">
        <v>0</v>
      </c>
      <c r="D70" s="75">
        <v>1</v>
      </c>
      <c r="E70" s="7"/>
      <c r="F70" s="7"/>
      <c r="G70" s="7"/>
      <c r="H70" s="7"/>
      <c r="I70" s="8"/>
      <c r="J70" s="8"/>
      <c r="K70" s="8"/>
      <c r="L70" s="8"/>
      <c r="M70" s="20"/>
      <c r="N70" s="20"/>
      <c r="O70" s="20"/>
      <c r="P70" s="20"/>
      <c r="Q70" s="9"/>
      <c r="R70" s="9"/>
      <c r="S70" s="9"/>
      <c r="T70" s="9"/>
      <c r="U70" s="9"/>
      <c r="V70" s="13"/>
    </row>
    <row r="71" spans="2:22" x14ac:dyDescent="0.25">
      <c r="B71" s="74"/>
      <c r="C71" s="76"/>
      <c r="D71" s="76"/>
      <c r="E71" s="7" t="s">
        <v>109</v>
      </c>
      <c r="F71" s="7"/>
      <c r="G71" s="7"/>
      <c r="H71" s="7"/>
      <c r="I71" s="8"/>
      <c r="J71" s="8"/>
      <c r="K71" s="8"/>
      <c r="L71" s="8"/>
      <c r="M71" s="20" t="s">
        <v>134</v>
      </c>
      <c r="N71" s="20" t="s">
        <v>201</v>
      </c>
      <c r="O71" s="20" t="s">
        <v>107</v>
      </c>
      <c r="P71" s="20"/>
      <c r="Q71" s="9" t="s">
        <v>202</v>
      </c>
      <c r="R71" s="9" t="s">
        <v>118</v>
      </c>
      <c r="S71" s="9" t="s">
        <v>124</v>
      </c>
      <c r="T71" s="9" t="s">
        <v>237</v>
      </c>
      <c r="U71" s="9"/>
      <c r="V71" s="13" t="s">
        <v>122</v>
      </c>
    </row>
    <row r="72" spans="2:22" x14ac:dyDescent="0.25">
      <c r="B72" s="73" t="s">
        <v>357</v>
      </c>
      <c r="C72" s="75">
        <v>1</v>
      </c>
      <c r="D72" s="75">
        <v>0</v>
      </c>
      <c r="E72" s="7" t="s">
        <v>376</v>
      </c>
      <c r="F72" s="7"/>
      <c r="G72" s="7"/>
      <c r="H72" s="7"/>
      <c r="I72" s="8" t="s">
        <v>369</v>
      </c>
      <c r="J72" s="8"/>
      <c r="K72" s="8"/>
      <c r="L72" s="8"/>
      <c r="M72" s="20" t="s">
        <v>376</v>
      </c>
      <c r="N72" s="20" t="s">
        <v>377</v>
      </c>
      <c r="O72" s="20" t="s">
        <v>378</v>
      </c>
      <c r="P72" s="20"/>
      <c r="Q72" s="9" t="s">
        <v>379</v>
      </c>
      <c r="R72" s="9" t="s">
        <v>104</v>
      </c>
      <c r="S72" s="9" t="s">
        <v>297</v>
      </c>
      <c r="T72" s="9" t="s">
        <v>135</v>
      </c>
      <c r="U72" s="9"/>
      <c r="V72" s="13" t="s">
        <v>174</v>
      </c>
    </row>
    <row r="73" spans="2:22" x14ac:dyDescent="0.25">
      <c r="B73" s="74"/>
      <c r="C73" s="76"/>
      <c r="D73" s="76"/>
      <c r="E73" s="7"/>
      <c r="F73" s="7"/>
      <c r="G73" s="7"/>
      <c r="H73" s="7"/>
      <c r="I73" s="8"/>
      <c r="J73" s="8"/>
      <c r="K73" s="8"/>
      <c r="L73" s="8"/>
      <c r="M73" s="20"/>
      <c r="N73" s="20"/>
      <c r="O73" s="20"/>
      <c r="P73" s="20"/>
      <c r="Q73" s="9"/>
      <c r="R73" s="9"/>
      <c r="S73" s="9"/>
      <c r="T73" s="9"/>
      <c r="U73" s="9"/>
      <c r="V73" s="13"/>
    </row>
    <row r="74" spans="2:22" x14ac:dyDescent="0.25">
      <c r="B74" s="2" t="s">
        <v>89</v>
      </c>
      <c r="C74" s="2">
        <f>SUM(C64:C73)</f>
        <v>1</v>
      </c>
      <c r="D74" s="2">
        <f>SUM(D64:D73)</f>
        <v>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7" spans="2:22" x14ac:dyDescent="0.25">
      <c r="B77" s="11">
        <v>46133</v>
      </c>
      <c r="C77" s="10" t="s">
        <v>374</v>
      </c>
      <c r="D77" s="10" t="s">
        <v>383</v>
      </c>
      <c r="E77" s="77" t="s">
        <v>82</v>
      </c>
      <c r="F77" s="77"/>
      <c r="G77" s="77"/>
      <c r="H77" s="77"/>
      <c r="I77" s="78" t="s">
        <v>85</v>
      </c>
      <c r="J77" s="78"/>
      <c r="K77" s="78"/>
      <c r="L77" s="78"/>
      <c r="M77" s="79" t="s">
        <v>84</v>
      </c>
      <c r="N77" s="79"/>
      <c r="O77" s="79"/>
      <c r="P77" s="79"/>
      <c r="Q77" s="80" t="s">
        <v>78</v>
      </c>
      <c r="R77" s="80"/>
      <c r="S77" s="80"/>
      <c r="T77" s="80"/>
      <c r="U77" s="80"/>
      <c r="V77" s="80"/>
    </row>
    <row r="78" spans="2:22" x14ac:dyDescent="0.25">
      <c r="B78" s="73" t="s">
        <v>65</v>
      </c>
      <c r="C78" s="75">
        <v>1</v>
      </c>
      <c r="D78" s="75">
        <v>3</v>
      </c>
      <c r="E78" s="7"/>
      <c r="F78" s="7"/>
      <c r="G78" s="7"/>
      <c r="H78" s="7"/>
      <c r="I78" s="8"/>
      <c r="J78" s="8"/>
      <c r="K78" s="8"/>
      <c r="L78" s="8"/>
      <c r="M78" s="20"/>
      <c r="N78" s="20"/>
      <c r="O78" s="20"/>
      <c r="P78" s="20"/>
      <c r="Q78" s="9"/>
      <c r="R78" s="9"/>
      <c r="S78" s="9"/>
      <c r="T78" s="9"/>
      <c r="U78" s="9"/>
      <c r="V78" s="13"/>
    </row>
    <row r="79" spans="2:22" x14ac:dyDescent="0.25">
      <c r="B79" s="74"/>
      <c r="C79" s="76"/>
      <c r="D79" s="76"/>
      <c r="E79" s="7" t="s">
        <v>203</v>
      </c>
      <c r="F79" s="7" t="s">
        <v>109</v>
      </c>
      <c r="G79" s="7" t="s">
        <v>203</v>
      </c>
      <c r="H79" s="7"/>
      <c r="I79" s="8"/>
      <c r="J79" s="8" t="s">
        <v>216</v>
      </c>
      <c r="K79" s="8"/>
      <c r="L79" s="8"/>
      <c r="M79" s="20"/>
      <c r="N79" s="20"/>
      <c r="O79" s="20"/>
      <c r="P79" s="20"/>
      <c r="Q79" s="9"/>
      <c r="R79" s="9"/>
      <c r="S79" s="9"/>
      <c r="T79" s="9"/>
      <c r="U79" s="9"/>
      <c r="V79" s="13"/>
    </row>
    <row r="80" spans="2:22" x14ac:dyDescent="0.25">
      <c r="B80" s="73" t="s">
        <v>71</v>
      </c>
      <c r="C80" s="75">
        <v>3</v>
      </c>
      <c r="D80" s="75">
        <v>1</v>
      </c>
      <c r="E80" s="7" t="s">
        <v>201</v>
      </c>
      <c r="F80" s="7" t="s">
        <v>201</v>
      </c>
      <c r="G80" s="7" t="s">
        <v>344</v>
      </c>
      <c r="H80" s="7"/>
      <c r="I80" s="8" t="s">
        <v>105</v>
      </c>
      <c r="J80" s="8"/>
      <c r="K80" s="8" t="s">
        <v>136</v>
      </c>
      <c r="L80" s="8"/>
      <c r="M80" s="20"/>
      <c r="N80" s="20"/>
      <c r="O80" s="20"/>
      <c r="P80" s="20"/>
      <c r="Q80" s="9"/>
      <c r="R80" s="9"/>
      <c r="S80" s="9"/>
      <c r="T80" s="9"/>
      <c r="U80" s="9"/>
      <c r="V80" s="13"/>
    </row>
    <row r="81" spans="2:22" x14ac:dyDescent="0.25">
      <c r="B81" s="74"/>
      <c r="C81" s="76"/>
      <c r="D81" s="76"/>
      <c r="E81" s="7" t="s">
        <v>216</v>
      </c>
      <c r="F81" s="7"/>
      <c r="G81" s="7"/>
      <c r="H81" s="7"/>
      <c r="I81" s="8"/>
      <c r="J81" s="8"/>
      <c r="K81" s="8"/>
      <c r="L81" s="8"/>
      <c r="M81" s="20"/>
      <c r="N81" s="20"/>
      <c r="O81" s="20"/>
      <c r="P81" s="20"/>
      <c r="Q81" s="9"/>
      <c r="R81" s="9"/>
      <c r="S81" s="9"/>
      <c r="T81" s="9"/>
      <c r="U81" s="9"/>
      <c r="V81" s="13"/>
    </row>
    <row r="82" spans="2:22" x14ac:dyDescent="0.25">
      <c r="B82" s="73" t="s">
        <v>73</v>
      </c>
      <c r="C82" s="75">
        <v>3</v>
      </c>
      <c r="D82" s="75">
        <v>1</v>
      </c>
      <c r="E82" s="7" t="s">
        <v>344</v>
      </c>
      <c r="F82" s="7" t="s">
        <v>370</v>
      </c>
      <c r="G82" s="7" t="s">
        <v>201</v>
      </c>
      <c r="H82" s="7"/>
      <c r="I82" s="8" t="s">
        <v>201</v>
      </c>
      <c r="J82" s="8"/>
      <c r="K82" s="8"/>
      <c r="L82" s="8"/>
      <c r="M82" s="20"/>
      <c r="N82" s="20"/>
      <c r="O82" s="20"/>
      <c r="P82" s="20"/>
      <c r="Q82" s="9"/>
      <c r="R82" s="9"/>
      <c r="S82" s="9"/>
      <c r="T82" s="9"/>
      <c r="U82" s="9"/>
      <c r="V82" s="13"/>
    </row>
    <row r="83" spans="2:22" x14ac:dyDescent="0.25">
      <c r="B83" s="74"/>
      <c r="C83" s="76"/>
      <c r="D83" s="76"/>
      <c r="E83" s="7" t="s">
        <v>203</v>
      </c>
      <c r="F83" s="7"/>
      <c r="G83" s="7"/>
      <c r="H83" s="7"/>
      <c r="I83" s="8" t="s">
        <v>373</v>
      </c>
      <c r="J83" s="8"/>
      <c r="K83" s="8"/>
      <c r="L83" s="8"/>
      <c r="M83" s="20"/>
      <c r="N83" s="20"/>
      <c r="O83" s="20"/>
      <c r="P83" s="20"/>
      <c r="Q83" s="9"/>
      <c r="R83" s="9"/>
      <c r="S83" s="9"/>
      <c r="T83" s="9"/>
      <c r="U83" s="9"/>
      <c r="V83" s="13"/>
    </row>
    <row r="84" spans="2:22" x14ac:dyDescent="0.25">
      <c r="B84" s="73" t="s">
        <v>41</v>
      </c>
      <c r="C84" s="75">
        <v>3</v>
      </c>
      <c r="D84" s="75">
        <v>2</v>
      </c>
      <c r="E84" s="7" t="s">
        <v>344</v>
      </c>
      <c r="F84" s="7" t="s">
        <v>105</v>
      </c>
      <c r="G84" s="7" t="s">
        <v>201</v>
      </c>
      <c r="H84" s="7"/>
      <c r="I84" s="8" t="s">
        <v>105</v>
      </c>
      <c r="J84" s="8"/>
      <c r="K84" s="8" t="s">
        <v>105</v>
      </c>
      <c r="L84" s="8"/>
      <c r="M84" s="20"/>
      <c r="N84" s="20"/>
      <c r="O84" s="20"/>
      <c r="P84" s="20"/>
      <c r="Q84" s="9"/>
      <c r="R84" s="9"/>
      <c r="S84" s="9"/>
      <c r="T84" s="9"/>
      <c r="U84" s="9"/>
      <c r="V84" s="13"/>
    </row>
    <row r="85" spans="2:22" x14ac:dyDescent="0.25">
      <c r="B85" s="74"/>
      <c r="C85" s="76"/>
      <c r="D85" s="76"/>
      <c r="E85" s="7" t="s">
        <v>373</v>
      </c>
      <c r="F85" s="7" t="s">
        <v>370</v>
      </c>
      <c r="G85" s="7"/>
      <c r="H85" s="7"/>
      <c r="I85" s="8" t="s">
        <v>370</v>
      </c>
      <c r="J85" s="8"/>
      <c r="K85" s="8" t="s">
        <v>373</v>
      </c>
      <c r="L85" s="8"/>
      <c r="M85" s="20"/>
      <c r="N85" s="20"/>
      <c r="O85" s="20"/>
      <c r="P85" s="20"/>
      <c r="Q85" s="9"/>
      <c r="R85" s="9"/>
      <c r="S85" s="9"/>
      <c r="T85" s="9"/>
      <c r="U85" s="9"/>
      <c r="V85" s="13"/>
    </row>
    <row r="86" spans="2:22" x14ac:dyDescent="0.25">
      <c r="B86" s="2" t="s">
        <v>89</v>
      </c>
      <c r="C86" s="2">
        <f>SUM(C78:C85)</f>
        <v>10</v>
      </c>
      <c r="D86" s="2">
        <f>SUM(D78:D85)</f>
        <v>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9" spans="2:22" x14ac:dyDescent="0.25">
      <c r="B89" s="11">
        <v>46149</v>
      </c>
      <c r="C89" s="10" t="s">
        <v>384</v>
      </c>
      <c r="D89" s="10" t="s">
        <v>385</v>
      </c>
      <c r="E89" s="77" t="s">
        <v>82</v>
      </c>
      <c r="F89" s="77"/>
      <c r="G89" s="77"/>
      <c r="H89" s="77"/>
      <c r="I89" s="78" t="s">
        <v>85</v>
      </c>
      <c r="J89" s="78"/>
      <c r="K89" s="78"/>
      <c r="L89" s="78"/>
      <c r="M89" s="79" t="s">
        <v>84</v>
      </c>
      <c r="N89" s="79"/>
      <c r="O89" s="79"/>
      <c r="P89" s="79"/>
      <c r="Q89" s="80" t="s">
        <v>78</v>
      </c>
      <c r="R89" s="80"/>
      <c r="S89" s="80"/>
      <c r="T89" s="80"/>
      <c r="U89" s="80"/>
      <c r="V89" s="80"/>
    </row>
    <row r="90" spans="2:22" x14ac:dyDescent="0.25">
      <c r="B90" s="73" t="s">
        <v>65</v>
      </c>
      <c r="C90" s="75">
        <v>3</v>
      </c>
      <c r="D90" s="75">
        <v>0</v>
      </c>
      <c r="E90" s="7" t="s">
        <v>236</v>
      </c>
      <c r="F90" s="7" t="s">
        <v>139</v>
      </c>
      <c r="G90" s="7" t="s">
        <v>340</v>
      </c>
      <c r="H90" s="7"/>
      <c r="I90" s="8" t="s">
        <v>310</v>
      </c>
      <c r="J90" s="8" t="s">
        <v>236</v>
      </c>
      <c r="K90" s="8" t="s">
        <v>202</v>
      </c>
      <c r="L90" s="8"/>
      <c r="M90" s="20" t="s">
        <v>107</v>
      </c>
      <c r="N90" s="20" t="s">
        <v>201</v>
      </c>
      <c r="O90" s="20" t="s">
        <v>236</v>
      </c>
      <c r="P90" s="20"/>
      <c r="Q90" s="9" t="s">
        <v>297</v>
      </c>
      <c r="R90" s="9" t="s">
        <v>344</v>
      </c>
      <c r="S90" s="9" t="s">
        <v>214</v>
      </c>
      <c r="T90" s="9" t="s">
        <v>202</v>
      </c>
      <c r="U90" s="9"/>
      <c r="V90" s="13" t="s">
        <v>111</v>
      </c>
    </row>
    <row r="91" spans="2:22" x14ac:dyDescent="0.25">
      <c r="B91" s="74"/>
      <c r="C91" s="76"/>
      <c r="D91" s="76"/>
      <c r="E91" s="7"/>
      <c r="F91" s="7"/>
      <c r="G91" s="7"/>
      <c r="H91" s="7"/>
      <c r="I91" s="8"/>
      <c r="J91" s="8"/>
      <c r="K91" s="8"/>
      <c r="L91" s="8"/>
      <c r="M91" s="20"/>
      <c r="N91" s="20"/>
      <c r="O91" s="20"/>
      <c r="P91" s="20"/>
      <c r="Q91" s="9"/>
      <c r="R91" s="9"/>
      <c r="S91" s="9"/>
      <c r="T91" s="9"/>
      <c r="U91" s="9"/>
      <c r="V91" s="13"/>
    </row>
    <row r="92" spans="2:22" x14ac:dyDescent="0.25">
      <c r="B92" s="73" t="s">
        <v>71</v>
      </c>
      <c r="C92" s="75">
        <v>2</v>
      </c>
      <c r="D92" s="75">
        <v>2</v>
      </c>
      <c r="E92" s="7" t="s">
        <v>139</v>
      </c>
      <c r="F92" s="7" t="s">
        <v>236</v>
      </c>
      <c r="G92" s="7"/>
      <c r="H92" s="7"/>
      <c r="I92" s="8"/>
      <c r="J92" s="8"/>
      <c r="K92" s="8"/>
      <c r="L92" s="8"/>
      <c r="M92" s="20"/>
      <c r="N92" s="20"/>
      <c r="O92" s="20"/>
      <c r="P92" s="20"/>
      <c r="Q92" s="9"/>
      <c r="R92" s="9"/>
      <c r="S92" s="9"/>
      <c r="T92" s="9"/>
      <c r="U92" s="9"/>
      <c r="V92" s="13"/>
    </row>
    <row r="93" spans="2:22" x14ac:dyDescent="0.25">
      <c r="B93" s="74"/>
      <c r="C93" s="76"/>
      <c r="D93" s="76"/>
      <c r="E93" s="7" t="s">
        <v>105</v>
      </c>
      <c r="F93" s="7" t="s">
        <v>371</v>
      </c>
      <c r="G93" s="7"/>
      <c r="H93" s="7"/>
      <c r="I93" s="8"/>
      <c r="J93" s="8"/>
      <c r="K93" s="8"/>
      <c r="L93" s="8"/>
      <c r="M93" s="20"/>
      <c r="N93" s="20"/>
      <c r="O93" s="20"/>
      <c r="P93" s="20"/>
      <c r="Q93" s="9"/>
      <c r="R93" s="9"/>
      <c r="S93" s="9"/>
      <c r="T93" s="9"/>
      <c r="U93" s="9"/>
      <c r="V93" s="13"/>
    </row>
    <row r="94" spans="2:22" x14ac:dyDescent="0.25">
      <c r="B94" s="73" t="s">
        <v>73</v>
      </c>
      <c r="C94" s="75">
        <v>1</v>
      </c>
      <c r="D94" s="75">
        <v>0</v>
      </c>
      <c r="E94" s="7" t="s">
        <v>340</v>
      </c>
      <c r="F94" s="7"/>
      <c r="G94" s="7"/>
      <c r="H94" s="7"/>
      <c r="I94" s="8"/>
      <c r="J94" s="8"/>
      <c r="K94" s="8"/>
      <c r="L94" s="8"/>
      <c r="M94" s="20" t="s">
        <v>64</v>
      </c>
      <c r="N94" s="20" t="s">
        <v>139</v>
      </c>
      <c r="O94" s="20" t="s">
        <v>111</v>
      </c>
      <c r="P94" s="20"/>
      <c r="Q94" s="9" t="s">
        <v>214</v>
      </c>
      <c r="R94" s="9" t="s">
        <v>202</v>
      </c>
      <c r="S94" s="9" t="s">
        <v>344</v>
      </c>
      <c r="T94" s="9" t="s">
        <v>201</v>
      </c>
      <c r="U94" s="9"/>
      <c r="V94" s="13" t="s">
        <v>236</v>
      </c>
    </row>
    <row r="95" spans="2:22" x14ac:dyDescent="0.25">
      <c r="B95" s="74"/>
      <c r="C95" s="76"/>
      <c r="D95" s="76"/>
      <c r="E95" s="7"/>
      <c r="F95" s="7"/>
      <c r="G95" s="7"/>
      <c r="H95" s="7"/>
      <c r="I95" s="8"/>
      <c r="J95" s="8"/>
      <c r="K95" s="8"/>
      <c r="L95" s="8"/>
      <c r="M95" s="20"/>
      <c r="N95" s="20"/>
      <c r="O95" s="20"/>
      <c r="P95" s="20"/>
      <c r="Q95" s="9"/>
      <c r="R95" s="9"/>
      <c r="S95" s="9"/>
      <c r="T95" s="9"/>
      <c r="U95" s="9"/>
      <c r="V95" s="13"/>
    </row>
    <row r="96" spans="2:22" x14ac:dyDescent="0.25">
      <c r="B96" s="73" t="s">
        <v>41</v>
      </c>
      <c r="C96" s="75">
        <v>4</v>
      </c>
      <c r="D96" s="75">
        <v>0</v>
      </c>
      <c r="E96" s="7" t="s">
        <v>310</v>
      </c>
      <c r="F96" s="7" t="s">
        <v>340</v>
      </c>
      <c r="G96" s="7" t="s">
        <v>310</v>
      </c>
      <c r="H96" s="7" t="s">
        <v>310</v>
      </c>
      <c r="I96" s="8" t="s">
        <v>340</v>
      </c>
      <c r="J96" s="8" t="s">
        <v>310</v>
      </c>
      <c r="K96" s="8" t="s">
        <v>201</v>
      </c>
      <c r="L96" s="8" t="s">
        <v>340</v>
      </c>
      <c r="M96" s="20" t="s">
        <v>107</v>
      </c>
      <c r="N96" s="20" t="s">
        <v>201</v>
      </c>
      <c r="O96" s="20" t="s">
        <v>236</v>
      </c>
      <c r="P96" s="20"/>
      <c r="Q96" s="9" t="s">
        <v>214</v>
      </c>
      <c r="R96" s="9" t="s">
        <v>202</v>
      </c>
      <c r="S96" s="9" t="s">
        <v>344</v>
      </c>
      <c r="T96" s="9" t="s">
        <v>111</v>
      </c>
      <c r="U96" s="9"/>
      <c r="V96" s="13" t="s">
        <v>139</v>
      </c>
    </row>
    <row r="97" spans="2:22" x14ac:dyDescent="0.25">
      <c r="B97" s="74"/>
      <c r="C97" s="76"/>
      <c r="D97" s="76"/>
      <c r="E97" s="7"/>
      <c r="F97" s="7"/>
      <c r="G97" s="7"/>
      <c r="H97" s="7"/>
      <c r="I97" s="8"/>
      <c r="J97" s="8"/>
      <c r="K97" s="8"/>
      <c r="L97" s="8"/>
      <c r="M97" s="20"/>
      <c r="N97" s="20"/>
      <c r="O97" s="20"/>
      <c r="P97" s="20"/>
      <c r="Q97" s="9"/>
      <c r="R97" s="9"/>
      <c r="S97" s="9"/>
      <c r="T97" s="9"/>
      <c r="U97" s="9"/>
      <c r="V97" s="13"/>
    </row>
    <row r="98" spans="2:22" x14ac:dyDescent="0.25">
      <c r="B98" s="2" t="s">
        <v>89</v>
      </c>
      <c r="C98" s="2">
        <f>SUM(C90:C97)</f>
        <v>10</v>
      </c>
      <c r="D98" s="2">
        <f>SUM(D90:D97)</f>
        <v>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101" spans="2:22" x14ac:dyDescent="0.25">
      <c r="B101" s="11">
        <v>46153</v>
      </c>
      <c r="C101" s="10" t="s">
        <v>354</v>
      </c>
      <c r="D101" s="10" t="s">
        <v>386</v>
      </c>
      <c r="E101" s="77" t="s">
        <v>82</v>
      </c>
      <c r="F101" s="77"/>
      <c r="G101" s="77"/>
      <c r="H101" s="77"/>
      <c r="I101" s="78" t="s">
        <v>85</v>
      </c>
      <c r="J101" s="78"/>
      <c r="K101" s="78"/>
      <c r="L101" s="78"/>
      <c r="M101" s="79" t="s">
        <v>84</v>
      </c>
      <c r="N101" s="79"/>
      <c r="O101" s="79"/>
      <c r="P101" s="79"/>
      <c r="Q101" s="80" t="s">
        <v>78</v>
      </c>
      <c r="R101" s="80"/>
      <c r="S101" s="80"/>
      <c r="T101" s="80"/>
      <c r="U101" s="80"/>
      <c r="V101" s="80"/>
    </row>
    <row r="102" spans="2:22" x14ac:dyDescent="0.25">
      <c r="B102" s="73" t="s">
        <v>65</v>
      </c>
      <c r="C102" s="75">
        <v>2</v>
      </c>
      <c r="D102" s="75">
        <v>0</v>
      </c>
      <c r="E102" s="7" t="s">
        <v>130</v>
      </c>
      <c r="F102" s="7" t="s">
        <v>310</v>
      </c>
      <c r="G102" s="7"/>
      <c r="H102" s="7"/>
      <c r="I102" s="8" t="s">
        <v>310</v>
      </c>
      <c r="J102" s="8" t="s">
        <v>130</v>
      </c>
      <c r="K102" s="8"/>
      <c r="L102" s="8"/>
      <c r="M102" s="20" t="s">
        <v>201</v>
      </c>
      <c r="N102" s="20" t="s">
        <v>134</v>
      </c>
      <c r="O102" s="20" t="s">
        <v>363</v>
      </c>
      <c r="P102" s="20"/>
      <c r="Q102" s="9" t="s">
        <v>365</v>
      </c>
      <c r="R102" s="9" t="s">
        <v>111</v>
      </c>
      <c r="S102" s="9" t="s">
        <v>344</v>
      </c>
      <c r="T102" s="9" t="s">
        <v>346</v>
      </c>
      <c r="U102" s="9"/>
      <c r="V102" s="13" t="s">
        <v>369</v>
      </c>
    </row>
    <row r="103" spans="2:22" x14ac:dyDescent="0.25">
      <c r="B103" s="74"/>
      <c r="C103" s="76"/>
      <c r="D103" s="76"/>
      <c r="E103" s="7"/>
      <c r="F103" s="7"/>
      <c r="G103" s="7"/>
      <c r="H103" s="7"/>
      <c r="I103" s="8"/>
      <c r="J103" s="8"/>
      <c r="K103" s="8"/>
      <c r="L103" s="8"/>
      <c r="M103" s="20"/>
      <c r="N103" s="20"/>
      <c r="O103" s="20"/>
      <c r="P103" s="20"/>
      <c r="Q103" s="9"/>
      <c r="R103" s="9"/>
      <c r="S103" s="9"/>
      <c r="T103" s="9"/>
      <c r="U103" s="9"/>
      <c r="V103" s="13"/>
    </row>
    <row r="104" spans="2:22" x14ac:dyDescent="0.25">
      <c r="B104" s="73" t="s">
        <v>71</v>
      </c>
      <c r="C104" s="75">
        <v>1</v>
      </c>
      <c r="D104" s="75">
        <v>0</v>
      </c>
      <c r="E104" s="7" t="s">
        <v>111</v>
      </c>
      <c r="F104" s="7"/>
      <c r="G104" s="7"/>
      <c r="H104" s="7"/>
      <c r="I104" s="8"/>
      <c r="J104" s="8"/>
      <c r="K104" s="8"/>
      <c r="L104" s="8"/>
      <c r="M104" s="20" t="s">
        <v>370</v>
      </c>
      <c r="N104" s="20" t="s">
        <v>111</v>
      </c>
      <c r="O104" s="20" t="s">
        <v>134</v>
      </c>
      <c r="P104" s="20"/>
      <c r="Q104" s="9" t="s">
        <v>181</v>
      </c>
      <c r="R104" s="9" t="s">
        <v>369</v>
      </c>
      <c r="S104" s="9" t="s">
        <v>368</v>
      </c>
      <c r="T104" s="9" t="s">
        <v>202</v>
      </c>
      <c r="U104" s="9"/>
      <c r="V104" s="13" t="s">
        <v>130</v>
      </c>
    </row>
    <row r="105" spans="2:22" x14ac:dyDescent="0.25">
      <c r="B105" s="74"/>
      <c r="C105" s="76"/>
      <c r="D105" s="76"/>
      <c r="E105" s="7"/>
      <c r="F105" s="7"/>
      <c r="G105" s="7"/>
      <c r="H105" s="7"/>
      <c r="I105" s="8"/>
      <c r="J105" s="8"/>
      <c r="K105" s="8"/>
      <c r="L105" s="8"/>
      <c r="M105" s="20"/>
      <c r="N105" s="20"/>
      <c r="O105" s="20"/>
      <c r="P105" s="20"/>
      <c r="Q105" s="9"/>
      <c r="R105" s="9"/>
      <c r="S105" s="9"/>
      <c r="T105" s="9"/>
      <c r="U105" s="9"/>
      <c r="V105" s="13"/>
    </row>
    <row r="106" spans="2:22" x14ac:dyDescent="0.25">
      <c r="B106" s="73" t="s">
        <v>73</v>
      </c>
      <c r="C106" s="75">
        <v>2</v>
      </c>
      <c r="D106" s="75">
        <v>0</v>
      </c>
      <c r="E106" s="7" t="s">
        <v>310</v>
      </c>
      <c r="F106" s="7" t="s">
        <v>310</v>
      </c>
      <c r="G106" s="7"/>
      <c r="H106" s="7"/>
      <c r="I106" s="8" t="s">
        <v>201</v>
      </c>
      <c r="J106" s="8" t="s">
        <v>130</v>
      </c>
      <c r="K106" s="8"/>
      <c r="L106" s="8"/>
      <c r="M106" s="20" t="s">
        <v>201</v>
      </c>
      <c r="N106" s="20" t="s">
        <v>370</v>
      </c>
      <c r="O106" s="20" t="s">
        <v>203</v>
      </c>
      <c r="P106" s="20"/>
      <c r="Q106" s="9" t="s">
        <v>371</v>
      </c>
      <c r="R106" s="9" t="s">
        <v>344</v>
      </c>
      <c r="S106" s="9" t="s">
        <v>365</v>
      </c>
      <c r="T106" s="9" t="s">
        <v>346</v>
      </c>
      <c r="U106" s="9"/>
      <c r="V106" s="13" t="s">
        <v>387</v>
      </c>
    </row>
    <row r="107" spans="2:22" x14ac:dyDescent="0.25">
      <c r="B107" s="74"/>
      <c r="C107" s="76"/>
      <c r="D107" s="76"/>
      <c r="E107" s="7"/>
      <c r="F107" s="7"/>
      <c r="G107" s="7"/>
      <c r="H107" s="7"/>
      <c r="I107" s="8"/>
      <c r="J107" s="8"/>
      <c r="K107" s="8"/>
      <c r="L107" s="8"/>
      <c r="M107" s="20"/>
      <c r="N107" s="20"/>
      <c r="O107" s="20"/>
      <c r="P107" s="20"/>
      <c r="Q107" s="9"/>
      <c r="R107" s="9"/>
      <c r="S107" s="9"/>
      <c r="T107" s="9"/>
      <c r="U107" s="9"/>
      <c r="V107" s="13"/>
    </row>
    <row r="108" spans="2:22" x14ac:dyDescent="0.25">
      <c r="B108" s="73" t="s">
        <v>41</v>
      </c>
      <c r="C108" s="75">
        <v>1</v>
      </c>
      <c r="D108" s="75">
        <v>0</v>
      </c>
      <c r="E108" s="7" t="s">
        <v>310</v>
      </c>
      <c r="F108" s="7"/>
      <c r="G108" s="7"/>
      <c r="H108" s="7"/>
      <c r="I108" s="8" t="s">
        <v>369</v>
      </c>
      <c r="J108" s="8"/>
      <c r="K108" s="8"/>
      <c r="L108" s="8"/>
      <c r="M108" s="20" t="s">
        <v>201</v>
      </c>
      <c r="N108" s="20" t="s">
        <v>344</v>
      </c>
      <c r="O108" s="20" t="s">
        <v>363</v>
      </c>
      <c r="P108" s="20"/>
      <c r="Q108" s="9" t="s">
        <v>202</v>
      </c>
      <c r="R108" s="9" t="s">
        <v>181</v>
      </c>
      <c r="S108" s="9" t="s">
        <v>368</v>
      </c>
      <c r="T108" s="9" t="s">
        <v>351</v>
      </c>
      <c r="U108" s="9"/>
      <c r="V108" s="13" t="s">
        <v>130</v>
      </c>
    </row>
    <row r="109" spans="2:22" x14ac:dyDescent="0.25">
      <c r="B109" s="74"/>
      <c r="C109" s="76"/>
      <c r="D109" s="76"/>
      <c r="E109" s="7"/>
      <c r="F109" s="7"/>
      <c r="G109" s="7"/>
      <c r="H109" s="7"/>
      <c r="I109" s="8"/>
      <c r="J109" s="8"/>
      <c r="K109" s="8"/>
      <c r="L109" s="8"/>
      <c r="M109" s="20"/>
      <c r="N109" s="20"/>
      <c r="O109" s="20"/>
      <c r="P109" s="20"/>
      <c r="Q109" s="9"/>
      <c r="R109" s="9"/>
      <c r="S109" s="9"/>
      <c r="T109" s="9"/>
      <c r="U109" s="9"/>
      <c r="V109" s="13"/>
    </row>
    <row r="110" spans="2:22" x14ac:dyDescent="0.25">
      <c r="B110" s="2" t="s">
        <v>89</v>
      </c>
      <c r="C110" s="2">
        <f>SUM(C102:C109)</f>
        <v>6</v>
      </c>
      <c r="D110" s="2">
        <f>SUM(D102:D109)</f>
        <v>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3" spans="2:22" x14ac:dyDescent="0.25">
      <c r="B113" s="11">
        <v>46156</v>
      </c>
      <c r="C113" s="10" t="s">
        <v>384</v>
      </c>
      <c r="D113" s="10" t="s">
        <v>385</v>
      </c>
      <c r="E113" s="77" t="s">
        <v>82</v>
      </c>
      <c r="F113" s="77"/>
      <c r="G113" s="77"/>
      <c r="H113" s="77"/>
      <c r="I113" s="78" t="s">
        <v>85</v>
      </c>
      <c r="J113" s="78"/>
      <c r="K113" s="78"/>
      <c r="L113" s="78"/>
      <c r="M113" s="79" t="s">
        <v>84</v>
      </c>
      <c r="N113" s="79"/>
      <c r="O113" s="79"/>
      <c r="P113" s="79"/>
      <c r="Q113" s="80" t="s">
        <v>78</v>
      </c>
      <c r="R113" s="80"/>
      <c r="S113" s="80"/>
      <c r="T113" s="80"/>
      <c r="U113" s="80"/>
      <c r="V113" s="80"/>
    </row>
    <row r="114" spans="2:22" x14ac:dyDescent="0.25">
      <c r="B114" s="73" t="s">
        <v>65</v>
      </c>
      <c r="C114" s="75">
        <v>1</v>
      </c>
      <c r="D114" s="75">
        <v>0</v>
      </c>
      <c r="E114" s="7" t="s">
        <v>370</v>
      </c>
      <c r="F114" s="7"/>
      <c r="G114" s="7"/>
      <c r="H114" s="7"/>
      <c r="I114" s="8"/>
      <c r="J114" s="8"/>
      <c r="K114" s="8"/>
      <c r="L114" s="8"/>
      <c r="M114" s="20" t="s">
        <v>203</v>
      </c>
      <c r="N114" s="20" t="s">
        <v>370</v>
      </c>
      <c r="O114" s="20" t="s">
        <v>363</v>
      </c>
      <c r="P114" s="20"/>
      <c r="Q114" s="9" t="s">
        <v>92</v>
      </c>
      <c r="R114" s="9" t="s">
        <v>365</v>
      </c>
      <c r="S114" s="9" t="s">
        <v>351</v>
      </c>
      <c r="T114" s="9" t="s">
        <v>118</v>
      </c>
      <c r="U114" s="9"/>
      <c r="V114" s="13" t="s">
        <v>388</v>
      </c>
    </row>
    <row r="115" spans="2:22" x14ac:dyDescent="0.25">
      <c r="B115" s="74"/>
      <c r="C115" s="76"/>
      <c r="D115" s="76"/>
      <c r="E115" s="7"/>
      <c r="F115" s="7"/>
      <c r="G115" s="7"/>
      <c r="H115" s="7"/>
      <c r="I115" s="8"/>
      <c r="J115" s="8"/>
      <c r="K115" s="8"/>
      <c r="L115" s="8"/>
      <c r="M115" s="20"/>
      <c r="N115" s="20"/>
      <c r="O115" s="20"/>
      <c r="P115" s="20"/>
      <c r="Q115" s="9"/>
      <c r="R115" s="9"/>
      <c r="S115" s="9"/>
      <c r="T115" s="9"/>
      <c r="U115" s="9"/>
      <c r="V115" s="13"/>
    </row>
    <row r="116" spans="2:22" x14ac:dyDescent="0.25">
      <c r="B116" s="73" t="s">
        <v>71</v>
      </c>
      <c r="C116" s="75">
        <v>1</v>
      </c>
      <c r="D116" s="75">
        <v>0</v>
      </c>
      <c r="E116" s="7" t="s">
        <v>389</v>
      </c>
      <c r="F116" s="7"/>
      <c r="G116" s="7"/>
      <c r="H116" s="7"/>
      <c r="I116" s="8"/>
      <c r="J116" s="8"/>
      <c r="K116" s="8"/>
      <c r="L116" s="8"/>
      <c r="M116" s="20" t="s">
        <v>370</v>
      </c>
      <c r="N116" s="20" t="s">
        <v>203</v>
      </c>
      <c r="O116" s="20" t="s">
        <v>363</v>
      </c>
      <c r="P116" s="20"/>
      <c r="Q116" s="9" t="s">
        <v>92</v>
      </c>
      <c r="R116" s="9" t="s">
        <v>365</v>
      </c>
      <c r="S116" s="9" t="s">
        <v>351</v>
      </c>
      <c r="T116" s="9" t="s">
        <v>118</v>
      </c>
      <c r="U116" s="9"/>
      <c r="V116" s="13" t="s">
        <v>388</v>
      </c>
    </row>
    <row r="117" spans="2:22" x14ac:dyDescent="0.25">
      <c r="B117" s="74"/>
      <c r="C117" s="76"/>
      <c r="D117" s="76"/>
      <c r="E117" s="7"/>
      <c r="F117" s="7"/>
      <c r="G117" s="7"/>
      <c r="H117" s="7"/>
      <c r="I117" s="8"/>
      <c r="J117" s="8"/>
      <c r="K117" s="8"/>
      <c r="L117" s="8"/>
      <c r="M117" s="20"/>
      <c r="N117" s="20"/>
      <c r="O117" s="20"/>
      <c r="P117" s="20"/>
      <c r="Q117" s="9"/>
      <c r="R117" s="9"/>
      <c r="S117" s="9"/>
      <c r="T117" s="9"/>
      <c r="U117" s="9"/>
      <c r="V117" s="13"/>
    </row>
    <row r="118" spans="2:22" x14ac:dyDescent="0.25">
      <c r="B118" s="73" t="s">
        <v>73</v>
      </c>
      <c r="C118" s="75">
        <v>2</v>
      </c>
      <c r="D118" s="75">
        <v>2</v>
      </c>
      <c r="E118" s="7" t="s">
        <v>113</v>
      </c>
      <c r="F118" s="7" t="s">
        <v>130</v>
      </c>
      <c r="G118" s="7"/>
      <c r="H118" s="7"/>
      <c r="I118" s="8" t="s">
        <v>363</v>
      </c>
      <c r="J118" s="8"/>
      <c r="K118" s="8"/>
      <c r="L118" s="8"/>
      <c r="M118" s="20"/>
      <c r="N118" s="20"/>
      <c r="O118" s="20"/>
      <c r="P118" s="20"/>
      <c r="Q118" s="9"/>
      <c r="R118" s="9"/>
      <c r="S118" s="9"/>
      <c r="T118" s="9"/>
      <c r="U118" s="9"/>
      <c r="V118" s="13"/>
    </row>
    <row r="119" spans="2:22" x14ac:dyDescent="0.25">
      <c r="B119" s="74"/>
      <c r="C119" s="76"/>
      <c r="D119" s="76"/>
      <c r="E119" s="7" t="s">
        <v>109</v>
      </c>
      <c r="F119" s="7" t="s">
        <v>122</v>
      </c>
      <c r="G119" s="7"/>
      <c r="H119" s="7"/>
      <c r="I119" s="8" t="s">
        <v>102</v>
      </c>
      <c r="J119" s="8" t="s">
        <v>102</v>
      </c>
      <c r="K119" s="8"/>
      <c r="L119" s="8"/>
      <c r="M119" s="20"/>
      <c r="N119" s="20"/>
      <c r="O119" s="20"/>
      <c r="P119" s="20"/>
      <c r="Q119" s="9"/>
      <c r="R119" s="9"/>
      <c r="S119" s="9"/>
      <c r="T119" s="9"/>
      <c r="U119" s="9"/>
      <c r="V119" s="13"/>
    </row>
    <row r="120" spans="2:22" x14ac:dyDescent="0.25">
      <c r="B120" s="73" t="s">
        <v>41</v>
      </c>
      <c r="C120" s="75">
        <v>2</v>
      </c>
      <c r="D120" s="75">
        <v>1</v>
      </c>
      <c r="E120" s="7" t="s">
        <v>203</v>
      </c>
      <c r="F120" s="7" t="s">
        <v>130</v>
      </c>
      <c r="G120" s="7"/>
      <c r="H120" s="7"/>
      <c r="I120" s="8" t="s">
        <v>362</v>
      </c>
      <c r="J120" s="8"/>
      <c r="K120" s="8"/>
      <c r="L120" s="8"/>
      <c r="M120" s="20"/>
      <c r="N120" s="20"/>
      <c r="O120" s="20"/>
      <c r="P120" s="20"/>
      <c r="Q120" s="9"/>
      <c r="R120" s="9"/>
      <c r="S120" s="9"/>
      <c r="T120" s="9"/>
      <c r="U120" s="9"/>
      <c r="V120" s="13"/>
    </row>
    <row r="121" spans="2:22" x14ac:dyDescent="0.25">
      <c r="B121" s="74"/>
      <c r="C121" s="76"/>
      <c r="D121" s="76"/>
      <c r="E121" s="7" t="s">
        <v>102</v>
      </c>
      <c r="F121" s="7"/>
      <c r="G121" s="7"/>
      <c r="H121" s="7"/>
      <c r="I121" s="8" t="s">
        <v>113</v>
      </c>
      <c r="J121" s="8"/>
      <c r="K121" s="8"/>
      <c r="L121" s="8"/>
      <c r="M121" s="20"/>
      <c r="N121" s="20"/>
      <c r="O121" s="20"/>
      <c r="P121" s="20"/>
      <c r="Q121" s="9"/>
      <c r="R121" s="9"/>
      <c r="S121" s="9"/>
      <c r="T121" s="9"/>
      <c r="U121" s="9"/>
      <c r="V121" s="13"/>
    </row>
    <row r="122" spans="2:22" x14ac:dyDescent="0.25">
      <c r="B122" s="2" t="s">
        <v>89</v>
      </c>
      <c r="C122" s="2">
        <f>SUM(C114:C121)</f>
        <v>6</v>
      </c>
      <c r="D122" s="2">
        <f>SUM(D114:D121)</f>
        <v>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5" spans="2:22" x14ac:dyDescent="0.25">
      <c r="B125" s="11">
        <v>46170</v>
      </c>
      <c r="C125" s="10" t="s">
        <v>374</v>
      </c>
      <c r="D125" s="10" t="s">
        <v>384</v>
      </c>
      <c r="E125" s="77" t="s">
        <v>82</v>
      </c>
      <c r="F125" s="77"/>
      <c r="G125" s="77"/>
      <c r="H125" s="77"/>
      <c r="I125" s="78" t="s">
        <v>85</v>
      </c>
      <c r="J125" s="78"/>
      <c r="K125" s="78"/>
      <c r="L125" s="78"/>
      <c r="M125" s="79" t="s">
        <v>84</v>
      </c>
      <c r="N125" s="79"/>
      <c r="O125" s="79"/>
      <c r="P125" s="79"/>
      <c r="Q125" s="80" t="s">
        <v>78</v>
      </c>
      <c r="R125" s="80"/>
      <c r="S125" s="80"/>
      <c r="T125" s="80"/>
      <c r="U125" s="80"/>
      <c r="V125" s="80"/>
    </row>
    <row r="126" spans="2:22" x14ac:dyDescent="0.25">
      <c r="B126" s="73" t="s">
        <v>65</v>
      </c>
      <c r="C126" s="75">
        <v>0</v>
      </c>
      <c r="D126" s="75">
        <v>0</v>
      </c>
      <c r="E126" s="7"/>
      <c r="F126" s="7"/>
      <c r="G126" s="7"/>
      <c r="H126" s="7"/>
      <c r="I126" s="8"/>
      <c r="J126" s="8"/>
      <c r="K126" s="8"/>
      <c r="L126" s="8"/>
      <c r="M126" s="20"/>
      <c r="N126" s="20"/>
      <c r="O126" s="20"/>
      <c r="P126" s="20"/>
      <c r="Q126" s="9" t="s">
        <v>115</v>
      </c>
      <c r="R126" s="9" t="s">
        <v>365</v>
      </c>
      <c r="S126" s="9" t="s">
        <v>297</v>
      </c>
      <c r="T126" s="9" t="s">
        <v>195</v>
      </c>
      <c r="U126" s="9"/>
      <c r="V126" s="13" t="s">
        <v>311</v>
      </c>
    </row>
    <row r="127" spans="2:22" x14ac:dyDescent="0.25">
      <c r="B127" s="74"/>
      <c r="C127" s="76"/>
      <c r="D127" s="76"/>
      <c r="E127" s="7"/>
      <c r="F127" s="7"/>
      <c r="G127" s="7"/>
      <c r="H127" s="7"/>
      <c r="I127" s="8"/>
      <c r="J127" s="8"/>
      <c r="K127" s="8"/>
      <c r="L127" s="8"/>
      <c r="M127" s="20"/>
      <c r="N127" s="20"/>
      <c r="O127" s="20"/>
      <c r="P127" s="20"/>
      <c r="Q127" s="9" t="s">
        <v>369</v>
      </c>
      <c r="R127" s="9" t="s">
        <v>324</v>
      </c>
      <c r="S127" s="9" t="s">
        <v>351</v>
      </c>
      <c r="T127" s="9" t="s">
        <v>174</v>
      </c>
      <c r="U127" s="9"/>
      <c r="V127" s="13" t="s">
        <v>108</v>
      </c>
    </row>
    <row r="128" spans="2:22" x14ac:dyDescent="0.25">
      <c r="B128" s="73" t="s">
        <v>71</v>
      </c>
      <c r="C128" s="75">
        <v>2</v>
      </c>
      <c r="D128" s="75">
        <v>2</v>
      </c>
      <c r="E128" s="7" t="s">
        <v>311</v>
      </c>
      <c r="F128" s="7" t="s">
        <v>311</v>
      </c>
      <c r="G128" s="7"/>
      <c r="H128" s="7"/>
      <c r="I128" s="8" t="s">
        <v>362</v>
      </c>
      <c r="J128" s="8" t="s">
        <v>367</v>
      </c>
      <c r="K128" s="8"/>
      <c r="L128" s="8"/>
      <c r="M128" s="20"/>
      <c r="N128" s="20"/>
      <c r="O128" s="20"/>
      <c r="P128" s="20"/>
      <c r="Q128" s="9"/>
      <c r="R128" s="9"/>
      <c r="S128" s="9"/>
      <c r="T128" s="9"/>
      <c r="U128" s="9"/>
      <c r="V128" s="13"/>
    </row>
    <row r="129" spans="2:22" x14ac:dyDescent="0.25">
      <c r="B129" s="74"/>
      <c r="C129" s="76"/>
      <c r="D129" s="76"/>
      <c r="E129" s="7" t="s">
        <v>310</v>
      </c>
      <c r="F129" s="7" t="s">
        <v>310</v>
      </c>
      <c r="G129" s="7"/>
      <c r="H129" s="7"/>
      <c r="I129" s="8" t="s">
        <v>340</v>
      </c>
      <c r="J129" s="8"/>
      <c r="K129" s="8"/>
      <c r="L129" s="8"/>
      <c r="M129" s="20"/>
      <c r="N129" s="20"/>
      <c r="O129" s="20"/>
      <c r="P129" s="20"/>
      <c r="Q129" s="9"/>
      <c r="R129" s="9"/>
      <c r="S129" s="9"/>
      <c r="T129" s="9"/>
      <c r="U129" s="9"/>
      <c r="V129" s="13"/>
    </row>
    <row r="130" spans="2:22" x14ac:dyDescent="0.25">
      <c r="B130" s="73" t="s">
        <v>73</v>
      </c>
      <c r="C130" s="75">
        <v>0</v>
      </c>
      <c r="D130" s="75">
        <v>3</v>
      </c>
      <c r="E130" s="7" t="s">
        <v>236</v>
      </c>
      <c r="F130" s="7" t="s">
        <v>310</v>
      </c>
      <c r="G130" s="7" t="s">
        <v>213</v>
      </c>
      <c r="H130" s="7"/>
      <c r="I130" s="8" t="s">
        <v>195</v>
      </c>
      <c r="J130" s="8" t="s">
        <v>163</v>
      </c>
      <c r="K130" s="8"/>
      <c r="L130" s="8"/>
      <c r="M130" s="20" t="s">
        <v>113</v>
      </c>
      <c r="N130" s="20" t="s">
        <v>213</v>
      </c>
      <c r="O130" s="20" t="s">
        <v>236</v>
      </c>
      <c r="P130" s="20"/>
      <c r="Q130" s="9" t="s">
        <v>202</v>
      </c>
      <c r="R130" s="9" t="s">
        <v>108</v>
      </c>
      <c r="S130" s="9" t="s">
        <v>324</v>
      </c>
      <c r="T130" s="9" t="s">
        <v>195</v>
      </c>
      <c r="U130" s="9"/>
      <c r="V130" s="13" t="s">
        <v>174</v>
      </c>
    </row>
    <row r="131" spans="2:22" x14ac:dyDescent="0.25">
      <c r="B131" s="74"/>
      <c r="C131" s="76"/>
      <c r="D131" s="76"/>
      <c r="E131" s="7"/>
      <c r="F131" s="7"/>
      <c r="G131" s="7"/>
      <c r="H131" s="7"/>
      <c r="I131" s="8"/>
      <c r="J131" s="8"/>
      <c r="K131" s="8"/>
      <c r="L131" s="8"/>
      <c r="M131" s="20"/>
      <c r="N131" s="20"/>
      <c r="O131" s="20"/>
      <c r="P131" s="20"/>
      <c r="Q131" s="9"/>
      <c r="R131" s="9"/>
      <c r="S131" s="9"/>
      <c r="T131" s="9"/>
      <c r="U131" s="9"/>
      <c r="V131" s="13"/>
    </row>
    <row r="132" spans="2:22" x14ac:dyDescent="0.25">
      <c r="B132" s="2" t="s">
        <v>89</v>
      </c>
      <c r="C132" s="2">
        <f>SUM(C126:C131)</f>
        <v>2</v>
      </c>
      <c r="D132" s="2">
        <f>SUM(D126:D131)</f>
        <v>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5" spans="2:22" x14ac:dyDescent="0.25">
      <c r="B135" s="11">
        <v>46177</v>
      </c>
      <c r="C135" s="10" t="s">
        <v>374</v>
      </c>
      <c r="D135" s="10" t="s">
        <v>384</v>
      </c>
      <c r="E135" s="77" t="s">
        <v>82</v>
      </c>
      <c r="F135" s="77"/>
      <c r="G135" s="77"/>
      <c r="H135" s="77"/>
      <c r="I135" s="78" t="s">
        <v>85</v>
      </c>
      <c r="J135" s="78"/>
      <c r="K135" s="78"/>
      <c r="L135" s="78"/>
      <c r="M135" s="79" t="s">
        <v>84</v>
      </c>
      <c r="N135" s="79"/>
      <c r="O135" s="79"/>
      <c r="P135" s="79"/>
      <c r="Q135" s="80" t="s">
        <v>78</v>
      </c>
      <c r="R135" s="80"/>
      <c r="S135" s="80"/>
      <c r="T135" s="80"/>
      <c r="U135" s="80"/>
      <c r="V135" s="80"/>
    </row>
    <row r="136" spans="2:22" x14ac:dyDescent="0.25">
      <c r="B136" s="73" t="s">
        <v>65</v>
      </c>
      <c r="C136" s="75">
        <v>1</v>
      </c>
      <c r="D136" s="75">
        <v>2</v>
      </c>
      <c r="E136" s="7" t="s">
        <v>98</v>
      </c>
      <c r="F136" s="7"/>
      <c r="G136" s="7"/>
      <c r="H136" s="7"/>
      <c r="I136" s="8" t="s">
        <v>310</v>
      </c>
      <c r="J136" s="8"/>
      <c r="K136" s="8"/>
      <c r="L136" s="8"/>
      <c r="M136" s="20"/>
      <c r="N136" s="20"/>
      <c r="O136" s="20"/>
      <c r="P136" s="20"/>
      <c r="Q136" s="9"/>
      <c r="R136" s="9"/>
      <c r="S136" s="9"/>
      <c r="T136" s="9"/>
      <c r="U136" s="9"/>
      <c r="V136" s="13"/>
    </row>
    <row r="137" spans="2:22" x14ac:dyDescent="0.25">
      <c r="B137" s="74"/>
      <c r="C137" s="76"/>
      <c r="D137" s="76"/>
      <c r="E137" s="7" t="s">
        <v>109</v>
      </c>
      <c r="F137" s="7" t="s">
        <v>306</v>
      </c>
      <c r="G137" s="7"/>
      <c r="H137" s="7"/>
      <c r="I137" s="8" t="s">
        <v>306</v>
      </c>
      <c r="J137" s="8"/>
      <c r="K137" s="8"/>
      <c r="L137" s="8"/>
      <c r="M137" s="20"/>
      <c r="N137" s="20"/>
      <c r="O137" s="20"/>
      <c r="P137" s="20"/>
      <c r="Q137" s="9"/>
      <c r="R137" s="9"/>
      <c r="S137" s="9"/>
      <c r="T137" s="9"/>
      <c r="U137" s="9"/>
      <c r="V137" s="13"/>
    </row>
    <row r="138" spans="2:22" x14ac:dyDescent="0.25">
      <c r="B138" s="73" t="s">
        <v>71</v>
      </c>
      <c r="C138" s="75">
        <v>1</v>
      </c>
      <c r="D138" s="75">
        <v>0</v>
      </c>
      <c r="E138" s="7" t="s">
        <v>310</v>
      </c>
      <c r="F138" s="7"/>
      <c r="G138" s="7"/>
      <c r="H138" s="7"/>
      <c r="I138" s="8"/>
      <c r="J138" s="8"/>
      <c r="K138" s="8"/>
      <c r="L138" s="8"/>
      <c r="M138" s="20" t="s">
        <v>236</v>
      </c>
      <c r="N138" s="20" t="s">
        <v>107</v>
      </c>
      <c r="O138" s="20"/>
      <c r="P138" s="20"/>
      <c r="Q138" s="9" t="s">
        <v>297</v>
      </c>
      <c r="R138" s="9" t="s">
        <v>358</v>
      </c>
      <c r="S138" s="9" t="s">
        <v>118</v>
      </c>
      <c r="T138" s="9" t="s">
        <v>202</v>
      </c>
      <c r="U138" s="9"/>
      <c r="V138" s="13" t="s">
        <v>115</v>
      </c>
    </row>
    <row r="139" spans="2:22" x14ac:dyDescent="0.25">
      <c r="B139" s="74"/>
      <c r="C139" s="76"/>
      <c r="D139" s="76"/>
      <c r="E139" s="7"/>
      <c r="F139" s="7"/>
      <c r="G139" s="7"/>
      <c r="H139" s="7"/>
      <c r="I139" s="8"/>
      <c r="J139" s="8"/>
      <c r="K139" s="8"/>
      <c r="L139" s="8"/>
      <c r="M139" s="20"/>
      <c r="N139" s="20"/>
      <c r="O139" s="20"/>
      <c r="P139" s="20"/>
      <c r="Q139" s="9"/>
      <c r="R139" s="9"/>
      <c r="S139" s="9"/>
      <c r="T139" s="9"/>
      <c r="U139" s="9"/>
      <c r="V139" s="13"/>
    </row>
    <row r="140" spans="2:22" x14ac:dyDescent="0.25">
      <c r="B140" s="73" t="s">
        <v>73</v>
      </c>
      <c r="C140" s="75">
        <v>2</v>
      </c>
      <c r="D140" s="75">
        <v>1</v>
      </c>
      <c r="E140" s="7" t="s">
        <v>315</v>
      </c>
      <c r="F140" s="7" t="s">
        <v>109</v>
      </c>
      <c r="G140" s="7"/>
      <c r="H140" s="7"/>
      <c r="I140" s="8"/>
      <c r="J140" s="8" t="s">
        <v>92</v>
      </c>
      <c r="K140" s="8"/>
      <c r="L140" s="8"/>
      <c r="M140" s="20"/>
      <c r="N140" s="20"/>
      <c r="O140" s="20"/>
      <c r="P140" s="20"/>
      <c r="Q140" s="9"/>
      <c r="R140" s="9"/>
      <c r="S140" s="9"/>
      <c r="T140" s="9"/>
      <c r="U140" s="9"/>
      <c r="V140" s="13"/>
    </row>
    <row r="141" spans="2:22" x14ac:dyDescent="0.25">
      <c r="B141" s="74"/>
      <c r="C141" s="76"/>
      <c r="D141" s="76"/>
      <c r="E141" s="7" t="s">
        <v>310</v>
      </c>
      <c r="F141" s="7"/>
      <c r="G141" s="7"/>
      <c r="H141" s="7"/>
      <c r="I141" s="8" t="s">
        <v>202</v>
      </c>
      <c r="J141" s="8"/>
      <c r="K141" s="8"/>
      <c r="L141" s="8"/>
      <c r="M141" s="20"/>
      <c r="N141" s="20"/>
      <c r="O141" s="20"/>
      <c r="P141" s="20"/>
      <c r="Q141" s="9"/>
      <c r="R141" s="9"/>
      <c r="S141" s="9"/>
      <c r="T141" s="9"/>
      <c r="U141" s="9"/>
      <c r="V141" s="13"/>
    </row>
    <row r="142" spans="2:22" x14ac:dyDescent="0.25">
      <c r="B142" s="73" t="s">
        <v>41</v>
      </c>
      <c r="C142" s="75">
        <v>0</v>
      </c>
      <c r="D142" s="75">
        <v>0</v>
      </c>
      <c r="E142" s="7"/>
      <c r="F142" s="7"/>
      <c r="G142" s="7"/>
      <c r="H142" s="7"/>
      <c r="I142" s="8"/>
      <c r="J142" s="8"/>
      <c r="K142" s="8"/>
      <c r="L142" s="8"/>
      <c r="M142" s="20"/>
      <c r="N142" s="20"/>
      <c r="O142" s="20"/>
      <c r="P142" s="20"/>
      <c r="Q142" s="9" t="s">
        <v>297</v>
      </c>
      <c r="R142" s="9" t="s">
        <v>233</v>
      </c>
      <c r="S142" s="9" t="s">
        <v>118</v>
      </c>
      <c r="T142" s="9" t="s">
        <v>340</v>
      </c>
      <c r="U142" s="9"/>
      <c r="V142" s="13" t="s">
        <v>365</v>
      </c>
    </row>
    <row r="143" spans="2:22" x14ac:dyDescent="0.25">
      <c r="B143" s="74"/>
      <c r="C143" s="76"/>
      <c r="D143" s="76"/>
      <c r="E143" s="7"/>
      <c r="F143" s="7"/>
      <c r="G143" s="7"/>
      <c r="H143" s="7"/>
      <c r="I143" s="8"/>
      <c r="J143" s="8"/>
      <c r="K143" s="8"/>
      <c r="L143" s="8"/>
      <c r="M143" s="20"/>
      <c r="N143" s="20"/>
      <c r="O143" s="20"/>
      <c r="P143" s="20"/>
      <c r="Q143" s="9" t="s">
        <v>202</v>
      </c>
      <c r="R143" s="9" t="s">
        <v>324</v>
      </c>
      <c r="S143" s="9" t="s">
        <v>115</v>
      </c>
      <c r="T143" s="9"/>
      <c r="U143" s="9"/>
      <c r="V143" s="13" t="s">
        <v>105</v>
      </c>
    </row>
    <row r="144" spans="2:22" x14ac:dyDescent="0.25">
      <c r="B144" s="2" t="s">
        <v>89</v>
      </c>
      <c r="C144" s="2">
        <f>SUM(C136:C143)</f>
        <v>4</v>
      </c>
      <c r="D144" s="2">
        <f>SUM(D136:D143)</f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7" spans="2:22" x14ac:dyDescent="0.25">
      <c r="B147" s="11">
        <v>46184</v>
      </c>
      <c r="C147" s="10" t="s">
        <v>354</v>
      </c>
      <c r="D147" s="10" t="s">
        <v>392</v>
      </c>
      <c r="E147" s="77" t="s">
        <v>82</v>
      </c>
      <c r="F147" s="77"/>
      <c r="G147" s="77"/>
      <c r="H147" s="77"/>
      <c r="I147" s="78" t="s">
        <v>85</v>
      </c>
      <c r="J147" s="78"/>
      <c r="K147" s="78"/>
      <c r="L147" s="78"/>
      <c r="M147" s="79" t="s">
        <v>84</v>
      </c>
      <c r="N147" s="79"/>
      <c r="O147" s="79"/>
      <c r="P147" s="79"/>
      <c r="Q147" s="80" t="s">
        <v>78</v>
      </c>
      <c r="R147" s="80"/>
      <c r="S147" s="80"/>
      <c r="T147" s="80"/>
      <c r="U147" s="80"/>
      <c r="V147" s="80"/>
    </row>
    <row r="148" spans="2:22" x14ac:dyDescent="0.25">
      <c r="B148" s="73" t="s">
        <v>65</v>
      </c>
      <c r="C148" s="75">
        <v>1</v>
      </c>
      <c r="D148" s="75">
        <v>0</v>
      </c>
      <c r="E148" s="7" t="s">
        <v>181</v>
      </c>
      <c r="F148" s="7"/>
      <c r="G148" s="7"/>
      <c r="H148" s="7"/>
      <c r="I148" s="8" t="s">
        <v>213</v>
      </c>
      <c r="J148" s="8"/>
      <c r="K148" s="8"/>
      <c r="L148" s="8"/>
      <c r="M148" s="20" t="s">
        <v>203</v>
      </c>
      <c r="N148" s="20" t="s">
        <v>213</v>
      </c>
      <c r="O148" s="20" t="s">
        <v>305</v>
      </c>
      <c r="P148" s="20"/>
      <c r="Q148" s="9" t="s">
        <v>297</v>
      </c>
      <c r="R148" s="9" t="s">
        <v>181</v>
      </c>
      <c r="S148" s="9" t="s">
        <v>122</v>
      </c>
      <c r="T148" s="9" t="s">
        <v>214</v>
      </c>
      <c r="U148" s="9"/>
      <c r="V148" s="13" t="s">
        <v>174</v>
      </c>
    </row>
    <row r="149" spans="2:22" x14ac:dyDescent="0.25">
      <c r="B149" s="74"/>
      <c r="C149" s="76"/>
      <c r="D149" s="76"/>
      <c r="E149" s="7"/>
      <c r="F149" s="7"/>
      <c r="G149" s="7"/>
      <c r="H149" s="7"/>
      <c r="I149" s="8"/>
      <c r="J149" s="8"/>
      <c r="K149" s="8"/>
      <c r="L149" s="8"/>
      <c r="M149" s="20"/>
      <c r="N149" s="20"/>
      <c r="O149" s="20"/>
      <c r="P149" s="20"/>
      <c r="Q149" s="9"/>
      <c r="R149" s="9"/>
      <c r="S149" s="9"/>
      <c r="T149" s="9"/>
      <c r="U149" s="9"/>
      <c r="V149" s="13"/>
    </row>
    <row r="150" spans="2:22" x14ac:dyDescent="0.25">
      <c r="B150" s="73" t="s">
        <v>71</v>
      </c>
      <c r="C150" s="75">
        <v>0</v>
      </c>
      <c r="D150" s="75">
        <v>0</v>
      </c>
      <c r="E150" s="7"/>
      <c r="F150" s="7"/>
      <c r="G150" s="7"/>
      <c r="H150" s="7"/>
      <c r="I150" s="8"/>
      <c r="J150" s="8"/>
      <c r="K150" s="8"/>
      <c r="L150" s="8"/>
      <c r="M150" s="20"/>
      <c r="N150" s="20"/>
      <c r="O150" s="20"/>
      <c r="P150" s="20"/>
      <c r="Q150" s="9" t="s">
        <v>122</v>
      </c>
      <c r="R150" s="9" t="s">
        <v>174</v>
      </c>
      <c r="S150" s="9" t="s">
        <v>124</v>
      </c>
      <c r="T150" s="9" t="s">
        <v>135</v>
      </c>
      <c r="U150" s="9"/>
      <c r="V150" s="13" t="s">
        <v>181</v>
      </c>
    </row>
    <row r="151" spans="2:22" x14ac:dyDescent="0.25">
      <c r="B151" s="74"/>
      <c r="C151" s="76"/>
      <c r="D151" s="76"/>
      <c r="E151" s="7"/>
      <c r="F151" s="7"/>
      <c r="G151" s="7"/>
      <c r="H151" s="7"/>
      <c r="I151" s="8"/>
      <c r="J151" s="8"/>
      <c r="K151" s="8"/>
      <c r="L151" s="8"/>
      <c r="M151" s="20"/>
      <c r="N151" s="20"/>
      <c r="O151" s="20"/>
      <c r="P151" s="20"/>
      <c r="Q151" s="9"/>
      <c r="R151" s="9"/>
      <c r="S151" s="9"/>
      <c r="T151" s="9"/>
      <c r="U151" s="9"/>
      <c r="V151" s="13"/>
    </row>
    <row r="152" spans="2:22" x14ac:dyDescent="0.25">
      <c r="B152" s="73" t="s">
        <v>73</v>
      </c>
      <c r="C152" s="75">
        <v>1</v>
      </c>
      <c r="D152" s="75">
        <v>0</v>
      </c>
      <c r="E152" s="7" t="s">
        <v>102</v>
      </c>
      <c r="F152" s="7"/>
      <c r="G152" s="7"/>
      <c r="H152" s="7"/>
      <c r="I152" s="8" t="s">
        <v>340</v>
      </c>
      <c r="J152" s="8"/>
      <c r="K152" s="8"/>
      <c r="L152" s="8"/>
      <c r="M152" s="20" t="s">
        <v>213</v>
      </c>
      <c r="N152" s="20" t="s">
        <v>124</v>
      </c>
      <c r="O152" s="20" t="s">
        <v>305</v>
      </c>
      <c r="P152" s="20"/>
      <c r="Q152" s="9" t="s">
        <v>214</v>
      </c>
      <c r="R152" s="9" t="s">
        <v>124</v>
      </c>
      <c r="S152" s="9" t="s">
        <v>297</v>
      </c>
      <c r="T152" s="9" t="s">
        <v>181</v>
      </c>
      <c r="U152" s="9"/>
      <c r="V152" s="13" t="s">
        <v>174</v>
      </c>
    </row>
    <row r="153" spans="2:22" x14ac:dyDescent="0.25">
      <c r="B153" s="74"/>
      <c r="C153" s="76"/>
      <c r="D153" s="76"/>
      <c r="E153" s="7"/>
      <c r="F153" s="7"/>
      <c r="G153" s="7"/>
      <c r="H153" s="7"/>
      <c r="I153" s="8"/>
      <c r="J153" s="8"/>
      <c r="K153" s="8"/>
      <c r="L153" s="8"/>
      <c r="M153" s="20"/>
      <c r="N153" s="20"/>
      <c r="O153" s="20"/>
      <c r="P153" s="20"/>
      <c r="Q153" s="9"/>
      <c r="R153" s="9"/>
      <c r="S153" s="9"/>
      <c r="T153" s="9"/>
      <c r="U153" s="9"/>
      <c r="V153" s="13"/>
    </row>
    <row r="154" spans="2:22" x14ac:dyDescent="0.25">
      <c r="B154" s="73" t="s">
        <v>41</v>
      </c>
      <c r="C154" s="75">
        <v>4</v>
      </c>
      <c r="D154" s="75">
        <v>0</v>
      </c>
      <c r="E154" s="7" t="s">
        <v>109</v>
      </c>
      <c r="F154" s="7" t="s">
        <v>310</v>
      </c>
      <c r="G154" s="7" t="s">
        <v>130</v>
      </c>
      <c r="H154" s="7" t="s">
        <v>310</v>
      </c>
      <c r="I154" s="8"/>
      <c r="J154" s="8" t="s">
        <v>109</v>
      </c>
      <c r="K154" s="8" t="s">
        <v>214</v>
      </c>
      <c r="L154" s="8"/>
      <c r="M154" s="20" t="s">
        <v>213</v>
      </c>
      <c r="N154" s="20" t="s">
        <v>203</v>
      </c>
      <c r="O154" s="20" t="s">
        <v>109</v>
      </c>
      <c r="P154" s="20"/>
      <c r="Q154" s="9" t="s">
        <v>297</v>
      </c>
      <c r="R154" s="9" t="s">
        <v>122</v>
      </c>
      <c r="S154" s="9" t="s">
        <v>214</v>
      </c>
      <c r="T154" s="9" t="s">
        <v>135</v>
      </c>
      <c r="U154" s="9"/>
      <c r="V154" s="13" t="s">
        <v>340</v>
      </c>
    </row>
    <row r="155" spans="2:22" x14ac:dyDescent="0.25">
      <c r="B155" s="74"/>
      <c r="C155" s="76"/>
      <c r="D155" s="76"/>
      <c r="E155" s="7"/>
      <c r="F155" s="7"/>
      <c r="G155" s="7"/>
      <c r="H155" s="7"/>
      <c r="I155" s="8"/>
      <c r="J155" s="8"/>
      <c r="K155" s="8"/>
      <c r="L155" s="8"/>
      <c r="M155" s="20"/>
      <c r="N155" s="20"/>
      <c r="O155" s="20"/>
      <c r="P155" s="20"/>
      <c r="Q155" s="9"/>
      <c r="R155" s="9"/>
      <c r="S155" s="9"/>
      <c r="T155" s="9"/>
      <c r="U155" s="9"/>
      <c r="V155" s="13"/>
    </row>
    <row r="156" spans="2:22" x14ac:dyDescent="0.25">
      <c r="B156" s="2" t="s">
        <v>89</v>
      </c>
      <c r="C156" s="2">
        <f>SUM(C148:C155)</f>
        <v>6</v>
      </c>
      <c r="D156" s="2">
        <f>SUM(D148:D155)</f>
        <v>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9" spans="2:22" x14ac:dyDescent="0.25">
      <c r="B159" s="11">
        <v>46191</v>
      </c>
      <c r="C159" s="10" t="s">
        <v>393</v>
      </c>
      <c r="D159" s="10" t="s">
        <v>394</v>
      </c>
      <c r="E159" s="77" t="s">
        <v>82</v>
      </c>
      <c r="F159" s="77"/>
      <c r="G159" s="77"/>
      <c r="H159" s="77"/>
      <c r="I159" s="78" t="s">
        <v>85</v>
      </c>
      <c r="J159" s="78"/>
      <c r="K159" s="78"/>
      <c r="L159" s="78"/>
      <c r="M159" s="79" t="s">
        <v>84</v>
      </c>
      <c r="N159" s="79"/>
      <c r="O159" s="79"/>
      <c r="P159" s="79"/>
      <c r="Q159" s="80" t="s">
        <v>78</v>
      </c>
      <c r="R159" s="80"/>
      <c r="S159" s="80"/>
      <c r="T159" s="80"/>
      <c r="U159" s="80"/>
      <c r="V159" s="80"/>
    </row>
    <row r="160" spans="2:22" x14ac:dyDescent="0.25">
      <c r="B160" s="73" t="s">
        <v>65</v>
      </c>
      <c r="C160" s="75">
        <v>0</v>
      </c>
      <c r="D160" s="75">
        <v>1</v>
      </c>
      <c r="E160" s="7"/>
      <c r="F160" s="7"/>
      <c r="G160" s="7"/>
      <c r="H160" s="7"/>
      <c r="I160" s="8"/>
      <c r="J160" s="8"/>
      <c r="K160" s="8"/>
      <c r="L160" s="8"/>
      <c r="M160" s="20"/>
      <c r="N160" s="20"/>
      <c r="O160" s="20"/>
      <c r="P160" s="20"/>
      <c r="Q160" s="9"/>
      <c r="R160" s="9"/>
      <c r="S160" s="9"/>
      <c r="T160" s="9"/>
      <c r="U160" s="9"/>
      <c r="V160" s="13"/>
    </row>
    <row r="161" spans="2:22" x14ac:dyDescent="0.25">
      <c r="B161" s="74"/>
      <c r="C161" s="76"/>
      <c r="D161" s="76"/>
      <c r="E161" s="7" t="s">
        <v>310</v>
      </c>
      <c r="F161" s="7"/>
      <c r="G161" s="7"/>
      <c r="H161" s="7"/>
      <c r="I161" s="8" t="s">
        <v>109</v>
      </c>
      <c r="J161" s="8"/>
      <c r="K161" s="8"/>
      <c r="L161" s="8"/>
      <c r="M161" s="20" t="s">
        <v>101</v>
      </c>
      <c r="N161" s="20" t="s">
        <v>203</v>
      </c>
      <c r="O161" s="20" t="s">
        <v>139</v>
      </c>
      <c r="P161" s="20"/>
      <c r="Q161" s="9" t="s">
        <v>118</v>
      </c>
      <c r="R161" s="9" t="s">
        <v>202</v>
      </c>
      <c r="S161" s="9" t="s">
        <v>312</v>
      </c>
      <c r="T161" s="9" t="s">
        <v>211</v>
      </c>
      <c r="U161" s="9"/>
      <c r="V161" s="13" t="s">
        <v>108</v>
      </c>
    </row>
    <row r="162" spans="2:22" x14ac:dyDescent="0.25">
      <c r="B162" s="73" t="s">
        <v>71</v>
      </c>
      <c r="C162" s="75">
        <v>1</v>
      </c>
      <c r="D162" s="75">
        <v>2</v>
      </c>
      <c r="E162" s="7"/>
      <c r="F162" s="7"/>
      <c r="G162" s="7"/>
      <c r="H162" s="7"/>
      <c r="I162" s="8"/>
      <c r="J162" s="8"/>
      <c r="K162" s="8"/>
      <c r="L162" s="8"/>
      <c r="M162" s="20"/>
      <c r="N162" s="20"/>
      <c r="O162" s="20"/>
      <c r="P162" s="20"/>
      <c r="Q162" s="9"/>
      <c r="R162" s="9"/>
      <c r="S162" s="9"/>
      <c r="T162" s="9"/>
      <c r="U162" s="9"/>
      <c r="V162" s="13"/>
    </row>
    <row r="163" spans="2:22" x14ac:dyDescent="0.25">
      <c r="B163" s="74"/>
      <c r="C163" s="76"/>
      <c r="D163" s="76"/>
      <c r="E163" s="7" t="s">
        <v>109</v>
      </c>
      <c r="F163" s="7" t="s">
        <v>101</v>
      </c>
      <c r="G163" s="7"/>
      <c r="H163" s="7"/>
      <c r="I163" s="8" t="s">
        <v>122</v>
      </c>
      <c r="J163" s="8"/>
      <c r="K163" s="8"/>
      <c r="L163" s="8"/>
      <c r="M163" s="20"/>
      <c r="N163" s="20"/>
      <c r="O163" s="20"/>
      <c r="P163" s="20"/>
      <c r="Q163" s="9"/>
      <c r="R163" s="9"/>
      <c r="S163" s="9"/>
      <c r="T163" s="9"/>
      <c r="U163" s="9"/>
      <c r="V163" s="13"/>
    </row>
    <row r="164" spans="2:22" x14ac:dyDescent="0.25">
      <c r="B164" s="73" t="s">
        <v>73</v>
      </c>
      <c r="C164" s="75">
        <v>1</v>
      </c>
      <c r="D164" s="75">
        <v>0</v>
      </c>
      <c r="E164" s="7" t="s">
        <v>201</v>
      </c>
      <c r="F164" s="7"/>
      <c r="G164" s="7"/>
      <c r="H164" s="7"/>
      <c r="I164" s="8" t="s">
        <v>214</v>
      </c>
      <c r="J164" s="8"/>
      <c r="K164" s="8"/>
      <c r="L164" s="8"/>
      <c r="M164" s="20" t="s">
        <v>201</v>
      </c>
      <c r="N164" s="20" t="s">
        <v>134</v>
      </c>
      <c r="O164" s="20"/>
      <c r="P164" s="20"/>
      <c r="Q164" s="9" t="s">
        <v>297</v>
      </c>
      <c r="R164" s="9" t="s">
        <v>124</v>
      </c>
      <c r="S164" s="9" t="s">
        <v>181</v>
      </c>
      <c r="T164" s="9" t="s">
        <v>233</v>
      </c>
      <c r="U164" s="9"/>
      <c r="V164" s="13" t="s">
        <v>312</v>
      </c>
    </row>
    <row r="165" spans="2:22" x14ac:dyDescent="0.25">
      <c r="B165" s="74"/>
      <c r="C165" s="76"/>
      <c r="D165" s="76"/>
      <c r="E165" s="7"/>
      <c r="F165" s="7"/>
      <c r="G165" s="7"/>
      <c r="H165" s="7"/>
      <c r="I165" s="8"/>
      <c r="J165" s="8"/>
      <c r="K165" s="8"/>
      <c r="L165" s="8"/>
      <c r="M165" s="20"/>
      <c r="N165" s="20"/>
      <c r="O165" s="20"/>
      <c r="P165" s="20"/>
      <c r="Q165" s="9"/>
      <c r="R165" s="9"/>
      <c r="S165" s="9"/>
      <c r="T165" s="9"/>
      <c r="U165" s="9"/>
      <c r="V165" s="13"/>
    </row>
    <row r="166" spans="2:22" x14ac:dyDescent="0.25">
      <c r="B166" s="73" t="s">
        <v>41</v>
      </c>
      <c r="C166" s="75">
        <v>0</v>
      </c>
      <c r="D166" s="75">
        <v>1</v>
      </c>
      <c r="E166" s="7"/>
      <c r="F166" s="7"/>
      <c r="G166" s="7"/>
      <c r="H166" s="7"/>
      <c r="I166" s="8"/>
      <c r="J166" s="8"/>
      <c r="K166" s="8"/>
      <c r="L166" s="8"/>
      <c r="M166" s="20"/>
      <c r="N166" s="20"/>
      <c r="O166" s="20"/>
      <c r="P166" s="20"/>
      <c r="Q166" s="9"/>
      <c r="R166" s="9"/>
      <c r="S166" s="9"/>
      <c r="T166" s="9"/>
      <c r="U166" s="9"/>
      <c r="V166" s="13"/>
    </row>
    <row r="167" spans="2:22" x14ac:dyDescent="0.25">
      <c r="B167" s="74"/>
      <c r="C167" s="76"/>
      <c r="D167" s="76"/>
      <c r="E167" s="7" t="s">
        <v>139</v>
      </c>
      <c r="F167" s="7"/>
      <c r="G167" s="7"/>
      <c r="H167" s="7"/>
      <c r="I167" s="8" t="s">
        <v>122</v>
      </c>
      <c r="J167" s="8"/>
      <c r="K167" s="8"/>
      <c r="L167" s="8"/>
      <c r="M167" s="20" t="s">
        <v>95</v>
      </c>
      <c r="N167" s="20" t="s">
        <v>203</v>
      </c>
      <c r="O167" s="20"/>
      <c r="P167" s="20"/>
      <c r="Q167" s="9" t="s">
        <v>324</v>
      </c>
      <c r="R167" s="9" t="s">
        <v>118</v>
      </c>
      <c r="S167" s="9" t="s">
        <v>233</v>
      </c>
      <c r="T167" s="9" t="s">
        <v>202</v>
      </c>
      <c r="U167" s="9"/>
      <c r="V167" s="13" t="s">
        <v>101</v>
      </c>
    </row>
    <row r="168" spans="2:22" x14ac:dyDescent="0.25">
      <c r="B168" s="2" t="s">
        <v>89</v>
      </c>
      <c r="C168" s="2">
        <f>SUM(C160:C167)</f>
        <v>2</v>
      </c>
      <c r="D168" s="2">
        <f>SUM(D160:D167)</f>
        <v>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71" spans="2:22" x14ac:dyDescent="0.25">
      <c r="B171" s="11">
        <v>46198</v>
      </c>
      <c r="C171" s="10" t="s">
        <v>354</v>
      </c>
      <c r="D171" s="10" t="s">
        <v>355</v>
      </c>
      <c r="E171" s="77" t="s">
        <v>82</v>
      </c>
      <c r="F171" s="77"/>
      <c r="G171" s="77"/>
      <c r="H171" s="77"/>
      <c r="I171" s="78" t="s">
        <v>85</v>
      </c>
      <c r="J171" s="78"/>
      <c r="K171" s="78"/>
      <c r="L171" s="78"/>
      <c r="M171" s="79" t="s">
        <v>84</v>
      </c>
      <c r="N171" s="79"/>
      <c r="O171" s="79"/>
      <c r="P171" s="79"/>
      <c r="Q171" s="80" t="s">
        <v>78</v>
      </c>
      <c r="R171" s="80"/>
      <c r="S171" s="80"/>
      <c r="T171" s="80"/>
      <c r="U171" s="80"/>
      <c r="V171" s="80"/>
    </row>
    <row r="172" spans="2:22" x14ac:dyDescent="0.25">
      <c r="B172" s="73" t="s">
        <v>65</v>
      </c>
      <c r="C172" s="75">
        <v>1</v>
      </c>
      <c r="D172" s="75">
        <v>0</v>
      </c>
      <c r="E172" s="7" t="s">
        <v>219</v>
      </c>
      <c r="F172" s="7"/>
      <c r="G172" s="7"/>
      <c r="H172" s="7"/>
      <c r="I172" s="8"/>
      <c r="J172" s="8"/>
      <c r="K172" s="8"/>
      <c r="L172" s="8"/>
      <c r="M172" s="20"/>
      <c r="N172" s="20"/>
      <c r="O172" s="20"/>
      <c r="P172" s="20"/>
      <c r="Q172" s="9" t="s">
        <v>122</v>
      </c>
      <c r="R172" s="9" t="s">
        <v>297</v>
      </c>
      <c r="S172" s="9" t="s">
        <v>233</v>
      </c>
      <c r="T172" s="9" t="s">
        <v>118</v>
      </c>
      <c r="U172" s="9"/>
      <c r="V172" s="13" t="s">
        <v>130</v>
      </c>
    </row>
    <row r="173" spans="2:22" x14ac:dyDescent="0.25">
      <c r="B173" s="74"/>
      <c r="C173" s="76"/>
      <c r="D173" s="76"/>
      <c r="E173" s="7"/>
      <c r="F173" s="7"/>
      <c r="G173" s="7"/>
      <c r="H173" s="7"/>
      <c r="I173" s="8"/>
      <c r="J173" s="8"/>
      <c r="K173" s="8"/>
      <c r="L173" s="8"/>
      <c r="M173" s="20"/>
      <c r="N173" s="20"/>
      <c r="O173" s="20"/>
      <c r="P173" s="20"/>
      <c r="Q173" s="9"/>
      <c r="R173" s="9"/>
      <c r="S173" s="9"/>
      <c r="T173" s="9"/>
      <c r="U173" s="9"/>
      <c r="V173" s="13"/>
    </row>
    <row r="174" spans="2:22" x14ac:dyDescent="0.25">
      <c r="B174" s="73" t="s">
        <v>71</v>
      </c>
      <c r="C174" s="75">
        <v>0</v>
      </c>
      <c r="D174" s="75">
        <v>1</v>
      </c>
      <c r="E174" s="7"/>
      <c r="F174" s="7"/>
      <c r="G174" s="7"/>
      <c r="H174" s="7"/>
      <c r="I174" s="8"/>
      <c r="J174" s="8"/>
      <c r="K174" s="8"/>
      <c r="L174" s="8"/>
      <c r="M174" s="20"/>
      <c r="N174" s="20"/>
      <c r="O174" s="20"/>
      <c r="P174" s="20"/>
      <c r="Q174" s="9"/>
      <c r="R174" s="9"/>
      <c r="S174" s="9"/>
      <c r="T174" s="9"/>
      <c r="U174" s="9"/>
      <c r="V174" s="13"/>
    </row>
    <row r="175" spans="2:22" x14ac:dyDescent="0.25">
      <c r="B175" s="74"/>
      <c r="C175" s="76"/>
      <c r="D175" s="76"/>
      <c r="E175" s="7"/>
      <c r="F175" s="7"/>
      <c r="G175" s="7"/>
      <c r="H175" s="7"/>
      <c r="I175" s="8"/>
      <c r="J175" s="8"/>
      <c r="K175" s="8"/>
      <c r="L175" s="8"/>
      <c r="M175" s="20"/>
      <c r="N175" s="20"/>
      <c r="O175" s="20"/>
      <c r="P175" s="20"/>
      <c r="Q175" s="9"/>
      <c r="R175" s="9"/>
      <c r="S175" s="9"/>
      <c r="T175" s="9"/>
      <c r="U175" s="9"/>
      <c r="V175" s="13"/>
    </row>
    <row r="176" spans="2:22" x14ac:dyDescent="0.25">
      <c r="B176" s="73" t="s">
        <v>73</v>
      </c>
      <c r="C176" s="75">
        <v>1</v>
      </c>
      <c r="D176" s="75">
        <v>0</v>
      </c>
      <c r="E176" s="7" t="s">
        <v>201</v>
      </c>
      <c r="F176" s="7"/>
      <c r="G176" s="7"/>
      <c r="H176" s="7"/>
      <c r="I176" s="8" t="s">
        <v>174</v>
      </c>
      <c r="J176" s="8"/>
      <c r="K176" s="8"/>
      <c r="L176" s="8"/>
      <c r="M176" s="20"/>
      <c r="N176" s="20"/>
      <c r="O176" s="20"/>
      <c r="P176" s="20"/>
      <c r="Q176" s="9" t="s">
        <v>118</v>
      </c>
      <c r="R176" s="9" t="s">
        <v>297</v>
      </c>
      <c r="S176" s="9" t="s">
        <v>233</v>
      </c>
      <c r="T176" s="9" t="s">
        <v>122</v>
      </c>
      <c r="U176" s="9"/>
      <c r="V176" s="13" t="s">
        <v>236</v>
      </c>
    </row>
    <row r="177" spans="2:22" x14ac:dyDescent="0.25">
      <c r="B177" s="74"/>
      <c r="C177" s="76"/>
      <c r="D177" s="76"/>
      <c r="E177" s="7"/>
      <c r="F177" s="7"/>
      <c r="G177" s="7"/>
      <c r="H177" s="7"/>
      <c r="I177" s="8"/>
      <c r="J177" s="8"/>
      <c r="K177" s="8"/>
      <c r="L177" s="8"/>
      <c r="M177" s="20"/>
      <c r="N177" s="20"/>
      <c r="O177" s="20"/>
      <c r="P177" s="20"/>
      <c r="Q177" s="9"/>
      <c r="R177" s="9"/>
      <c r="S177" s="9"/>
      <c r="T177" s="9"/>
      <c r="U177" s="9"/>
      <c r="V177" s="13"/>
    </row>
    <row r="178" spans="2:22" x14ac:dyDescent="0.25">
      <c r="B178" s="73" t="s">
        <v>41</v>
      </c>
      <c r="C178" s="75">
        <v>1</v>
      </c>
      <c r="D178" s="75">
        <v>1</v>
      </c>
      <c r="E178" s="7" t="s">
        <v>202</v>
      </c>
      <c r="F178" s="7"/>
      <c r="G178" s="7"/>
      <c r="H178" s="7"/>
      <c r="I178" s="8" t="s">
        <v>110</v>
      </c>
      <c r="J178" s="8"/>
      <c r="K178" s="8"/>
      <c r="L178" s="8"/>
      <c r="M178" s="20"/>
      <c r="N178" s="20"/>
      <c r="O178" s="20"/>
      <c r="P178" s="20"/>
      <c r="Q178" s="9"/>
      <c r="R178" s="9"/>
      <c r="S178" s="9"/>
      <c r="T178" s="9"/>
      <c r="U178" s="9"/>
      <c r="V178" s="13"/>
    </row>
    <row r="179" spans="2:22" x14ac:dyDescent="0.25">
      <c r="B179" s="74"/>
      <c r="C179" s="76"/>
      <c r="D179" s="76"/>
      <c r="E179" s="7"/>
      <c r="F179" s="7"/>
      <c r="G179" s="7"/>
      <c r="H179" s="7"/>
      <c r="I179" s="8"/>
      <c r="J179" s="8"/>
      <c r="K179" s="8"/>
      <c r="L179" s="8"/>
      <c r="M179" s="20"/>
      <c r="N179" s="20"/>
      <c r="O179" s="20"/>
      <c r="P179" s="20"/>
      <c r="Q179" s="9"/>
      <c r="R179" s="9"/>
      <c r="S179" s="9"/>
      <c r="T179" s="9"/>
      <c r="U179" s="9"/>
      <c r="V179" s="13"/>
    </row>
    <row r="180" spans="2:22" x14ac:dyDescent="0.25">
      <c r="B180" s="2" t="s">
        <v>89</v>
      </c>
      <c r="C180" s="2">
        <f>SUM(C172:C179)</f>
        <v>3</v>
      </c>
      <c r="D180" s="2">
        <f>SUM(D172:D179)</f>
        <v>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3" spans="2:22" x14ac:dyDescent="0.25">
      <c r="B183" s="11">
        <v>46202</v>
      </c>
      <c r="C183" s="10" t="s">
        <v>354</v>
      </c>
      <c r="D183" s="10" t="s">
        <v>395</v>
      </c>
      <c r="E183" s="77" t="s">
        <v>82</v>
      </c>
      <c r="F183" s="77"/>
      <c r="G183" s="77"/>
      <c r="H183" s="77"/>
      <c r="I183" s="78" t="s">
        <v>85</v>
      </c>
      <c r="J183" s="78"/>
      <c r="K183" s="78"/>
      <c r="L183" s="78"/>
      <c r="M183" s="79" t="s">
        <v>84</v>
      </c>
      <c r="N183" s="79"/>
      <c r="O183" s="79"/>
      <c r="P183" s="79"/>
      <c r="Q183" s="80" t="s">
        <v>78</v>
      </c>
      <c r="R183" s="80"/>
      <c r="S183" s="80"/>
      <c r="T183" s="80"/>
      <c r="U183" s="80"/>
      <c r="V183" s="80"/>
    </row>
    <row r="184" spans="2:22" x14ac:dyDescent="0.25">
      <c r="B184" s="73" t="s">
        <v>65</v>
      </c>
      <c r="C184" s="75">
        <v>0</v>
      </c>
      <c r="D184" s="75">
        <v>2</v>
      </c>
      <c r="E184" s="7"/>
      <c r="F184" s="7"/>
      <c r="G184" s="7"/>
      <c r="H184" s="7"/>
      <c r="I184" s="8"/>
      <c r="J184" s="8"/>
      <c r="K184" s="8"/>
      <c r="L184" s="8"/>
      <c r="M184" s="20"/>
      <c r="N184" s="20"/>
      <c r="O184" s="20"/>
      <c r="P184" s="20"/>
      <c r="Q184" s="9"/>
      <c r="R184" s="9"/>
      <c r="S184" s="9"/>
      <c r="T184" s="9"/>
      <c r="U184" s="9"/>
      <c r="V184" s="13"/>
    </row>
    <row r="185" spans="2:22" x14ac:dyDescent="0.25">
      <c r="B185" s="74"/>
      <c r="C185" s="76"/>
      <c r="D185" s="76"/>
      <c r="E185" s="7"/>
      <c r="F185" s="7"/>
      <c r="G185" s="7"/>
      <c r="H185" s="7"/>
      <c r="I185" s="8"/>
      <c r="J185" s="8"/>
      <c r="K185" s="8"/>
      <c r="L185" s="8"/>
      <c r="M185" s="20"/>
      <c r="N185" s="20"/>
      <c r="O185" s="20"/>
      <c r="P185" s="20"/>
      <c r="Q185" s="9"/>
      <c r="R185" s="9"/>
      <c r="S185" s="9"/>
      <c r="T185" s="9"/>
      <c r="U185" s="9"/>
      <c r="V185" s="13"/>
    </row>
    <row r="186" spans="2:22" x14ac:dyDescent="0.25">
      <c r="B186" s="73" t="s">
        <v>71</v>
      </c>
      <c r="C186" s="75">
        <v>4</v>
      </c>
      <c r="D186" s="75">
        <v>2</v>
      </c>
      <c r="E186" s="7" t="s">
        <v>233</v>
      </c>
      <c r="F186" s="7" t="s">
        <v>98</v>
      </c>
      <c r="G186" s="7" t="s">
        <v>139</v>
      </c>
      <c r="H186" s="7" t="s">
        <v>95</v>
      </c>
      <c r="I186" s="8"/>
      <c r="J186" s="8" t="s">
        <v>219</v>
      </c>
      <c r="K186" s="8" t="s">
        <v>135</v>
      </c>
      <c r="L186" s="8"/>
      <c r="M186" s="20" t="s">
        <v>139</v>
      </c>
      <c r="N186" s="20" t="s">
        <v>219</v>
      </c>
      <c r="O186" s="20" t="s">
        <v>95</v>
      </c>
      <c r="P186" s="20"/>
      <c r="Q186" s="9"/>
      <c r="R186" s="9"/>
      <c r="S186" s="9"/>
      <c r="T186" s="9"/>
      <c r="U186" s="9"/>
      <c r="V186" s="13"/>
    </row>
    <row r="187" spans="2:22" x14ac:dyDescent="0.25">
      <c r="B187" s="74"/>
      <c r="C187" s="76"/>
      <c r="D187" s="76"/>
      <c r="E187" s="7"/>
      <c r="F187" s="7"/>
      <c r="G187" s="7"/>
      <c r="H187" s="7"/>
      <c r="I187" s="8"/>
      <c r="J187" s="8"/>
      <c r="K187" s="8"/>
      <c r="L187" s="8"/>
      <c r="M187" s="20"/>
      <c r="N187" s="20"/>
      <c r="O187" s="20"/>
      <c r="P187" s="20"/>
      <c r="Q187" s="9"/>
      <c r="R187" s="9"/>
      <c r="S187" s="9"/>
      <c r="T187" s="9"/>
      <c r="U187" s="9"/>
      <c r="V187" s="13"/>
    </row>
    <row r="188" spans="2:22" x14ac:dyDescent="0.25">
      <c r="B188" s="73" t="s">
        <v>73</v>
      </c>
      <c r="C188" s="75">
        <v>0</v>
      </c>
      <c r="D188" s="75">
        <v>4</v>
      </c>
      <c r="E188" s="7"/>
      <c r="F188" s="7"/>
      <c r="G188" s="7"/>
      <c r="H188" s="7"/>
      <c r="I188" s="8"/>
      <c r="J188" s="8"/>
      <c r="K188" s="8"/>
      <c r="L188" s="8"/>
      <c r="M188" s="20"/>
      <c r="N188" s="20"/>
      <c r="O188" s="20"/>
      <c r="P188" s="20"/>
      <c r="Q188" s="9"/>
      <c r="R188" s="9"/>
      <c r="S188" s="9"/>
      <c r="T188" s="9"/>
      <c r="U188" s="9"/>
      <c r="V188" s="13"/>
    </row>
    <row r="189" spans="2:22" x14ac:dyDescent="0.25">
      <c r="B189" s="74"/>
      <c r="C189" s="76"/>
      <c r="D189" s="76"/>
      <c r="E189" s="7"/>
      <c r="F189" s="7"/>
      <c r="G189" s="7"/>
      <c r="H189" s="7"/>
      <c r="I189" s="8"/>
      <c r="J189" s="8"/>
      <c r="K189" s="8"/>
      <c r="L189" s="8"/>
      <c r="M189" s="20"/>
      <c r="N189" s="20"/>
      <c r="O189" s="20"/>
      <c r="P189" s="20"/>
      <c r="Q189" s="9"/>
      <c r="R189" s="9"/>
      <c r="S189" s="9"/>
      <c r="T189" s="9"/>
      <c r="U189" s="9"/>
      <c r="V189" s="13"/>
    </row>
    <row r="190" spans="2:22" x14ac:dyDescent="0.25">
      <c r="B190" s="73" t="s">
        <v>41</v>
      </c>
      <c r="C190" s="75">
        <v>1</v>
      </c>
      <c r="D190" s="75">
        <v>2</v>
      </c>
      <c r="E190" s="7" t="s">
        <v>219</v>
      </c>
      <c r="F190" s="7"/>
      <c r="G190" s="7"/>
      <c r="H190" s="7"/>
      <c r="I190" s="8" t="s">
        <v>195</v>
      </c>
      <c r="J190" s="8"/>
      <c r="K190" s="8"/>
      <c r="L190" s="8"/>
      <c r="M190" s="20"/>
      <c r="N190" s="20"/>
      <c r="O190" s="20"/>
      <c r="P190" s="20"/>
      <c r="Q190" s="9"/>
      <c r="R190" s="9"/>
      <c r="S190" s="9"/>
      <c r="T190" s="9"/>
      <c r="U190" s="9"/>
      <c r="V190" s="13"/>
    </row>
    <row r="191" spans="2:22" x14ac:dyDescent="0.25">
      <c r="B191" s="74"/>
      <c r="C191" s="76"/>
      <c r="D191" s="76"/>
      <c r="E191" s="7"/>
      <c r="F191" s="7"/>
      <c r="G191" s="7"/>
      <c r="H191" s="7"/>
      <c r="I191" s="8"/>
      <c r="J191" s="8"/>
      <c r="K191" s="8"/>
      <c r="L191" s="8"/>
      <c r="M191" s="20"/>
      <c r="N191" s="20"/>
      <c r="O191" s="20"/>
      <c r="P191" s="20"/>
      <c r="Q191" s="9"/>
      <c r="R191" s="9"/>
      <c r="S191" s="9"/>
      <c r="T191" s="9"/>
      <c r="U191" s="9"/>
      <c r="V191" s="13"/>
    </row>
    <row r="192" spans="2:22" x14ac:dyDescent="0.25">
      <c r="B192" s="2" t="s">
        <v>89</v>
      </c>
      <c r="C192" s="2">
        <f>SUM(C184:C191)</f>
        <v>5</v>
      </c>
      <c r="D192" s="2">
        <f>SUM(D184:D191)</f>
        <v>10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5" spans="2:22" x14ac:dyDescent="0.25">
      <c r="B195" s="11">
        <v>46205</v>
      </c>
      <c r="C195" s="10" t="s">
        <v>354</v>
      </c>
      <c r="D195" s="10" t="s">
        <v>354</v>
      </c>
      <c r="E195" s="77" t="s">
        <v>82</v>
      </c>
      <c r="F195" s="77"/>
      <c r="G195" s="77"/>
      <c r="H195" s="77"/>
      <c r="I195" s="78" t="s">
        <v>85</v>
      </c>
      <c r="J195" s="78"/>
      <c r="K195" s="78"/>
      <c r="L195" s="78"/>
      <c r="M195" s="79" t="s">
        <v>84</v>
      </c>
      <c r="N195" s="79"/>
      <c r="O195" s="79"/>
      <c r="P195" s="79"/>
      <c r="Q195" s="80" t="s">
        <v>78</v>
      </c>
      <c r="R195" s="80"/>
      <c r="S195" s="80"/>
      <c r="T195" s="80"/>
      <c r="U195" s="80"/>
      <c r="V195" s="80"/>
    </row>
    <row r="196" spans="2:22" x14ac:dyDescent="0.25">
      <c r="B196" s="81" t="s">
        <v>399</v>
      </c>
      <c r="C196" s="75">
        <v>0</v>
      </c>
      <c r="D196" s="75">
        <v>1</v>
      </c>
      <c r="E196" s="7"/>
      <c r="F196" s="7"/>
      <c r="G196" s="7"/>
      <c r="H196" s="7"/>
      <c r="I196" s="8"/>
      <c r="J196" s="8"/>
      <c r="K196" s="8"/>
      <c r="L196" s="8"/>
      <c r="M196" s="20"/>
      <c r="N196" s="20"/>
      <c r="O196" s="20"/>
      <c r="P196" s="20"/>
      <c r="Q196" s="9"/>
      <c r="R196" s="9"/>
      <c r="S196" s="9"/>
      <c r="T196" s="9"/>
      <c r="U196" s="9"/>
      <c r="V196" s="13"/>
    </row>
    <row r="197" spans="2:22" x14ac:dyDescent="0.25">
      <c r="B197" s="74"/>
      <c r="C197" s="76"/>
      <c r="D197" s="76"/>
      <c r="E197" s="7" t="s">
        <v>311</v>
      </c>
      <c r="F197" s="7"/>
      <c r="G197" s="7"/>
      <c r="H197" s="7"/>
      <c r="I197" s="8"/>
      <c r="J197" s="8"/>
      <c r="K197" s="8"/>
      <c r="L197" s="8"/>
      <c r="M197" s="20" t="s">
        <v>311</v>
      </c>
      <c r="N197" s="20" t="s">
        <v>358</v>
      </c>
      <c r="O197" s="20" t="s">
        <v>103</v>
      </c>
      <c r="P197" s="20"/>
      <c r="Q197" s="9" t="s">
        <v>371</v>
      </c>
      <c r="R197" s="9" t="s">
        <v>365</v>
      </c>
      <c r="S197" s="9" t="s">
        <v>297</v>
      </c>
      <c r="T197" s="9" t="s">
        <v>195</v>
      </c>
      <c r="U197" s="9"/>
      <c r="V197" s="13" t="s">
        <v>108</v>
      </c>
    </row>
    <row r="198" spans="2:22" x14ac:dyDescent="0.25">
      <c r="B198" s="81" t="s">
        <v>398</v>
      </c>
      <c r="C198" s="75">
        <v>0</v>
      </c>
      <c r="D198" s="75">
        <v>0</v>
      </c>
      <c r="E198" s="7"/>
      <c r="F198" s="7"/>
      <c r="G198" s="7"/>
      <c r="H198" s="7"/>
      <c r="I198" s="8"/>
      <c r="J198" s="8"/>
      <c r="K198" s="8"/>
      <c r="L198" s="8"/>
      <c r="M198" s="20"/>
      <c r="N198" s="20"/>
      <c r="O198" s="20"/>
      <c r="P198" s="20"/>
      <c r="Q198" s="9" t="s">
        <v>297</v>
      </c>
      <c r="R198" s="9" t="s">
        <v>195</v>
      </c>
      <c r="S198" s="9" t="s">
        <v>351</v>
      </c>
      <c r="T198" s="9" t="s">
        <v>365</v>
      </c>
      <c r="U198" s="9"/>
      <c r="V198" s="13" t="s">
        <v>108</v>
      </c>
    </row>
    <row r="199" spans="2:22" x14ac:dyDescent="0.25">
      <c r="B199" s="74"/>
      <c r="C199" s="76"/>
      <c r="D199" s="76"/>
      <c r="E199" s="7"/>
      <c r="F199" s="7"/>
      <c r="G199" s="7"/>
      <c r="H199" s="7"/>
      <c r="I199" s="8"/>
      <c r="J199" s="8"/>
      <c r="K199" s="8"/>
      <c r="L199" s="8"/>
      <c r="M199" s="20"/>
      <c r="N199" s="20"/>
      <c r="O199" s="20"/>
      <c r="P199" s="20"/>
      <c r="Q199" s="9" t="s">
        <v>324</v>
      </c>
      <c r="R199" s="9" t="s">
        <v>99</v>
      </c>
      <c r="S199" s="9" t="s">
        <v>118</v>
      </c>
      <c r="T199" s="9"/>
      <c r="U199" s="9"/>
      <c r="V199" s="13" t="s">
        <v>162</v>
      </c>
    </row>
    <row r="200" spans="2:22" x14ac:dyDescent="0.25">
      <c r="B200" s="81" t="s">
        <v>400</v>
      </c>
      <c r="C200" s="75">
        <v>0</v>
      </c>
      <c r="D200" s="75">
        <v>2</v>
      </c>
      <c r="E200" s="7"/>
      <c r="F200" s="7"/>
      <c r="G200" s="7"/>
      <c r="H200" s="7"/>
      <c r="I200" s="8"/>
      <c r="J200" s="8"/>
      <c r="K200" s="8"/>
      <c r="L200" s="8"/>
      <c r="M200" s="20"/>
      <c r="N200" s="20"/>
      <c r="O200" s="20"/>
      <c r="P200" s="20"/>
      <c r="Q200" s="9"/>
      <c r="R200" s="9"/>
      <c r="S200" s="9"/>
      <c r="T200" s="9"/>
      <c r="U200" s="9"/>
      <c r="V200" s="13"/>
    </row>
    <row r="201" spans="2:22" x14ac:dyDescent="0.25">
      <c r="B201" s="74"/>
      <c r="C201" s="76"/>
      <c r="D201" s="76"/>
      <c r="E201" s="7" t="s">
        <v>201</v>
      </c>
      <c r="F201" s="7" t="s">
        <v>98</v>
      </c>
      <c r="G201" s="7"/>
      <c r="H201" s="7"/>
      <c r="I201" s="8" t="s">
        <v>201</v>
      </c>
      <c r="J201" s="8" t="s">
        <v>203</v>
      </c>
      <c r="K201" s="8" t="s">
        <v>111</v>
      </c>
      <c r="L201" s="8"/>
      <c r="M201" s="20"/>
      <c r="N201" s="20"/>
      <c r="O201" s="20"/>
      <c r="P201" s="20"/>
      <c r="Q201" s="9" t="s">
        <v>360</v>
      </c>
      <c r="R201" s="9" t="s">
        <v>359</v>
      </c>
      <c r="S201" s="9" t="s">
        <v>403</v>
      </c>
      <c r="T201" s="9" t="s">
        <v>312</v>
      </c>
      <c r="U201" s="9"/>
      <c r="V201" s="13" t="s">
        <v>108</v>
      </c>
    </row>
    <row r="202" spans="2:22" x14ac:dyDescent="0.25">
      <c r="B202" s="81" t="s">
        <v>399</v>
      </c>
      <c r="C202" s="75">
        <v>1</v>
      </c>
      <c r="D202" s="75">
        <v>0</v>
      </c>
      <c r="E202" s="7" t="s">
        <v>340</v>
      </c>
      <c r="F202" s="7"/>
      <c r="G202" s="7"/>
      <c r="H202" s="7"/>
      <c r="I202" s="8" t="s">
        <v>403</v>
      </c>
      <c r="J202" s="8"/>
      <c r="K202" s="8"/>
      <c r="L202" s="8"/>
      <c r="M202" s="20" t="s">
        <v>201</v>
      </c>
      <c r="N202" s="20" t="s">
        <v>111</v>
      </c>
      <c r="O202" s="20" t="s">
        <v>203</v>
      </c>
      <c r="P202" s="20"/>
      <c r="Q202" s="9" t="s">
        <v>122</v>
      </c>
      <c r="R202" s="9" t="s">
        <v>403</v>
      </c>
      <c r="S202" s="9" t="s">
        <v>92</v>
      </c>
      <c r="T202" s="9" t="s">
        <v>312</v>
      </c>
      <c r="U202" s="9"/>
      <c r="V202" s="13" t="s">
        <v>162</v>
      </c>
    </row>
    <row r="203" spans="2:22" x14ac:dyDescent="0.25">
      <c r="B203" s="74"/>
      <c r="C203" s="76"/>
      <c r="D203" s="76"/>
      <c r="E203" s="7"/>
      <c r="F203" s="7"/>
      <c r="G203" s="7"/>
      <c r="H203" s="7"/>
      <c r="I203" s="8"/>
      <c r="J203" s="8"/>
      <c r="K203" s="8"/>
      <c r="L203" s="8"/>
      <c r="M203" s="20"/>
      <c r="N203" s="20"/>
      <c r="O203" s="20"/>
      <c r="P203" s="20"/>
      <c r="Q203" s="9"/>
      <c r="R203" s="9"/>
      <c r="S203" s="9"/>
      <c r="T203" s="9"/>
      <c r="U203" s="9"/>
      <c r="V203" s="13"/>
    </row>
    <row r="204" spans="2:22" x14ac:dyDescent="0.25">
      <c r="B204" s="81" t="s">
        <v>398</v>
      </c>
      <c r="C204" s="75">
        <v>0</v>
      </c>
      <c r="D204" s="75">
        <v>1</v>
      </c>
      <c r="E204" s="7"/>
      <c r="F204" s="7"/>
      <c r="G204" s="7"/>
      <c r="H204" s="7"/>
      <c r="I204" s="8"/>
      <c r="J204" s="8"/>
      <c r="K204" s="8"/>
      <c r="L204" s="8"/>
      <c r="M204" s="20"/>
      <c r="N204" s="20"/>
      <c r="O204" s="20"/>
      <c r="P204" s="20"/>
      <c r="Q204" s="9"/>
      <c r="R204" s="9"/>
      <c r="S204" s="9"/>
      <c r="T204" s="9"/>
      <c r="U204" s="9"/>
      <c r="V204" s="13"/>
    </row>
    <row r="205" spans="2:22" x14ac:dyDescent="0.25">
      <c r="B205" s="74"/>
      <c r="C205" s="76"/>
      <c r="D205" s="76"/>
      <c r="E205" s="7"/>
      <c r="F205" s="7"/>
      <c r="G205" s="7"/>
      <c r="H205" s="7"/>
      <c r="I205" s="8"/>
      <c r="J205" s="8"/>
      <c r="K205" s="8"/>
      <c r="L205" s="8"/>
      <c r="M205" s="20" t="s">
        <v>313</v>
      </c>
      <c r="N205" s="20" t="s">
        <v>298</v>
      </c>
      <c r="O205" s="20" t="s">
        <v>401</v>
      </c>
      <c r="P205" s="20"/>
      <c r="Q205" s="9" t="s">
        <v>118</v>
      </c>
      <c r="R205" s="9" t="s">
        <v>324</v>
      </c>
      <c r="S205" s="9" t="s">
        <v>99</v>
      </c>
      <c r="T205" s="9"/>
      <c r="U205" s="9"/>
      <c r="V205" s="13" t="s">
        <v>174</v>
      </c>
    </row>
    <row r="206" spans="2:22" ht="15.6" customHeight="1" x14ac:dyDescent="0.25">
      <c r="B206" s="81" t="s">
        <v>400</v>
      </c>
      <c r="C206" s="75">
        <v>0</v>
      </c>
      <c r="D206" s="75">
        <v>1</v>
      </c>
      <c r="E206" s="7"/>
      <c r="F206" s="7"/>
      <c r="G206" s="7"/>
      <c r="H206" s="7"/>
      <c r="I206" s="8"/>
      <c r="J206" s="8"/>
      <c r="K206" s="8"/>
      <c r="L206" s="8"/>
      <c r="M206" s="20"/>
      <c r="N206" s="20"/>
      <c r="O206" s="20"/>
      <c r="P206" s="20"/>
      <c r="Q206" s="9"/>
      <c r="R206" s="9"/>
      <c r="S206" s="9"/>
      <c r="T206" s="9"/>
      <c r="U206" s="9"/>
      <c r="V206" s="13"/>
    </row>
    <row r="207" spans="2:22" x14ac:dyDescent="0.25">
      <c r="B207" s="74"/>
      <c r="C207" s="76"/>
      <c r="D207" s="76"/>
      <c r="E207" s="7" t="s">
        <v>340</v>
      </c>
      <c r="F207" s="7"/>
      <c r="G207" s="7"/>
      <c r="H207" s="7"/>
      <c r="I207" s="8" t="s">
        <v>98</v>
      </c>
      <c r="J207" s="8"/>
      <c r="K207" s="8"/>
      <c r="L207" s="8"/>
      <c r="M207" s="20" t="s">
        <v>203</v>
      </c>
      <c r="N207" s="20" t="s">
        <v>201</v>
      </c>
      <c r="O207" s="20" t="s">
        <v>95</v>
      </c>
      <c r="P207" s="20"/>
      <c r="Q207" s="9" t="s">
        <v>122</v>
      </c>
      <c r="R207" s="9" t="s">
        <v>130</v>
      </c>
      <c r="S207" s="9" t="s">
        <v>312</v>
      </c>
      <c r="T207" s="9" t="s">
        <v>92</v>
      </c>
      <c r="U207" s="9"/>
      <c r="V207" s="13" t="s">
        <v>162</v>
      </c>
    </row>
    <row r="208" spans="2:22" x14ac:dyDescent="0.25">
      <c r="B208" s="2" t="s">
        <v>89</v>
      </c>
      <c r="C208" s="2">
        <f>SUM(C196:C203)</f>
        <v>1</v>
      </c>
      <c r="D208" s="2">
        <f>SUM(D196:D203)</f>
        <v>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11" spans="2:22" x14ac:dyDescent="0.25">
      <c r="B211" s="11">
        <v>46212</v>
      </c>
      <c r="C211" s="10" t="s">
        <v>354</v>
      </c>
      <c r="D211" s="10" t="s">
        <v>354</v>
      </c>
      <c r="E211" s="77" t="s">
        <v>82</v>
      </c>
      <c r="F211" s="77"/>
      <c r="G211" s="77"/>
      <c r="H211" s="77"/>
      <c r="I211" s="78" t="s">
        <v>85</v>
      </c>
      <c r="J211" s="78"/>
      <c r="K211" s="78"/>
      <c r="L211" s="78"/>
      <c r="M211" s="79" t="s">
        <v>84</v>
      </c>
      <c r="N211" s="79"/>
      <c r="O211" s="79"/>
      <c r="P211" s="79"/>
      <c r="Q211" s="80" t="s">
        <v>78</v>
      </c>
      <c r="R211" s="80"/>
      <c r="S211" s="80"/>
      <c r="T211" s="80"/>
      <c r="U211" s="80"/>
      <c r="V211" s="80"/>
    </row>
    <row r="212" spans="2:22" ht="15.6" customHeight="1" x14ac:dyDescent="0.25">
      <c r="B212" s="73" t="s">
        <v>65</v>
      </c>
      <c r="C212" s="75">
        <v>1</v>
      </c>
      <c r="D212" s="75">
        <v>1</v>
      </c>
      <c r="E212" s="7" t="s">
        <v>139</v>
      </c>
      <c r="F212" s="7"/>
      <c r="G212" s="7"/>
      <c r="H212" s="7"/>
      <c r="I212" s="8" t="s">
        <v>405</v>
      </c>
      <c r="J212" s="8"/>
      <c r="K212" s="8"/>
      <c r="L212" s="8"/>
      <c r="M212" s="20"/>
      <c r="N212" s="20"/>
      <c r="O212" s="20"/>
      <c r="P212" s="20"/>
      <c r="Q212" s="9"/>
      <c r="R212" s="9"/>
      <c r="S212" s="9"/>
      <c r="T212" s="9"/>
      <c r="U212" s="9"/>
      <c r="V212" s="13"/>
    </row>
    <row r="213" spans="2:22" x14ac:dyDescent="0.25">
      <c r="B213" s="74"/>
      <c r="C213" s="76"/>
      <c r="D213" s="76"/>
      <c r="E213" s="7" t="s">
        <v>111</v>
      </c>
      <c r="F213" s="7"/>
      <c r="G213" s="7"/>
      <c r="H213" s="7"/>
      <c r="I213" s="8"/>
      <c r="J213" s="8"/>
      <c r="K213" s="8"/>
      <c r="L213" s="8"/>
      <c r="M213" s="20"/>
      <c r="N213" s="20"/>
      <c r="O213" s="20"/>
      <c r="P213" s="20"/>
      <c r="Q213" s="9"/>
      <c r="R213" s="9"/>
      <c r="S213" s="9"/>
      <c r="T213" s="9"/>
      <c r="U213" s="9"/>
      <c r="V213" s="13"/>
    </row>
    <row r="214" spans="2:22" ht="15.6" customHeight="1" x14ac:dyDescent="0.25">
      <c r="B214" s="73" t="s">
        <v>71</v>
      </c>
      <c r="C214" s="75">
        <v>4</v>
      </c>
      <c r="D214" s="75">
        <v>2</v>
      </c>
      <c r="E214" s="7" t="s">
        <v>139</v>
      </c>
      <c r="F214" s="7" t="s">
        <v>139</v>
      </c>
      <c r="G214" s="7" t="s">
        <v>139</v>
      </c>
      <c r="H214" s="7" t="s">
        <v>311</v>
      </c>
      <c r="I214" s="8" t="s">
        <v>405</v>
      </c>
      <c r="J214" s="8"/>
      <c r="K214" s="8"/>
      <c r="L214" s="8"/>
      <c r="M214" s="20"/>
      <c r="N214" s="20"/>
      <c r="O214" s="20"/>
      <c r="P214" s="20"/>
      <c r="Q214" s="9"/>
      <c r="R214" s="9"/>
      <c r="S214" s="9"/>
      <c r="T214" s="9"/>
      <c r="U214" s="9"/>
      <c r="V214" s="13"/>
    </row>
    <row r="215" spans="2:22" x14ac:dyDescent="0.25">
      <c r="B215" s="74"/>
      <c r="C215" s="76"/>
      <c r="D215" s="76"/>
      <c r="E215" s="7" t="s">
        <v>98</v>
      </c>
      <c r="F215" s="7" t="s">
        <v>174</v>
      </c>
      <c r="G215" s="7"/>
      <c r="H215" s="7"/>
      <c r="I215" s="8"/>
      <c r="J215" s="8" t="s">
        <v>363</v>
      </c>
      <c r="K215" s="8"/>
      <c r="L215" s="8"/>
      <c r="M215" s="20"/>
      <c r="N215" s="20"/>
      <c r="O215" s="20"/>
      <c r="P215" s="20"/>
      <c r="Q215" s="9"/>
      <c r="R215" s="9"/>
      <c r="S215" s="9"/>
      <c r="T215" s="9"/>
      <c r="U215" s="9"/>
      <c r="V215" s="13"/>
    </row>
    <row r="216" spans="2:22" ht="15.6" customHeight="1" x14ac:dyDescent="0.25">
      <c r="B216" s="73" t="s">
        <v>73</v>
      </c>
      <c r="C216" s="75">
        <v>3</v>
      </c>
      <c r="D216" s="75">
        <v>2</v>
      </c>
      <c r="E216" s="7" t="s">
        <v>219</v>
      </c>
      <c r="F216" s="7" t="s">
        <v>405</v>
      </c>
      <c r="G216" s="7"/>
      <c r="H216" s="7"/>
      <c r="I216" s="8"/>
      <c r="J216" s="8" t="s">
        <v>101</v>
      </c>
      <c r="K216" s="8"/>
      <c r="L216" s="8"/>
      <c r="M216" s="20"/>
      <c r="N216" s="20"/>
      <c r="O216" s="20"/>
      <c r="P216" s="20"/>
      <c r="Q216" s="9"/>
      <c r="R216" s="9"/>
      <c r="S216" s="9"/>
      <c r="T216" s="9"/>
      <c r="U216" s="9"/>
      <c r="V216" s="13"/>
    </row>
    <row r="217" spans="2:22" x14ac:dyDescent="0.25">
      <c r="B217" s="74"/>
      <c r="C217" s="76"/>
      <c r="D217" s="76"/>
      <c r="E217" s="7" t="s">
        <v>174</v>
      </c>
      <c r="F217" s="7" t="s">
        <v>98</v>
      </c>
      <c r="G217" s="7"/>
      <c r="H217" s="7"/>
      <c r="I217" s="8" t="s">
        <v>98</v>
      </c>
      <c r="J217" s="8" t="s">
        <v>111</v>
      </c>
      <c r="K217" s="8"/>
      <c r="L217" s="8"/>
      <c r="M217" s="20"/>
      <c r="N217" s="20"/>
      <c r="O217" s="20"/>
      <c r="P217" s="20"/>
      <c r="Q217" s="9"/>
      <c r="R217" s="9"/>
      <c r="S217" s="9"/>
      <c r="T217" s="9"/>
      <c r="U217" s="9"/>
      <c r="V217" s="13"/>
    </row>
    <row r="218" spans="2:22" x14ac:dyDescent="0.25">
      <c r="B218" s="2" t="s">
        <v>89</v>
      </c>
      <c r="C218" s="2">
        <f>SUM(C212:C217)</f>
        <v>8</v>
      </c>
      <c r="D218" s="2">
        <f>SUM(D212:D217)</f>
        <v>5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21" spans="2:22" x14ac:dyDescent="0.25">
      <c r="B221" s="11">
        <v>46219</v>
      </c>
      <c r="C221" s="10" t="s">
        <v>354</v>
      </c>
      <c r="D221" s="10" t="s">
        <v>354</v>
      </c>
      <c r="E221" s="77" t="s">
        <v>82</v>
      </c>
      <c r="F221" s="77"/>
      <c r="G221" s="77"/>
      <c r="H221" s="77"/>
      <c r="I221" s="78" t="s">
        <v>85</v>
      </c>
      <c r="J221" s="78"/>
      <c r="K221" s="78"/>
      <c r="L221" s="78"/>
      <c r="M221" s="79" t="s">
        <v>84</v>
      </c>
      <c r="N221" s="79"/>
      <c r="O221" s="79"/>
      <c r="P221" s="79"/>
      <c r="Q221" s="80" t="s">
        <v>78</v>
      </c>
      <c r="R221" s="80"/>
      <c r="S221" s="80"/>
      <c r="T221" s="80"/>
      <c r="U221" s="80"/>
      <c r="V221" s="80"/>
    </row>
    <row r="222" spans="2:22" x14ac:dyDescent="0.25">
      <c r="B222" s="73" t="s">
        <v>65</v>
      </c>
      <c r="C222" s="75">
        <v>0</v>
      </c>
      <c r="D222" s="75">
        <v>0</v>
      </c>
      <c r="E222" s="7"/>
      <c r="F222" s="7"/>
      <c r="G222" s="7"/>
      <c r="H222" s="7"/>
      <c r="I222" s="8"/>
      <c r="J222" s="8"/>
      <c r="K222" s="8"/>
      <c r="L222" s="8"/>
      <c r="M222" s="20"/>
      <c r="N222" s="20"/>
      <c r="O222" s="20"/>
      <c r="P222" s="20"/>
      <c r="Q222" s="9" t="s">
        <v>407</v>
      </c>
      <c r="R222" s="9" t="s">
        <v>324</v>
      </c>
      <c r="S222" s="9" t="s">
        <v>103</v>
      </c>
      <c r="T222" s="9" t="s">
        <v>115</v>
      </c>
      <c r="U222" s="9"/>
      <c r="V222" s="13" t="s">
        <v>300</v>
      </c>
    </row>
    <row r="223" spans="2:22" x14ac:dyDescent="0.25">
      <c r="B223" s="74"/>
      <c r="C223" s="76"/>
      <c r="D223" s="76"/>
      <c r="E223" s="7"/>
      <c r="F223" s="7"/>
      <c r="G223" s="7"/>
      <c r="H223" s="7"/>
      <c r="I223" s="8"/>
      <c r="J223" s="8"/>
      <c r="K223" s="8"/>
      <c r="L223" s="8"/>
      <c r="M223" s="20"/>
      <c r="N223" s="20"/>
      <c r="O223" s="20"/>
      <c r="P223" s="20"/>
      <c r="Q223" s="9" t="s">
        <v>131</v>
      </c>
      <c r="R223" s="9" t="s">
        <v>233</v>
      </c>
      <c r="S223" s="9" t="s">
        <v>181</v>
      </c>
      <c r="T223" s="9" t="s">
        <v>312</v>
      </c>
      <c r="U223" s="9"/>
      <c r="V223" s="13" t="s">
        <v>311</v>
      </c>
    </row>
    <row r="224" spans="2:22" x14ac:dyDescent="0.25">
      <c r="B224" s="73" t="s">
        <v>71</v>
      </c>
      <c r="C224" s="75">
        <v>2</v>
      </c>
      <c r="D224" s="75">
        <v>1</v>
      </c>
      <c r="E224" s="7" t="s">
        <v>98</v>
      </c>
      <c r="F224" s="7" t="s">
        <v>363</v>
      </c>
      <c r="G224" s="7"/>
      <c r="H224" s="7"/>
      <c r="I224" s="8"/>
      <c r="J224" s="8"/>
      <c r="K224" s="8"/>
      <c r="L224" s="8"/>
      <c r="M224" s="20"/>
      <c r="N224" s="20"/>
      <c r="O224" s="20"/>
      <c r="P224" s="20"/>
      <c r="Q224" s="9"/>
      <c r="R224" s="9"/>
      <c r="S224" s="9"/>
      <c r="T224" s="9"/>
      <c r="U224" s="9"/>
      <c r="V224" s="13"/>
    </row>
    <row r="225" spans="2:22" x14ac:dyDescent="0.25">
      <c r="B225" s="74"/>
      <c r="C225" s="76"/>
      <c r="D225" s="76"/>
      <c r="E225" s="7" t="s">
        <v>118</v>
      </c>
      <c r="F225" s="7"/>
      <c r="G225" s="7"/>
      <c r="H225" s="7"/>
      <c r="I225" s="8"/>
      <c r="J225" s="8"/>
      <c r="K225" s="8"/>
      <c r="L225" s="8"/>
      <c r="M225" s="20"/>
      <c r="N225" s="20"/>
      <c r="O225" s="20"/>
      <c r="P225" s="20"/>
      <c r="Q225" s="9"/>
      <c r="R225" s="9"/>
      <c r="S225" s="9"/>
      <c r="T225" s="9"/>
      <c r="U225" s="9"/>
      <c r="V225" s="13"/>
    </row>
    <row r="226" spans="2:22" x14ac:dyDescent="0.25">
      <c r="B226" s="73" t="s">
        <v>73</v>
      </c>
      <c r="C226" s="75">
        <v>3</v>
      </c>
      <c r="D226" s="75">
        <v>1</v>
      </c>
      <c r="E226" s="7" t="s">
        <v>139</v>
      </c>
      <c r="F226" s="7" t="s">
        <v>139</v>
      </c>
      <c r="G226" s="7" t="s">
        <v>174</v>
      </c>
      <c r="H226" s="7"/>
      <c r="I226" s="8" t="s">
        <v>95</v>
      </c>
      <c r="J226" s="8" t="s">
        <v>109</v>
      </c>
      <c r="K226" s="8"/>
      <c r="L226" s="8"/>
      <c r="M226" s="20"/>
      <c r="N226" s="20"/>
      <c r="O226" s="20"/>
      <c r="P226" s="20"/>
      <c r="Q226" s="9"/>
      <c r="R226" s="9"/>
      <c r="S226" s="9"/>
      <c r="T226" s="9"/>
      <c r="U226" s="9"/>
      <c r="V226" s="13"/>
    </row>
    <row r="227" spans="2:22" x14ac:dyDescent="0.25">
      <c r="B227" s="74"/>
      <c r="C227" s="76"/>
      <c r="D227" s="76"/>
      <c r="E227" s="7" t="s">
        <v>219</v>
      </c>
      <c r="F227" s="7"/>
      <c r="G227" s="7"/>
      <c r="H227" s="7"/>
      <c r="I227" s="8" t="s">
        <v>311</v>
      </c>
      <c r="J227" s="8"/>
      <c r="K227" s="8"/>
      <c r="L227" s="8"/>
      <c r="M227" s="20"/>
      <c r="N227" s="20"/>
      <c r="O227" s="20"/>
      <c r="P227" s="20"/>
      <c r="Q227" s="9"/>
      <c r="R227" s="9"/>
      <c r="S227" s="9"/>
      <c r="T227" s="9"/>
      <c r="U227" s="9"/>
      <c r="V227" s="13"/>
    </row>
    <row r="228" spans="2:22" x14ac:dyDescent="0.25">
      <c r="B228" s="73" t="s">
        <v>41</v>
      </c>
      <c r="C228" s="75">
        <v>0</v>
      </c>
      <c r="D228" s="75">
        <v>0</v>
      </c>
      <c r="E228" s="7"/>
      <c r="F228" s="7"/>
      <c r="G228" s="7"/>
      <c r="H228" s="7"/>
      <c r="I228" s="8"/>
      <c r="J228" s="8"/>
      <c r="K228" s="8"/>
      <c r="L228" s="8"/>
      <c r="M228" s="20"/>
      <c r="N228" s="20"/>
      <c r="O228" s="20"/>
      <c r="P228" s="20"/>
      <c r="Q228" s="9" t="s">
        <v>131</v>
      </c>
      <c r="R228" s="9" t="s">
        <v>195</v>
      </c>
      <c r="S228" s="9" t="s">
        <v>130</v>
      </c>
      <c r="T228" s="9" t="s">
        <v>363</v>
      </c>
      <c r="U228" s="9"/>
      <c r="V228" s="13" t="s">
        <v>407</v>
      </c>
    </row>
    <row r="229" spans="2:22" x14ac:dyDescent="0.25">
      <c r="B229" s="74"/>
      <c r="C229" s="76"/>
      <c r="D229" s="76"/>
      <c r="E229" s="7"/>
      <c r="F229" s="7"/>
      <c r="G229" s="7"/>
      <c r="H229" s="7"/>
      <c r="I229" s="8"/>
      <c r="J229" s="8"/>
      <c r="K229" s="8"/>
      <c r="L229" s="8"/>
      <c r="M229" s="20"/>
      <c r="N229" s="20"/>
      <c r="O229" s="20"/>
      <c r="P229" s="20"/>
      <c r="Q229" s="9" t="s">
        <v>233</v>
      </c>
      <c r="R229" s="9" t="s">
        <v>324</v>
      </c>
      <c r="S229" s="9" t="s">
        <v>181</v>
      </c>
      <c r="T229" s="9" t="s">
        <v>237</v>
      </c>
      <c r="U229" s="9"/>
      <c r="V229" s="13" t="s">
        <v>174</v>
      </c>
    </row>
    <row r="230" spans="2:22" x14ac:dyDescent="0.25">
      <c r="B230" s="2" t="s">
        <v>89</v>
      </c>
      <c r="C230" s="2">
        <f>SUM(C222:C229)</f>
        <v>5</v>
      </c>
      <c r="D230" s="2">
        <f>SUM(D222:D229)</f>
        <v>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3" spans="2:22" x14ac:dyDescent="0.25">
      <c r="B233" s="11">
        <v>46233</v>
      </c>
      <c r="C233" s="10" t="s">
        <v>354</v>
      </c>
      <c r="D233" s="10" t="s">
        <v>354</v>
      </c>
      <c r="E233" s="77" t="s">
        <v>82</v>
      </c>
      <c r="F233" s="77"/>
      <c r="G233" s="77"/>
      <c r="H233" s="77"/>
      <c r="I233" s="78" t="s">
        <v>85</v>
      </c>
      <c r="J233" s="78"/>
      <c r="K233" s="78"/>
      <c r="L233" s="78"/>
      <c r="M233" s="79" t="s">
        <v>84</v>
      </c>
      <c r="N233" s="79"/>
      <c r="O233" s="79"/>
      <c r="P233" s="79"/>
      <c r="Q233" s="80" t="s">
        <v>78</v>
      </c>
      <c r="R233" s="80"/>
      <c r="S233" s="80"/>
      <c r="T233" s="80"/>
      <c r="U233" s="80"/>
      <c r="V233" s="80"/>
    </row>
    <row r="234" spans="2:22" x14ac:dyDescent="0.25">
      <c r="B234" s="73" t="s">
        <v>65</v>
      </c>
      <c r="C234" s="75">
        <v>0</v>
      </c>
      <c r="D234" s="75">
        <v>0</v>
      </c>
      <c r="E234" s="7"/>
      <c r="F234" s="7"/>
      <c r="G234" s="7"/>
      <c r="H234" s="7"/>
      <c r="I234" s="8"/>
      <c r="J234" s="8"/>
      <c r="K234" s="8"/>
      <c r="L234" s="8"/>
      <c r="M234" s="20"/>
      <c r="N234" s="20"/>
      <c r="O234" s="20"/>
      <c r="P234" s="20"/>
      <c r="Q234" s="9" t="s">
        <v>202</v>
      </c>
      <c r="R234" s="9" t="s">
        <v>113</v>
      </c>
      <c r="S234" s="9" t="s">
        <v>181</v>
      </c>
      <c r="T234" s="9" t="s">
        <v>301</v>
      </c>
      <c r="U234" s="9"/>
      <c r="V234" s="13" t="s">
        <v>306</v>
      </c>
    </row>
    <row r="235" spans="2:22" x14ac:dyDescent="0.25">
      <c r="B235" s="74"/>
      <c r="C235" s="76"/>
      <c r="D235" s="76"/>
      <c r="E235" s="7"/>
      <c r="F235" s="7"/>
      <c r="G235" s="7"/>
      <c r="H235" s="7"/>
      <c r="I235" s="8"/>
      <c r="J235" s="8"/>
      <c r="K235" s="8"/>
      <c r="L235" s="8"/>
      <c r="M235" s="20"/>
      <c r="N235" s="20"/>
      <c r="O235" s="20"/>
      <c r="P235" s="20"/>
      <c r="Q235" s="9" t="s">
        <v>118</v>
      </c>
      <c r="R235" s="9" t="s">
        <v>124</v>
      </c>
      <c r="S235" s="9" t="s">
        <v>211</v>
      </c>
      <c r="T235" s="9" t="s">
        <v>351</v>
      </c>
      <c r="U235" s="9"/>
      <c r="V235" s="13" t="s">
        <v>108</v>
      </c>
    </row>
    <row r="236" spans="2:22" x14ac:dyDescent="0.25">
      <c r="B236" s="73" t="s">
        <v>71</v>
      </c>
      <c r="C236" s="75">
        <v>0</v>
      </c>
      <c r="D236" s="75">
        <v>0</v>
      </c>
      <c r="E236" s="7"/>
      <c r="F236" s="7"/>
      <c r="G236" s="7"/>
      <c r="H236" s="7"/>
      <c r="I236" s="8"/>
      <c r="J236" s="8"/>
      <c r="K236" s="8"/>
      <c r="L236" s="8"/>
      <c r="M236" s="20"/>
      <c r="N236" s="20"/>
      <c r="O236" s="20"/>
      <c r="P236" s="20"/>
      <c r="Q236" s="9" t="s">
        <v>202</v>
      </c>
      <c r="R236" s="9" t="s">
        <v>130</v>
      </c>
      <c r="S236" s="9" t="s">
        <v>409</v>
      </c>
      <c r="T236" s="9" t="s">
        <v>106</v>
      </c>
      <c r="U236" s="9"/>
      <c r="V236" s="13" t="s">
        <v>174</v>
      </c>
    </row>
    <row r="237" spans="2:22" x14ac:dyDescent="0.25">
      <c r="B237" s="74"/>
      <c r="C237" s="76"/>
      <c r="D237" s="76"/>
      <c r="E237" s="7"/>
      <c r="F237" s="7"/>
      <c r="G237" s="7"/>
      <c r="H237" s="7"/>
      <c r="I237" s="8"/>
      <c r="J237" s="8"/>
      <c r="K237" s="8"/>
      <c r="L237" s="8"/>
      <c r="M237" s="20"/>
      <c r="N237" s="20"/>
      <c r="O237" s="20"/>
      <c r="P237" s="20"/>
      <c r="Q237" s="9" t="s">
        <v>346</v>
      </c>
      <c r="R237" s="9" t="s">
        <v>92</v>
      </c>
      <c r="S237" s="9" t="s">
        <v>99</v>
      </c>
      <c r="T237" s="9" t="s">
        <v>351</v>
      </c>
      <c r="U237" s="9"/>
      <c r="V237" s="13" t="s">
        <v>108</v>
      </c>
    </row>
    <row r="238" spans="2:22" x14ac:dyDescent="0.25">
      <c r="B238" s="73" t="s">
        <v>73</v>
      </c>
      <c r="C238" s="75">
        <v>0</v>
      </c>
      <c r="D238" s="75">
        <v>0</v>
      </c>
      <c r="E238" s="7"/>
      <c r="F238" s="7"/>
      <c r="G238" s="7"/>
      <c r="H238" s="7"/>
      <c r="I238" s="8"/>
      <c r="J238" s="8"/>
      <c r="K238" s="8"/>
      <c r="L238" s="8"/>
      <c r="M238" s="20"/>
      <c r="N238" s="20"/>
      <c r="O238" s="20"/>
      <c r="P238" s="20"/>
      <c r="Q238" s="9" t="s">
        <v>346</v>
      </c>
      <c r="R238" s="9" t="s">
        <v>118</v>
      </c>
      <c r="S238" s="9" t="s">
        <v>124</v>
      </c>
      <c r="T238" s="9" t="s">
        <v>138</v>
      </c>
      <c r="U238" s="9"/>
      <c r="V238" s="13" t="s">
        <v>92</v>
      </c>
    </row>
    <row r="239" spans="2:22" x14ac:dyDescent="0.25">
      <c r="B239" s="74"/>
      <c r="C239" s="76"/>
      <c r="D239" s="76"/>
      <c r="E239" s="7"/>
      <c r="F239" s="7"/>
      <c r="G239" s="7"/>
      <c r="H239" s="7"/>
      <c r="I239" s="8"/>
      <c r="J239" s="8"/>
      <c r="K239" s="8"/>
      <c r="L239" s="8"/>
      <c r="M239" s="20"/>
      <c r="N239" s="20"/>
      <c r="O239" s="20"/>
      <c r="P239" s="20"/>
      <c r="Q239" s="9" t="s">
        <v>106</v>
      </c>
      <c r="R239" s="9" t="s">
        <v>181</v>
      </c>
      <c r="S239" s="9" t="s">
        <v>409</v>
      </c>
      <c r="T239" s="9" t="s">
        <v>301</v>
      </c>
      <c r="U239" s="9"/>
      <c r="V239" s="13" t="s">
        <v>130</v>
      </c>
    </row>
    <row r="240" spans="2:22" x14ac:dyDescent="0.25">
      <c r="B240" s="73" t="s">
        <v>41</v>
      </c>
      <c r="C240" s="75">
        <v>2</v>
      </c>
      <c r="D240" s="75">
        <v>2</v>
      </c>
      <c r="E240" s="7" t="s">
        <v>174</v>
      </c>
      <c r="F240" s="7" t="s">
        <v>310</v>
      </c>
      <c r="G240" s="7"/>
      <c r="H240" s="7"/>
      <c r="I240" s="8" t="s">
        <v>306</v>
      </c>
      <c r="J240" s="8"/>
      <c r="K240" s="8"/>
      <c r="L240" s="8"/>
      <c r="M240" s="20"/>
      <c r="N240" s="20"/>
      <c r="O240" s="20"/>
      <c r="P240" s="20"/>
      <c r="Q240" s="9"/>
      <c r="R240" s="9"/>
      <c r="S240" s="9"/>
      <c r="T240" s="9"/>
      <c r="U240" s="9"/>
      <c r="V240" s="13"/>
    </row>
    <row r="241" spans="2:22" x14ac:dyDescent="0.25">
      <c r="B241" s="74"/>
      <c r="C241" s="76"/>
      <c r="D241" s="76"/>
      <c r="E241" s="7" t="s">
        <v>98</v>
      </c>
      <c r="F241" s="7" t="s">
        <v>124</v>
      </c>
      <c r="G241" s="7"/>
      <c r="H241" s="7"/>
      <c r="I241" s="8" t="s">
        <v>139</v>
      </c>
      <c r="J241" s="8"/>
      <c r="K241" s="8"/>
      <c r="L241" s="8"/>
      <c r="M241" s="20"/>
      <c r="N241" s="20"/>
      <c r="O241" s="20"/>
      <c r="P241" s="20"/>
      <c r="Q241" s="9"/>
      <c r="R241" s="9"/>
      <c r="S241" s="9"/>
      <c r="T241" s="9"/>
      <c r="U241" s="9"/>
      <c r="V241" s="13"/>
    </row>
    <row r="242" spans="2:22" x14ac:dyDescent="0.25">
      <c r="B242" s="2" t="s">
        <v>89</v>
      </c>
      <c r="C242" s="2">
        <f>SUM(C234:C241)</f>
        <v>2</v>
      </c>
      <c r="D242" s="2">
        <f>SUM(D234:D241)</f>
        <v>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5" spans="2:22" x14ac:dyDescent="0.25">
      <c r="B245" s="11">
        <v>46240</v>
      </c>
      <c r="C245" s="10" t="s">
        <v>354</v>
      </c>
      <c r="D245" s="10" t="s">
        <v>354</v>
      </c>
      <c r="E245" s="77" t="s">
        <v>82</v>
      </c>
      <c r="F245" s="77"/>
      <c r="G245" s="77"/>
      <c r="H245" s="77"/>
      <c r="I245" s="78" t="s">
        <v>85</v>
      </c>
      <c r="J245" s="78"/>
      <c r="K245" s="78"/>
      <c r="L245" s="78"/>
      <c r="M245" s="79" t="s">
        <v>84</v>
      </c>
      <c r="N245" s="79"/>
      <c r="O245" s="79"/>
      <c r="P245" s="79"/>
      <c r="Q245" s="80" t="s">
        <v>78</v>
      </c>
      <c r="R245" s="80"/>
      <c r="S245" s="80"/>
      <c r="T245" s="80"/>
      <c r="U245" s="80"/>
      <c r="V245" s="80"/>
    </row>
    <row r="246" spans="2:22" x14ac:dyDescent="0.25">
      <c r="B246" s="73" t="s">
        <v>65</v>
      </c>
      <c r="C246" s="75">
        <v>2</v>
      </c>
      <c r="D246" s="75">
        <v>1</v>
      </c>
      <c r="E246" s="7" t="s">
        <v>311</v>
      </c>
      <c r="F246" s="7" t="s">
        <v>134</v>
      </c>
      <c r="G246" s="7"/>
      <c r="H246" s="7"/>
      <c r="I246" s="8" t="s">
        <v>213</v>
      </c>
      <c r="J246" s="8" t="s">
        <v>107</v>
      </c>
      <c r="K246" s="8"/>
      <c r="L246" s="8"/>
      <c r="M246" s="20"/>
      <c r="N246" s="20"/>
      <c r="O246" s="20"/>
      <c r="P246" s="20"/>
      <c r="Q246" s="9"/>
      <c r="R246" s="9"/>
      <c r="S246" s="9"/>
      <c r="T246" s="9"/>
      <c r="U246" s="9"/>
      <c r="V246" s="13"/>
    </row>
    <row r="247" spans="2:22" x14ac:dyDescent="0.25">
      <c r="B247" s="74"/>
      <c r="C247" s="76"/>
      <c r="D247" s="76"/>
      <c r="E247" s="7"/>
      <c r="F247" s="7"/>
      <c r="G247" s="7"/>
      <c r="H247" s="7"/>
      <c r="I247" s="8"/>
      <c r="J247" s="8"/>
      <c r="K247" s="8"/>
      <c r="L247" s="8"/>
      <c r="M247" s="20"/>
      <c r="N247" s="20"/>
      <c r="O247" s="20"/>
      <c r="P247" s="20"/>
      <c r="Q247" s="9"/>
      <c r="R247" s="9"/>
      <c r="S247" s="9"/>
      <c r="T247" s="9"/>
      <c r="U247" s="9"/>
      <c r="V247" s="13"/>
    </row>
    <row r="248" spans="2:22" x14ac:dyDescent="0.25">
      <c r="B248" s="73" t="s">
        <v>71</v>
      </c>
      <c r="C248" s="75">
        <v>1</v>
      </c>
      <c r="D248" s="75">
        <v>1</v>
      </c>
      <c r="E248" s="7" t="s">
        <v>219</v>
      </c>
      <c r="F248" s="7"/>
      <c r="G248" s="7"/>
      <c r="H248" s="7"/>
      <c r="I248" s="8" t="s">
        <v>201</v>
      </c>
      <c r="J248" s="8"/>
      <c r="K248" s="8"/>
      <c r="L248" s="8"/>
      <c r="M248" s="20"/>
      <c r="N248" s="20"/>
      <c r="O248" s="20"/>
      <c r="P248" s="20"/>
      <c r="Q248" s="9"/>
      <c r="R248" s="9"/>
      <c r="S248" s="9"/>
      <c r="T248" s="9"/>
      <c r="U248" s="9"/>
      <c r="V248" s="13"/>
    </row>
    <row r="249" spans="2:22" x14ac:dyDescent="0.25">
      <c r="B249" s="74"/>
      <c r="C249" s="76"/>
      <c r="D249" s="76"/>
      <c r="E249" s="7" t="s">
        <v>103</v>
      </c>
      <c r="F249" s="7"/>
      <c r="G249" s="7"/>
      <c r="H249" s="7"/>
      <c r="I249" s="8"/>
      <c r="J249" s="8"/>
      <c r="K249" s="8"/>
      <c r="L249" s="8"/>
      <c r="M249" s="20"/>
      <c r="N249" s="20"/>
      <c r="O249" s="20"/>
      <c r="P249" s="20"/>
      <c r="Q249" s="9"/>
      <c r="R249" s="9"/>
      <c r="S249" s="9"/>
      <c r="T249" s="9"/>
      <c r="U249" s="9"/>
      <c r="V249" s="13"/>
    </row>
    <row r="250" spans="2:22" x14ac:dyDescent="0.25">
      <c r="B250" s="73" t="s">
        <v>73</v>
      </c>
      <c r="C250" s="75">
        <v>3</v>
      </c>
      <c r="D250" s="75">
        <v>0</v>
      </c>
      <c r="E250" s="7" t="s">
        <v>122</v>
      </c>
      <c r="F250" s="7" t="s">
        <v>306</v>
      </c>
      <c r="G250" s="7" t="s">
        <v>306</v>
      </c>
      <c r="H250" s="7"/>
      <c r="I250" s="8"/>
      <c r="J250" s="8" t="s">
        <v>340</v>
      </c>
      <c r="K250" s="8" t="s">
        <v>213</v>
      </c>
      <c r="L250" s="8"/>
      <c r="M250" s="20" t="s">
        <v>213</v>
      </c>
      <c r="N250" s="20" t="s">
        <v>124</v>
      </c>
      <c r="O250" s="20" t="s">
        <v>300</v>
      </c>
      <c r="P250" s="20"/>
      <c r="Q250" s="9" t="s">
        <v>297</v>
      </c>
      <c r="R250" s="9" t="s">
        <v>181</v>
      </c>
      <c r="S250" s="9" t="s">
        <v>122</v>
      </c>
      <c r="T250" s="9" t="s">
        <v>324</v>
      </c>
      <c r="U250" s="9"/>
      <c r="V250" s="13" t="s">
        <v>113</v>
      </c>
    </row>
    <row r="251" spans="2:22" x14ac:dyDescent="0.25">
      <c r="B251" s="74"/>
      <c r="C251" s="76"/>
      <c r="D251" s="76"/>
      <c r="E251" s="7"/>
      <c r="F251" s="7"/>
      <c r="G251" s="7"/>
      <c r="H251" s="7"/>
      <c r="I251" s="8"/>
      <c r="J251" s="8"/>
      <c r="K251" s="8"/>
      <c r="L251" s="8"/>
      <c r="M251" s="20"/>
      <c r="N251" s="20"/>
      <c r="O251" s="20"/>
      <c r="P251" s="20"/>
      <c r="Q251" s="9"/>
      <c r="R251" s="9"/>
      <c r="S251" s="9"/>
      <c r="T251" s="9"/>
      <c r="U251" s="9"/>
      <c r="V251" s="13"/>
    </row>
    <row r="252" spans="2:22" x14ac:dyDescent="0.25">
      <c r="B252" s="73" t="s">
        <v>41</v>
      </c>
      <c r="C252" s="75">
        <v>2</v>
      </c>
      <c r="D252" s="75">
        <v>0</v>
      </c>
      <c r="E252" s="7" t="s">
        <v>306</v>
      </c>
      <c r="F252" s="7" t="s">
        <v>340</v>
      </c>
      <c r="G252" s="7"/>
      <c r="H252" s="7"/>
      <c r="I252" s="8" t="s">
        <v>134</v>
      </c>
      <c r="J252" s="8" t="s">
        <v>300</v>
      </c>
      <c r="K252" s="8"/>
      <c r="L252" s="8"/>
      <c r="M252" s="20" t="s">
        <v>107</v>
      </c>
      <c r="N252" s="20" t="s">
        <v>300</v>
      </c>
      <c r="O252" s="20" t="s">
        <v>113</v>
      </c>
      <c r="P252" s="20"/>
      <c r="Q252" s="9" t="s">
        <v>311</v>
      </c>
      <c r="R252" s="9" t="s">
        <v>201</v>
      </c>
      <c r="S252" s="9" t="s">
        <v>213</v>
      </c>
      <c r="T252" s="9" t="s">
        <v>219</v>
      </c>
      <c r="U252" s="9"/>
      <c r="V252" s="13" t="s">
        <v>122</v>
      </c>
    </row>
    <row r="253" spans="2:22" x14ac:dyDescent="0.25">
      <c r="B253" s="74"/>
      <c r="C253" s="76"/>
      <c r="D253" s="76"/>
      <c r="E253" s="7"/>
      <c r="F253" s="7"/>
      <c r="G253" s="7"/>
      <c r="H253" s="7"/>
      <c r="I253" s="8"/>
      <c r="J253" s="8"/>
      <c r="K253" s="8"/>
      <c r="L253" s="8"/>
      <c r="M253" s="20"/>
      <c r="N253" s="20"/>
      <c r="O253" s="20"/>
      <c r="P253" s="20"/>
      <c r="Q253" s="9"/>
      <c r="R253" s="9"/>
      <c r="S253" s="9"/>
      <c r="T253" s="9"/>
      <c r="U253" s="9"/>
      <c r="V253" s="13"/>
    </row>
    <row r="254" spans="2:22" x14ac:dyDescent="0.25">
      <c r="B254" s="2" t="s">
        <v>89</v>
      </c>
      <c r="C254" s="2">
        <f>SUM(C246:C253)</f>
        <v>8</v>
      </c>
      <c r="D254" s="2">
        <f>SUM(D246:D253)</f>
        <v>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7" spans="2:22" x14ac:dyDescent="0.25">
      <c r="B257" s="11">
        <v>46246</v>
      </c>
      <c r="C257" s="10" t="s">
        <v>354</v>
      </c>
      <c r="D257" s="10" t="s">
        <v>208</v>
      </c>
      <c r="E257" s="77" t="s">
        <v>82</v>
      </c>
      <c r="F257" s="77"/>
      <c r="G257" s="77"/>
      <c r="H257" s="77"/>
      <c r="I257" s="78" t="s">
        <v>85</v>
      </c>
      <c r="J257" s="78"/>
      <c r="K257" s="78"/>
      <c r="L257" s="78"/>
      <c r="M257" s="79" t="s">
        <v>84</v>
      </c>
      <c r="N257" s="79"/>
      <c r="O257" s="79"/>
      <c r="P257" s="79"/>
      <c r="Q257" s="80" t="s">
        <v>78</v>
      </c>
      <c r="R257" s="80"/>
      <c r="S257" s="80"/>
      <c r="T257" s="80"/>
      <c r="U257" s="80"/>
      <c r="V257" s="80"/>
    </row>
    <row r="258" spans="2:22" x14ac:dyDescent="0.25">
      <c r="B258" s="73" t="s">
        <v>65</v>
      </c>
      <c r="C258" s="75">
        <v>2</v>
      </c>
      <c r="D258" s="75">
        <v>0</v>
      </c>
      <c r="E258" s="7" t="s">
        <v>310</v>
      </c>
      <c r="F258" s="7" t="s">
        <v>219</v>
      </c>
      <c r="G258" s="7"/>
      <c r="H258" s="7"/>
      <c r="I258" s="8"/>
      <c r="J258" s="8"/>
      <c r="K258" s="8"/>
      <c r="L258" s="8"/>
      <c r="M258" s="20" t="s">
        <v>219</v>
      </c>
      <c r="N258" s="20" t="s">
        <v>363</v>
      </c>
      <c r="O258" s="20" t="s">
        <v>134</v>
      </c>
      <c r="P258" s="20"/>
      <c r="Q258" s="9" t="s">
        <v>351</v>
      </c>
      <c r="R258" s="9" t="s">
        <v>201</v>
      </c>
      <c r="S258" s="9" t="s">
        <v>174</v>
      </c>
      <c r="T258" s="9" t="s">
        <v>324</v>
      </c>
      <c r="U258" s="9"/>
      <c r="V258" s="13" t="s">
        <v>111</v>
      </c>
    </row>
    <row r="259" spans="2:22" x14ac:dyDescent="0.25">
      <c r="B259" s="74"/>
      <c r="C259" s="76"/>
      <c r="D259" s="76"/>
      <c r="E259" s="7"/>
      <c r="F259" s="7"/>
      <c r="G259" s="7"/>
      <c r="H259" s="7"/>
      <c r="I259" s="8"/>
      <c r="J259" s="8"/>
      <c r="K259" s="8"/>
      <c r="L259" s="8"/>
      <c r="M259" s="20"/>
      <c r="N259" s="20"/>
      <c r="O259" s="20"/>
      <c r="P259" s="20"/>
      <c r="Q259" s="9"/>
      <c r="R259" s="9"/>
      <c r="S259" s="9"/>
      <c r="T259" s="9"/>
      <c r="U259" s="9"/>
      <c r="V259" s="13"/>
    </row>
    <row r="260" spans="2:22" x14ac:dyDescent="0.25">
      <c r="B260" s="73" t="s">
        <v>71</v>
      </c>
      <c r="C260" s="75">
        <v>1</v>
      </c>
      <c r="D260" s="75">
        <v>1</v>
      </c>
      <c r="E260" s="7" t="s">
        <v>347</v>
      </c>
      <c r="F260" s="7"/>
      <c r="G260" s="7"/>
      <c r="H260" s="7"/>
      <c r="I260" s="8" t="s">
        <v>125</v>
      </c>
      <c r="J260" s="8"/>
      <c r="K260" s="8"/>
      <c r="L260" s="8"/>
      <c r="M260" s="20"/>
      <c r="N260" s="20"/>
      <c r="O260" s="20"/>
      <c r="P260" s="20"/>
      <c r="Q260" s="9"/>
      <c r="R260" s="9"/>
      <c r="S260" s="9"/>
      <c r="T260" s="9"/>
      <c r="U260" s="9"/>
      <c r="V260" s="13"/>
    </row>
    <row r="261" spans="2:22" x14ac:dyDescent="0.25">
      <c r="B261" s="74"/>
      <c r="C261" s="76"/>
      <c r="D261" s="76"/>
      <c r="E261" s="7"/>
      <c r="F261" s="7"/>
      <c r="G261" s="7"/>
      <c r="H261" s="7"/>
      <c r="I261" s="8"/>
      <c r="J261" s="8"/>
      <c r="K261" s="8"/>
      <c r="L261" s="8"/>
      <c r="M261" s="20"/>
      <c r="N261" s="20"/>
      <c r="O261" s="20"/>
      <c r="P261" s="20"/>
      <c r="Q261" s="9"/>
      <c r="R261" s="9"/>
      <c r="S261" s="9"/>
      <c r="T261" s="9"/>
      <c r="U261" s="9"/>
      <c r="V261" s="13"/>
    </row>
    <row r="262" spans="2:22" x14ac:dyDescent="0.25">
      <c r="B262" s="73" t="s">
        <v>73</v>
      </c>
      <c r="C262" s="75">
        <v>3</v>
      </c>
      <c r="D262" s="75">
        <v>0</v>
      </c>
      <c r="E262" s="7" t="s">
        <v>311</v>
      </c>
      <c r="F262" s="7" t="s">
        <v>219</v>
      </c>
      <c r="G262" s="7" t="s">
        <v>201</v>
      </c>
      <c r="H262" s="7"/>
      <c r="I262" s="8" t="s">
        <v>105</v>
      </c>
      <c r="J262" s="8" t="s">
        <v>310</v>
      </c>
      <c r="K262" s="8"/>
      <c r="L262" s="8"/>
      <c r="M262" s="20" t="s">
        <v>311</v>
      </c>
      <c r="N262" s="20" t="s">
        <v>363</v>
      </c>
      <c r="O262" s="20" t="s">
        <v>201</v>
      </c>
      <c r="P262" s="20"/>
      <c r="Q262" s="9" t="s">
        <v>105</v>
      </c>
      <c r="R262" s="9" t="s">
        <v>324</v>
      </c>
      <c r="S262" s="9" t="s">
        <v>130</v>
      </c>
      <c r="T262" s="9" t="s">
        <v>351</v>
      </c>
      <c r="U262" s="9"/>
      <c r="V262" s="13" t="s">
        <v>347</v>
      </c>
    </row>
    <row r="263" spans="2:22" x14ac:dyDescent="0.25">
      <c r="B263" s="74"/>
      <c r="C263" s="76"/>
      <c r="D263" s="76"/>
      <c r="E263" s="7"/>
      <c r="F263" s="7"/>
      <c r="G263" s="7"/>
      <c r="H263" s="7"/>
      <c r="I263" s="8"/>
      <c r="J263" s="8"/>
      <c r="K263" s="8"/>
      <c r="L263" s="8"/>
      <c r="M263" s="20"/>
      <c r="N263" s="20"/>
      <c r="O263" s="20"/>
      <c r="P263" s="20"/>
      <c r="Q263" s="9"/>
      <c r="R263" s="9"/>
      <c r="S263" s="9"/>
      <c r="T263" s="9"/>
      <c r="U263" s="9"/>
      <c r="V263" s="13"/>
    </row>
    <row r="264" spans="2:22" x14ac:dyDescent="0.25">
      <c r="B264" s="73" t="s">
        <v>41</v>
      </c>
      <c r="C264" s="75">
        <v>0</v>
      </c>
      <c r="D264" s="75">
        <v>1</v>
      </c>
      <c r="E264" s="7"/>
      <c r="F264" s="7"/>
      <c r="G264" s="7"/>
      <c r="H264" s="7"/>
      <c r="I264" s="8"/>
      <c r="J264" s="8"/>
      <c r="K264" s="8"/>
      <c r="L264" s="8"/>
      <c r="M264" s="20"/>
      <c r="N264" s="20"/>
      <c r="O264" s="20"/>
      <c r="P264" s="20"/>
      <c r="Q264" s="9"/>
      <c r="R264" s="9"/>
      <c r="S264" s="9"/>
      <c r="T264" s="9"/>
      <c r="U264" s="9"/>
      <c r="V264" s="13"/>
    </row>
    <row r="265" spans="2:22" x14ac:dyDescent="0.25">
      <c r="B265" s="74"/>
      <c r="C265" s="76"/>
      <c r="D265" s="76"/>
      <c r="E265" s="7"/>
      <c r="F265" s="7"/>
      <c r="G265" s="7"/>
      <c r="H265" s="7"/>
      <c r="I265" s="8"/>
      <c r="J265" s="8"/>
      <c r="K265" s="8"/>
      <c r="L265" s="8"/>
      <c r="M265" s="20"/>
      <c r="N265" s="20"/>
      <c r="O265" s="20"/>
      <c r="P265" s="20"/>
      <c r="Q265" s="9" t="s">
        <v>297</v>
      </c>
      <c r="R265" s="9"/>
      <c r="S265" s="9"/>
      <c r="T265" s="9"/>
      <c r="U265" s="9"/>
      <c r="V265" s="13"/>
    </row>
    <row r="266" spans="2:22" x14ac:dyDescent="0.25">
      <c r="B266" s="2" t="s">
        <v>89</v>
      </c>
      <c r="C266" s="2">
        <f>SUM(C258:C265)</f>
        <v>6</v>
      </c>
      <c r="D266" s="2">
        <f>SUM(D258:D265)</f>
        <v>2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9" spans="2:22" x14ac:dyDescent="0.25">
      <c r="B269" s="11">
        <v>46254</v>
      </c>
      <c r="C269" s="10" t="s">
        <v>354</v>
      </c>
      <c r="D269" s="10" t="s">
        <v>354</v>
      </c>
      <c r="E269" s="77" t="s">
        <v>82</v>
      </c>
      <c r="F269" s="77"/>
      <c r="G269" s="77"/>
      <c r="H269" s="77"/>
      <c r="I269" s="78" t="s">
        <v>85</v>
      </c>
      <c r="J269" s="78"/>
      <c r="K269" s="78"/>
      <c r="L269" s="78"/>
      <c r="M269" s="79" t="s">
        <v>84</v>
      </c>
      <c r="N269" s="79"/>
      <c r="O269" s="79"/>
      <c r="P269" s="79"/>
      <c r="Q269" s="80" t="s">
        <v>78</v>
      </c>
      <c r="R269" s="80"/>
      <c r="S269" s="80"/>
      <c r="T269" s="80"/>
      <c r="U269" s="80"/>
      <c r="V269" s="80"/>
    </row>
    <row r="270" spans="2:22" x14ac:dyDescent="0.25">
      <c r="B270" s="73" t="s">
        <v>65</v>
      </c>
      <c r="C270" s="75">
        <v>1</v>
      </c>
      <c r="D270" s="75">
        <v>1</v>
      </c>
      <c r="E270" s="7" t="s">
        <v>174</v>
      </c>
      <c r="F270" s="7"/>
      <c r="G270" s="7"/>
      <c r="H270" s="7"/>
      <c r="I270" s="8"/>
      <c r="J270" s="8"/>
      <c r="K270" s="8"/>
      <c r="L270" s="8"/>
      <c r="M270" s="20"/>
      <c r="N270" s="20"/>
      <c r="O270" s="20"/>
      <c r="P270" s="20"/>
      <c r="Q270" s="9"/>
      <c r="R270" s="9"/>
      <c r="S270" s="9"/>
      <c r="T270" s="9"/>
      <c r="U270" s="9"/>
      <c r="V270" s="13"/>
    </row>
    <row r="271" spans="2:22" x14ac:dyDescent="0.25">
      <c r="B271" s="74"/>
      <c r="C271" s="76"/>
      <c r="D271" s="76"/>
      <c r="E271" s="7" t="s">
        <v>306</v>
      </c>
      <c r="F271" s="7"/>
      <c r="G271" s="7"/>
      <c r="H271" s="7"/>
      <c r="I271" s="8"/>
      <c r="J271" s="8"/>
      <c r="K271" s="8"/>
      <c r="L271" s="8"/>
      <c r="M271" s="20"/>
      <c r="N271" s="20"/>
      <c r="O271" s="20"/>
      <c r="P271" s="20"/>
      <c r="Q271" s="9"/>
      <c r="R271" s="9"/>
      <c r="S271" s="9"/>
      <c r="T271" s="9"/>
      <c r="U271" s="9"/>
      <c r="V271" s="13"/>
    </row>
    <row r="272" spans="2:22" x14ac:dyDescent="0.25">
      <c r="B272" s="73" t="s">
        <v>71</v>
      </c>
      <c r="C272" s="75">
        <v>0</v>
      </c>
      <c r="D272" s="75">
        <v>1</v>
      </c>
      <c r="E272" s="7"/>
      <c r="F272" s="7"/>
      <c r="G272" s="7"/>
      <c r="H272" s="7"/>
      <c r="I272" s="8"/>
      <c r="J272" s="8"/>
      <c r="K272" s="8"/>
      <c r="L272" s="8"/>
      <c r="M272" s="20"/>
      <c r="N272" s="20"/>
      <c r="O272" s="20"/>
      <c r="P272" s="20"/>
      <c r="Q272" s="9"/>
      <c r="R272" s="9"/>
      <c r="S272" s="9"/>
      <c r="T272" s="9"/>
      <c r="U272" s="9"/>
      <c r="V272" s="13"/>
    </row>
    <row r="273" spans="2:22" x14ac:dyDescent="0.25">
      <c r="B273" s="74"/>
      <c r="C273" s="76"/>
      <c r="D273" s="76"/>
      <c r="E273" s="7" t="s">
        <v>306</v>
      </c>
      <c r="F273" s="7"/>
      <c r="G273" s="7"/>
      <c r="H273" s="7"/>
      <c r="I273" s="8" t="s">
        <v>300</v>
      </c>
      <c r="J273" s="8"/>
      <c r="K273" s="8"/>
      <c r="L273" s="8"/>
      <c r="M273" s="20" t="s">
        <v>306</v>
      </c>
      <c r="N273" s="20" t="s">
        <v>300</v>
      </c>
      <c r="O273" s="20" t="s">
        <v>203</v>
      </c>
      <c r="P273" s="20"/>
      <c r="Q273" s="9" t="s">
        <v>233</v>
      </c>
      <c r="R273" s="9" t="s">
        <v>201</v>
      </c>
      <c r="S273" s="9" t="s">
        <v>408</v>
      </c>
      <c r="T273" s="9" t="s">
        <v>135</v>
      </c>
      <c r="U273" s="9"/>
      <c r="V273" s="13" t="s">
        <v>104</v>
      </c>
    </row>
    <row r="274" spans="2:22" x14ac:dyDescent="0.25">
      <c r="B274" s="73" t="s">
        <v>73</v>
      </c>
      <c r="C274" s="75">
        <v>2</v>
      </c>
      <c r="D274" s="75">
        <v>4</v>
      </c>
      <c r="E274" s="7" t="s">
        <v>174</v>
      </c>
      <c r="F274" s="7" t="s">
        <v>130</v>
      </c>
      <c r="G274" s="7"/>
      <c r="H274" s="7"/>
      <c r="I274" s="8" t="s">
        <v>95</v>
      </c>
      <c r="J274" s="8" t="s">
        <v>202</v>
      </c>
      <c r="K274" s="8"/>
      <c r="L274" s="8"/>
      <c r="M274" s="20"/>
      <c r="N274" s="20"/>
      <c r="O274" s="20"/>
      <c r="P274" s="20"/>
      <c r="Q274" s="9"/>
      <c r="R274" s="9"/>
      <c r="S274" s="9"/>
      <c r="T274" s="9"/>
      <c r="U274" s="9"/>
      <c r="V274" s="13"/>
    </row>
    <row r="275" spans="2:22" x14ac:dyDescent="0.25">
      <c r="B275" s="74"/>
      <c r="C275" s="76"/>
      <c r="D275" s="76"/>
      <c r="E275" s="7" t="s">
        <v>98</v>
      </c>
      <c r="F275" s="7" t="s">
        <v>98</v>
      </c>
      <c r="G275" s="7" t="s">
        <v>311</v>
      </c>
      <c r="H275" s="7" t="s">
        <v>311</v>
      </c>
      <c r="I275" s="8" t="s">
        <v>306</v>
      </c>
      <c r="J275" s="8" t="s">
        <v>203</v>
      </c>
      <c r="K275" s="8" t="s">
        <v>163</v>
      </c>
      <c r="L275" s="8" t="s">
        <v>98</v>
      </c>
      <c r="M275" s="20" t="s">
        <v>201</v>
      </c>
      <c r="N275" s="20" t="s">
        <v>203</v>
      </c>
      <c r="O275" s="20" t="s">
        <v>306</v>
      </c>
      <c r="P275" s="20"/>
      <c r="Q275" s="9"/>
      <c r="R275" s="9"/>
      <c r="S275" s="9"/>
      <c r="T275" s="9"/>
      <c r="U275" s="9"/>
      <c r="V275" s="13"/>
    </row>
    <row r="276" spans="2:22" x14ac:dyDescent="0.25">
      <c r="B276" s="2" t="s">
        <v>89</v>
      </c>
      <c r="C276" s="2">
        <f>SUM(C270:C275)</f>
        <v>3</v>
      </c>
      <c r="D276" s="2">
        <f>SUM(D270:D275)</f>
        <v>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9" spans="2:22" x14ac:dyDescent="0.25">
      <c r="B279" s="11">
        <v>46261</v>
      </c>
      <c r="C279" s="10" t="s">
        <v>354</v>
      </c>
      <c r="D279" s="10" t="s">
        <v>354</v>
      </c>
      <c r="E279" s="77" t="s">
        <v>82</v>
      </c>
      <c r="F279" s="77"/>
      <c r="G279" s="77"/>
      <c r="H279" s="77"/>
      <c r="I279" s="78" t="s">
        <v>85</v>
      </c>
      <c r="J279" s="78"/>
      <c r="K279" s="78"/>
      <c r="L279" s="78"/>
      <c r="M279" s="79" t="s">
        <v>84</v>
      </c>
      <c r="N279" s="79"/>
      <c r="O279" s="79"/>
      <c r="P279" s="79"/>
      <c r="Q279" s="80" t="s">
        <v>78</v>
      </c>
      <c r="R279" s="80"/>
      <c r="S279" s="80"/>
      <c r="T279" s="80"/>
      <c r="U279" s="80"/>
      <c r="V279" s="80"/>
    </row>
    <row r="280" spans="2:22" x14ac:dyDescent="0.25">
      <c r="B280" s="73" t="s">
        <v>65</v>
      </c>
      <c r="C280" s="75">
        <v>2</v>
      </c>
      <c r="D280" s="75">
        <v>0</v>
      </c>
      <c r="E280" s="7" t="s">
        <v>413</v>
      </c>
      <c r="F280" s="7" t="s">
        <v>413</v>
      </c>
      <c r="G280" s="7"/>
      <c r="H280" s="7"/>
      <c r="I280" s="8"/>
      <c r="J280" s="8" t="s">
        <v>414</v>
      </c>
      <c r="K280" s="8"/>
      <c r="L280" s="8"/>
      <c r="M280" s="20" t="s">
        <v>415</v>
      </c>
      <c r="N280" s="20" t="s">
        <v>416</v>
      </c>
      <c r="O280" s="20" t="s">
        <v>417</v>
      </c>
      <c r="P280" s="20"/>
      <c r="Q280" s="9" t="s">
        <v>418</v>
      </c>
      <c r="R280" s="9" t="s">
        <v>419</v>
      </c>
      <c r="S280" s="9" t="s">
        <v>420</v>
      </c>
      <c r="T280" s="9" t="s">
        <v>421</v>
      </c>
      <c r="U280" s="9"/>
      <c r="V280" s="13" t="s">
        <v>422</v>
      </c>
    </row>
    <row r="281" spans="2:22" x14ac:dyDescent="0.25">
      <c r="B281" s="74"/>
      <c r="C281" s="76"/>
      <c r="D281" s="76"/>
      <c r="E281" s="7"/>
      <c r="F281" s="7"/>
      <c r="G281" s="7"/>
      <c r="H281" s="7"/>
      <c r="I281" s="8"/>
      <c r="J281" s="8"/>
      <c r="K281" s="8"/>
      <c r="L281" s="8"/>
      <c r="M281" s="20"/>
      <c r="N281" s="20"/>
      <c r="O281" s="20"/>
      <c r="P281" s="20"/>
      <c r="Q281" s="9"/>
      <c r="R281" s="9"/>
      <c r="S281" s="9"/>
      <c r="T281" s="9"/>
      <c r="U281" s="9"/>
      <c r="V281" s="13"/>
    </row>
    <row r="282" spans="2:22" x14ac:dyDescent="0.25">
      <c r="B282" s="73" t="s">
        <v>71</v>
      </c>
      <c r="C282" s="75">
        <v>1</v>
      </c>
      <c r="D282" s="75">
        <v>0</v>
      </c>
      <c r="E282" s="7" t="s">
        <v>423</v>
      </c>
      <c r="F282" s="7"/>
      <c r="G282" s="7"/>
      <c r="H282" s="7"/>
      <c r="I282" s="8" t="s">
        <v>424</v>
      </c>
      <c r="J282" s="8"/>
      <c r="K282" s="8"/>
      <c r="L282" s="8"/>
      <c r="M282" s="20" t="s">
        <v>425</v>
      </c>
      <c r="N282" s="20" t="s">
        <v>426</v>
      </c>
      <c r="O282" s="20" t="s">
        <v>427</v>
      </c>
      <c r="P282" s="20"/>
      <c r="Q282" s="9" t="s">
        <v>428</v>
      </c>
      <c r="R282" s="9" t="s">
        <v>429</v>
      </c>
      <c r="S282" s="9" t="s">
        <v>419</v>
      </c>
      <c r="T282" s="9" t="s">
        <v>421</v>
      </c>
      <c r="U282" s="9"/>
      <c r="V282" s="13" t="s">
        <v>422</v>
      </c>
    </row>
    <row r="283" spans="2:22" x14ac:dyDescent="0.25">
      <c r="B283" s="74"/>
      <c r="C283" s="76"/>
      <c r="D283" s="76"/>
      <c r="E283" s="7"/>
      <c r="F283" s="7"/>
      <c r="G283" s="7"/>
      <c r="H283" s="7"/>
      <c r="I283" s="8"/>
      <c r="J283" s="8"/>
      <c r="K283" s="8"/>
      <c r="L283" s="8"/>
      <c r="M283" s="20"/>
      <c r="N283" s="20"/>
      <c r="O283" s="20"/>
      <c r="P283" s="20"/>
      <c r="Q283" s="9"/>
      <c r="R283" s="9"/>
      <c r="S283" s="9"/>
      <c r="T283" s="9"/>
      <c r="U283" s="9"/>
      <c r="V283" s="13"/>
    </row>
    <row r="284" spans="2:22" x14ac:dyDescent="0.25">
      <c r="B284" s="73" t="s">
        <v>73</v>
      </c>
      <c r="C284" s="75">
        <v>1</v>
      </c>
      <c r="D284" s="75">
        <v>3</v>
      </c>
      <c r="E284" s="7" t="s">
        <v>430</v>
      </c>
      <c r="F284" s="7"/>
      <c r="G284" s="7"/>
      <c r="H284" s="7"/>
      <c r="I284" s="8" t="s">
        <v>431</v>
      </c>
      <c r="J284" s="8"/>
      <c r="K284" s="8"/>
      <c r="L284" s="8"/>
      <c r="M284" s="20"/>
      <c r="N284" s="20"/>
      <c r="O284" s="20"/>
      <c r="P284" s="20"/>
      <c r="Q284" s="9"/>
      <c r="R284" s="9"/>
      <c r="S284" s="9"/>
      <c r="T284" s="9"/>
      <c r="U284" s="9"/>
      <c r="V284" s="13"/>
    </row>
    <row r="285" spans="2:22" x14ac:dyDescent="0.25">
      <c r="B285" s="74"/>
      <c r="C285" s="76"/>
      <c r="D285" s="76"/>
      <c r="E285" s="7" t="s">
        <v>413</v>
      </c>
      <c r="F285" s="7" t="s">
        <v>413</v>
      </c>
      <c r="G285" s="7" t="s">
        <v>423</v>
      </c>
      <c r="H285" s="7"/>
      <c r="I285" s="8"/>
      <c r="J285" s="8" t="s">
        <v>426</v>
      </c>
      <c r="K285" s="8" t="s">
        <v>424</v>
      </c>
      <c r="L285" s="8"/>
      <c r="M285" s="20"/>
      <c r="N285" s="20"/>
      <c r="O285" s="20"/>
      <c r="P285" s="20"/>
      <c r="Q285" s="9"/>
      <c r="R285" s="9"/>
      <c r="S285" s="9"/>
      <c r="T285" s="9"/>
      <c r="U285" s="9"/>
      <c r="V285" s="13"/>
    </row>
    <row r="286" spans="2:22" x14ac:dyDescent="0.25">
      <c r="B286" s="73" t="s">
        <v>41</v>
      </c>
      <c r="C286" s="75">
        <v>1</v>
      </c>
      <c r="D286" s="75">
        <v>0</v>
      </c>
      <c r="E286" s="7" t="s">
        <v>414</v>
      </c>
      <c r="F286" s="7"/>
      <c r="G286" s="7"/>
      <c r="H286" s="7"/>
      <c r="I286" s="8" t="s">
        <v>417</v>
      </c>
      <c r="J286" s="8"/>
      <c r="K286" s="8"/>
      <c r="L286" s="8"/>
      <c r="M286" s="20" t="s">
        <v>432</v>
      </c>
      <c r="N286" s="20" t="s">
        <v>417</v>
      </c>
      <c r="O286" s="20" t="s">
        <v>433</v>
      </c>
      <c r="P286" s="20"/>
      <c r="Q286" s="9" t="s">
        <v>420</v>
      </c>
      <c r="R286" s="9" t="s">
        <v>434</v>
      </c>
      <c r="S286" s="9" t="s">
        <v>435</v>
      </c>
      <c r="T286" s="9" t="s">
        <v>436</v>
      </c>
      <c r="U286" s="9"/>
      <c r="V286" s="13" t="s">
        <v>422</v>
      </c>
    </row>
    <row r="287" spans="2:22" x14ac:dyDescent="0.25">
      <c r="B287" s="74"/>
      <c r="C287" s="76"/>
      <c r="D287" s="76"/>
      <c r="E287" s="7"/>
      <c r="F287" s="7"/>
      <c r="G287" s="7"/>
      <c r="H287" s="7"/>
      <c r="I287" s="8"/>
      <c r="J287" s="8"/>
      <c r="K287" s="8"/>
      <c r="L287" s="8"/>
      <c r="M287" s="20"/>
      <c r="N287" s="20"/>
      <c r="O287" s="20"/>
      <c r="P287" s="20"/>
      <c r="Q287" s="9"/>
      <c r="R287" s="9"/>
      <c r="S287" s="9"/>
      <c r="T287" s="9"/>
      <c r="U287" s="9"/>
      <c r="V287" s="13"/>
    </row>
    <row r="288" spans="2:22" x14ac:dyDescent="0.25">
      <c r="B288" s="73" t="s">
        <v>437</v>
      </c>
      <c r="C288" s="75">
        <v>0</v>
      </c>
      <c r="D288" s="75">
        <v>1</v>
      </c>
      <c r="E288" s="7"/>
      <c r="F288" s="7"/>
      <c r="G288" s="7"/>
      <c r="H288" s="7"/>
      <c r="I288" s="8"/>
      <c r="J288" s="8"/>
      <c r="K288" s="8"/>
      <c r="L288" s="8"/>
      <c r="M288" s="20"/>
      <c r="N288" s="20"/>
      <c r="O288" s="20"/>
      <c r="P288" s="20"/>
      <c r="Q288" s="9"/>
      <c r="R288" s="9"/>
      <c r="S288" s="9"/>
      <c r="T288" s="9"/>
      <c r="U288" s="9"/>
      <c r="V288" s="13"/>
    </row>
    <row r="289" spans="2:22" x14ac:dyDescent="0.25">
      <c r="B289" s="74"/>
      <c r="C289" s="76"/>
      <c r="D289" s="76"/>
      <c r="E289" s="7" t="s">
        <v>413</v>
      </c>
      <c r="F289" s="7"/>
      <c r="G289" s="7"/>
      <c r="H289" s="7"/>
      <c r="I289" s="8" t="s">
        <v>423</v>
      </c>
      <c r="J289" s="8"/>
      <c r="K289" s="8"/>
      <c r="L289" s="8"/>
      <c r="M289" s="20" t="s">
        <v>425</v>
      </c>
      <c r="N289" s="20" t="s">
        <v>426</v>
      </c>
      <c r="O289" s="20" t="s">
        <v>427</v>
      </c>
      <c r="P289" s="20"/>
      <c r="Q289" s="9" t="s">
        <v>428</v>
      </c>
      <c r="R289" s="9" t="s">
        <v>429</v>
      </c>
      <c r="S289" s="9" t="s">
        <v>419</v>
      </c>
      <c r="T289" s="9" t="s">
        <v>421</v>
      </c>
      <c r="U289" s="9"/>
      <c r="V289" s="13" t="s">
        <v>422</v>
      </c>
    </row>
    <row r="290" spans="2:22" x14ac:dyDescent="0.25">
      <c r="B290" s="73" t="s">
        <v>438</v>
      </c>
      <c r="C290" s="75">
        <v>2</v>
      </c>
      <c r="D290" s="75">
        <v>1</v>
      </c>
      <c r="E290" s="7" t="s">
        <v>424</v>
      </c>
      <c r="F290" s="7" t="s">
        <v>426</v>
      </c>
      <c r="G290" s="7"/>
      <c r="H290" s="7"/>
      <c r="I290" s="8" t="s">
        <v>428</v>
      </c>
      <c r="J290" s="8" t="s">
        <v>427</v>
      </c>
      <c r="K290" s="8"/>
      <c r="L290" s="8"/>
      <c r="M290" s="20"/>
      <c r="N290" s="20"/>
      <c r="O290" s="20"/>
      <c r="P290" s="20"/>
      <c r="Q290" s="9"/>
      <c r="R290" s="9"/>
      <c r="S290" s="9"/>
      <c r="T290" s="9"/>
      <c r="U290" s="9"/>
      <c r="V290" s="13"/>
    </row>
    <row r="291" spans="2:22" x14ac:dyDescent="0.25">
      <c r="B291" s="74"/>
      <c r="C291" s="76"/>
      <c r="D291" s="76"/>
      <c r="E291" s="7" t="s">
        <v>419</v>
      </c>
      <c r="F291" s="7"/>
      <c r="G291" s="7"/>
      <c r="H291" s="7"/>
      <c r="I291" s="8" t="s">
        <v>417</v>
      </c>
      <c r="J291" s="8"/>
      <c r="K291" s="8"/>
      <c r="L291" s="8"/>
      <c r="M291" s="20"/>
      <c r="N291" s="20"/>
      <c r="O291" s="20"/>
      <c r="P291" s="20"/>
      <c r="Q291" s="9"/>
      <c r="R291" s="9"/>
      <c r="S291" s="9"/>
      <c r="T291" s="9"/>
      <c r="U291" s="9"/>
      <c r="V291" s="13"/>
    </row>
    <row r="292" spans="2:22" x14ac:dyDescent="0.25">
      <c r="B292" s="2" t="s">
        <v>89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5" spans="2:22" x14ac:dyDescent="0.25">
      <c r="B295" s="11">
        <v>46282</v>
      </c>
      <c r="C295" s="10" t="s">
        <v>393</v>
      </c>
      <c r="D295" s="10" t="s">
        <v>394</v>
      </c>
      <c r="E295" s="77" t="s">
        <v>82</v>
      </c>
      <c r="F295" s="77"/>
      <c r="G295" s="77"/>
      <c r="H295" s="77"/>
      <c r="I295" s="78" t="s">
        <v>85</v>
      </c>
      <c r="J295" s="78"/>
      <c r="K295" s="78"/>
      <c r="L295" s="78"/>
      <c r="M295" s="79" t="s">
        <v>84</v>
      </c>
      <c r="N295" s="79"/>
      <c r="O295" s="79"/>
      <c r="P295" s="79"/>
      <c r="Q295" s="80" t="s">
        <v>78</v>
      </c>
      <c r="R295" s="80"/>
      <c r="S295" s="80"/>
      <c r="T295" s="80"/>
      <c r="U295" s="80"/>
      <c r="V295" s="80"/>
    </row>
    <row r="296" spans="2:22" x14ac:dyDescent="0.25">
      <c r="B296" s="73" t="s">
        <v>65</v>
      </c>
      <c r="C296" s="75">
        <v>2</v>
      </c>
      <c r="D296" s="75">
        <v>0</v>
      </c>
      <c r="E296" s="7" t="s">
        <v>441</v>
      </c>
      <c r="F296" s="7" t="s">
        <v>442</v>
      </c>
      <c r="G296" s="7"/>
      <c r="H296" s="7"/>
      <c r="I296" s="8"/>
      <c r="J296" s="8" t="s">
        <v>443</v>
      </c>
      <c r="K296" s="8"/>
      <c r="L296" s="8"/>
      <c r="M296" s="20" t="s">
        <v>441</v>
      </c>
      <c r="N296" s="20" t="s">
        <v>444</v>
      </c>
      <c r="O296" s="20"/>
      <c r="P296" s="20"/>
      <c r="Q296" s="9" t="s">
        <v>445</v>
      </c>
      <c r="R296" s="9" t="s">
        <v>446</v>
      </c>
      <c r="S296" s="9" t="s">
        <v>447</v>
      </c>
      <c r="T296" s="9"/>
      <c r="U296" s="9"/>
      <c r="V296" s="13" t="s">
        <v>448</v>
      </c>
    </row>
    <row r="297" spans="2:22" x14ac:dyDescent="0.25">
      <c r="B297" s="74"/>
      <c r="C297" s="76"/>
      <c r="D297" s="76"/>
      <c r="E297" s="7"/>
      <c r="F297" s="7"/>
      <c r="G297" s="7"/>
      <c r="H297" s="7"/>
      <c r="I297" s="8"/>
      <c r="J297" s="8"/>
      <c r="K297" s="8"/>
      <c r="L297" s="8"/>
      <c r="M297" s="20"/>
      <c r="N297" s="20"/>
      <c r="O297" s="20"/>
      <c r="P297" s="20"/>
      <c r="Q297" s="9"/>
      <c r="R297" s="9"/>
      <c r="S297" s="9"/>
      <c r="T297" s="9"/>
      <c r="U297" s="9"/>
      <c r="V297" s="13"/>
    </row>
    <row r="298" spans="2:22" x14ac:dyDescent="0.25">
      <c r="B298" s="73" t="s">
        <v>71</v>
      </c>
      <c r="C298" s="75">
        <v>1</v>
      </c>
      <c r="D298" s="75">
        <v>1</v>
      </c>
      <c r="E298" s="7" t="s">
        <v>443</v>
      </c>
      <c r="F298" s="7"/>
      <c r="G298" s="7"/>
      <c r="H298" s="7"/>
      <c r="I298" s="8"/>
      <c r="J298" s="8"/>
      <c r="K298" s="8"/>
      <c r="L298" s="8"/>
      <c r="M298" s="20"/>
      <c r="N298" s="20"/>
      <c r="O298" s="20"/>
      <c r="P298" s="20"/>
      <c r="Q298" s="9"/>
      <c r="R298" s="9"/>
      <c r="S298" s="9"/>
      <c r="T298" s="9"/>
      <c r="U298" s="9"/>
      <c r="V298" s="13"/>
    </row>
    <row r="299" spans="2:22" x14ac:dyDescent="0.25">
      <c r="B299" s="74"/>
      <c r="C299" s="76"/>
      <c r="D299" s="76"/>
      <c r="E299" s="7" t="s">
        <v>449</v>
      </c>
      <c r="F299" s="7"/>
      <c r="G299" s="7"/>
      <c r="H299" s="7"/>
      <c r="I299" s="8"/>
      <c r="J299" s="8"/>
      <c r="K299" s="8"/>
      <c r="L299" s="8"/>
      <c r="M299" s="20"/>
      <c r="N299" s="20"/>
      <c r="O299" s="20"/>
      <c r="P299" s="20"/>
      <c r="Q299" s="9"/>
      <c r="R299" s="9"/>
      <c r="S299" s="9"/>
      <c r="T299" s="9"/>
      <c r="U299" s="9"/>
      <c r="V299" s="13"/>
    </row>
    <row r="300" spans="2:22" x14ac:dyDescent="0.25">
      <c r="B300" s="73" t="s">
        <v>73</v>
      </c>
      <c r="C300" s="75">
        <v>0</v>
      </c>
      <c r="D300" s="75">
        <v>0</v>
      </c>
      <c r="E300" s="7"/>
      <c r="F300" s="7"/>
      <c r="G300" s="7"/>
      <c r="H300" s="7"/>
      <c r="I300" s="8"/>
      <c r="J300" s="8"/>
      <c r="K300" s="8"/>
      <c r="L300" s="8"/>
      <c r="M300" s="20"/>
      <c r="N300" s="20"/>
      <c r="O300" s="20"/>
      <c r="P300" s="20"/>
      <c r="Q300" s="9" t="s">
        <v>445</v>
      </c>
      <c r="R300" s="9" t="s">
        <v>450</v>
      </c>
      <c r="S300" s="9" t="s">
        <v>448</v>
      </c>
      <c r="T300" s="9"/>
      <c r="U300" s="9"/>
      <c r="V300" s="13"/>
    </row>
    <row r="301" spans="2:22" x14ac:dyDescent="0.25">
      <c r="B301" s="74"/>
      <c r="C301" s="76"/>
      <c r="D301" s="76"/>
      <c r="E301" s="7"/>
      <c r="F301" s="7"/>
      <c r="G301" s="7"/>
      <c r="H301" s="7"/>
      <c r="I301" s="8"/>
      <c r="J301" s="8"/>
      <c r="K301" s="8"/>
      <c r="L301" s="8"/>
      <c r="M301" s="20"/>
      <c r="N301" s="20"/>
      <c r="O301" s="20"/>
      <c r="P301" s="20"/>
      <c r="Q301" s="9" t="s">
        <v>451</v>
      </c>
      <c r="R301" s="9" t="s">
        <v>452</v>
      </c>
      <c r="S301" s="9" t="s">
        <v>453</v>
      </c>
      <c r="T301" s="9" t="s">
        <v>454</v>
      </c>
      <c r="U301" s="9"/>
      <c r="V301" s="13" t="s">
        <v>455</v>
      </c>
    </row>
    <row r="302" spans="2:22" x14ac:dyDescent="0.25">
      <c r="B302" s="73" t="s">
        <v>41</v>
      </c>
      <c r="C302" s="75">
        <v>1</v>
      </c>
      <c r="D302" s="75">
        <v>3</v>
      </c>
      <c r="E302" s="7" t="s">
        <v>456</v>
      </c>
      <c r="F302" s="7" t="s">
        <v>456</v>
      </c>
      <c r="G302" s="7" t="s">
        <v>449</v>
      </c>
      <c r="H302" s="7"/>
      <c r="I302" s="8"/>
      <c r="J302" s="8"/>
      <c r="K302" s="8"/>
      <c r="L302" s="8"/>
      <c r="M302" s="20" t="s">
        <v>449</v>
      </c>
      <c r="N302" s="20" t="s">
        <v>458</v>
      </c>
      <c r="O302" s="20"/>
      <c r="P302" s="20"/>
      <c r="Q302" s="9"/>
      <c r="R302" s="9"/>
      <c r="S302" s="9"/>
      <c r="T302" s="9"/>
      <c r="U302" s="9"/>
      <c r="V302" s="13"/>
    </row>
    <row r="303" spans="2:22" x14ac:dyDescent="0.25">
      <c r="B303" s="74"/>
      <c r="C303" s="76"/>
      <c r="D303" s="76"/>
      <c r="E303" s="7" t="s">
        <v>457</v>
      </c>
      <c r="F303" s="7"/>
      <c r="G303" s="7"/>
      <c r="H303" s="7"/>
      <c r="I303" s="8" t="s">
        <v>441</v>
      </c>
      <c r="J303" s="8"/>
      <c r="K303" s="8"/>
      <c r="L303" s="8"/>
      <c r="M303" s="20"/>
      <c r="N303" s="20"/>
      <c r="O303" s="20"/>
      <c r="P303" s="20"/>
      <c r="Q303" s="9"/>
      <c r="R303" s="9"/>
      <c r="S303" s="9"/>
      <c r="T303" s="9"/>
      <c r="U303" s="9"/>
      <c r="V303" s="13"/>
    </row>
    <row r="304" spans="2:22" x14ac:dyDescent="0.25">
      <c r="B304" s="2" t="s">
        <v>89</v>
      </c>
      <c r="C304" s="2">
        <f>SUM(C296:C303)</f>
        <v>4</v>
      </c>
      <c r="D304" s="2">
        <f>SUM(D296:D303)</f>
        <v>4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7" spans="2:22" x14ac:dyDescent="0.25">
      <c r="B307" s="11">
        <v>46296</v>
      </c>
      <c r="C307" s="10" t="s">
        <v>393</v>
      </c>
      <c r="D307" s="10" t="s">
        <v>394</v>
      </c>
      <c r="E307" s="77" t="s">
        <v>82</v>
      </c>
      <c r="F307" s="77"/>
      <c r="G307" s="77"/>
      <c r="H307" s="77"/>
      <c r="I307" s="78" t="s">
        <v>85</v>
      </c>
      <c r="J307" s="78"/>
      <c r="K307" s="78"/>
      <c r="L307" s="78"/>
      <c r="M307" s="79" t="s">
        <v>84</v>
      </c>
      <c r="N307" s="79"/>
      <c r="O307" s="79"/>
      <c r="P307" s="79"/>
      <c r="Q307" s="80" t="s">
        <v>78</v>
      </c>
      <c r="R307" s="80"/>
      <c r="S307" s="80"/>
      <c r="T307" s="80"/>
      <c r="U307" s="80"/>
      <c r="V307" s="80"/>
    </row>
    <row r="308" spans="2:22" x14ac:dyDescent="0.25">
      <c r="B308" s="73" t="s">
        <v>65</v>
      </c>
      <c r="C308" s="75">
        <v>1</v>
      </c>
      <c r="D308" s="75">
        <v>2</v>
      </c>
      <c r="E308" s="7" t="s">
        <v>440</v>
      </c>
      <c r="F308" s="7"/>
      <c r="G308" s="7"/>
      <c r="H308" s="7"/>
      <c r="I308" s="8" t="s">
        <v>363</v>
      </c>
      <c r="J308" s="8"/>
      <c r="K308" s="8"/>
      <c r="L308" s="8"/>
      <c r="M308" s="20"/>
      <c r="N308" s="20"/>
      <c r="O308" s="20"/>
      <c r="P308" s="20"/>
      <c r="Q308" s="9"/>
      <c r="R308" s="9"/>
      <c r="S308" s="9"/>
      <c r="T308" s="9"/>
      <c r="U308" s="9"/>
      <c r="V308" s="13"/>
    </row>
    <row r="309" spans="2:22" x14ac:dyDescent="0.25">
      <c r="B309" s="74"/>
      <c r="C309" s="76"/>
      <c r="D309" s="76"/>
      <c r="E309" s="7"/>
      <c r="F309" s="7"/>
      <c r="G309" s="7"/>
      <c r="H309" s="7"/>
      <c r="I309" s="8"/>
      <c r="J309" s="8"/>
      <c r="K309" s="8"/>
      <c r="L309" s="8"/>
      <c r="M309" s="20"/>
      <c r="N309" s="20"/>
      <c r="O309" s="20"/>
      <c r="P309" s="20"/>
      <c r="Q309" s="9"/>
      <c r="R309" s="9"/>
      <c r="S309" s="9"/>
      <c r="T309" s="9"/>
      <c r="U309" s="9"/>
      <c r="V309" s="13"/>
    </row>
    <row r="310" spans="2:22" x14ac:dyDescent="0.25">
      <c r="B310" s="73" t="s">
        <v>71</v>
      </c>
      <c r="C310" s="75">
        <v>0</v>
      </c>
      <c r="D310" s="75">
        <v>1</v>
      </c>
      <c r="E310" s="7"/>
      <c r="F310" s="7"/>
      <c r="G310" s="7"/>
      <c r="H310" s="7"/>
      <c r="I310" s="8"/>
      <c r="J310" s="8"/>
      <c r="K310" s="8"/>
      <c r="L310" s="8"/>
      <c r="M310" s="20"/>
      <c r="N310" s="20"/>
      <c r="O310" s="20"/>
      <c r="P310" s="20"/>
      <c r="Q310" s="9"/>
      <c r="R310" s="9"/>
      <c r="S310" s="9"/>
      <c r="T310" s="9"/>
      <c r="U310" s="9"/>
      <c r="V310" s="13"/>
    </row>
    <row r="311" spans="2:22" x14ac:dyDescent="0.25">
      <c r="B311" s="74"/>
      <c r="C311" s="76"/>
      <c r="D311" s="76"/>
      <c r="E311" s="7" t="s">
        <v>459</v>
      </c>
      <c r="F311" s="7"/>
      <c r="G311" s="7"/>
      <c r="H311" s="7"/>
      <c r="I311" s="8" t="s">
        <v>98</v>
      </c>
      <c r="J311" s="8"/>
      <c r="K311" s="8"/>
      <c r="L311" s="8"/>
      <c r="M311" s="20" t="s">
        <v>367</v>
      </c>
      <c r="N311" s="20" t="s">
        <v>440</v>
      </c>
      <c r="O311" s="20"/>
      <c r="P311" s="20"/>
      <c r="Q311" s="9" t="s">
        <v>104</v>
      </c>
      <c r="R311" s="9" t="s">
        <v>346</v>
      </c>
      <c r="S311" s="9"/>
      <c r="T311" s="9"/>
      <c r="U311" s="9"/>
      <c r="V311" s="13" t="s">
        <v>311</v>
      </c>
    </row>
    <row r="312" spans="2:22" x14ac:dyDescent="0.25">
      <c r="B312" s="73" t="s">
        <v>73</v>
      </c>
      <c r="C312" s="75">
        <v>2</v>
      </c>
      <c r="D312" s="75">
        <v>1</v>
      </c>
      <c r="E312" s="7" t="s">
        <v>461</v>
      </c>
      <c r="F312" s="7" t="s">
        <v>139</v>
      </c>
      <c r="G312" s="7"/>
      <c r="H312" s="7"/>
      <c r="I312" s="8" t="s">
        <v>363</v>
      </c>
      <c r="J312" s="8"/>
      <c r="K312" s="8"/>
      <c r="L312" s="8"/>
      <c r="M312" s="20"/>
      <c r="N312" s="20"/>
      <c r="O312" s="20"/>
      <c r="P312" s="20"/>
      <c r="Q312" s="9"/>
      <c r="R312" s="9"/>
      <c r="S312" s="9"/>
      <c r="T312" s="9"/>
      <c r="U312" s="9"/>
      <c r="V312" s="13"/>
    </row>
    <row r="313" spans="2:22" x14ac:dyDescent="0.25">
      <c r="B313" s="74"/>
      <c r="C313" s="76"/>
      <c r="D313" s="76"/>
      <c r="E313" s="7" t="s">
        <v>344</v>
      </c>
      <c r="F313" s="7"/>
      <c r="G313" s="7"/>
      <c r="H313" s="7"/>
      <c r="I313" s="8" t="s">
        <v>311</v>
      </c>
      <c r="J313" s="8"/>
      <c r="K313" s="8"/>
      <c r="L313" s="8"/>
      <c r="M313" s="20"/>
      <c r="N313" s="20"/>
      <c r="O313" s="20"/>
      <c r="P313" s="20"/>
      <c r="Q313" s="9"/>
      <c r="R313" s="9"/>
      <c r="S313" s="9"/>
      <c r="T313" s="9"/>
      <c r="U313" s="9"/>
      <c r="V313" s="13"/>
    </row>
    <row r="314" spans="2:22" x14ac:dyDescent="0.25">
      <c r="B314" s="73" t="s">
        <v>41</v>
      </c>
      <c r="C314" s="75">
        <v>3</v>
      </c>
      <c r="D314" s="75">
        <v>2</v>
      </c>
      <c r="E314" s="7" t="s">
        <v>109</v>
      </c>
      <c r="F314" s="7" t="s">
        <v>240</v>
      </c>
      <c r="G314" s="7"/>
      <c r="H314" s="7"/>
      <c r="I314" s="8"/>
      <c r="J314" s="8" t="s">
        <v>109</v>
      </c>
      <c r="K314" s="8"/>
      <c r="L314" s="8"/>
      <c r="M314" s="20"/>
      <c r="N314" s="20"/>
      <c r="O314" s="20"/>
      <c r="P314" s="20"/>
      <c r="Q314" s="9"/>
      <c r="R314" s="9"/>
      <c r="S314" s="9"/>
      <c r="T314" s="9"/>
      <c r="U314" s="9"/>
      <c r="V314" s="13"/>
    </row>
    <row r="315" spans="2:22" x14ac:dyDescent="0.25">
      <c r="B315" s="74"/>
      <c r="C315" s="76"/>
      <c r="D315" s="76"/>
      <c r="E315" s="7" t="s">
        <v>311</v>
      </c>
      <c r="F315" s="7" t="s">
        <v>311</v>
      </c>
      <c r="G315" s="7"/>
      <c r="H315" s="7"/>
      <c r="I315" s="8" t="s">
        <v>92</v>
      </c>
      <c r="J315" s="8"/>
      <c r="K315" s="8"/>
      <c r="L315" s="8"/>
      <c r="M315" s="20"/>
      <c r="N315" s="20"/>
      <c r="O315" s="20"/>
      <c r="P315" s="20"/>
      <c r="Q315" s="9"/>
      <c r="R315" s="9"/>
      <c r="S315" s="9"/>
      <c r="T315" s="9"/>
      <c r="U315" s="9"/>
      <c r="V315" s="13"/>
    </row>
    <row r="316" spans="2:22" x14ac:dyDescent="0.25">
      <c r="B316" s="2" t="s">
        <v>89</v>
      </c>
      <c r="C316" s="2">
        <f>SUM(C308:C315)</f>
        <v>6</v>
      </c>
      <c r="D316" s="2">
        <f>SUM(D308:D315)</f>
        <v>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9" spans="2:22" x14ac:dyDescent="0.25">
      <c r="B319" s="11">
        <v>46303</v>
      </c>
      <c r="C319" s="10" t="s">
        <v>394</v>
      </c>
      <c r="D319" s="10" t="s">
        <v>393</v>
      </c>
      <c r="E319" s="77" t="s">
        <v>82</v>
      </c>
      <c r="F319" s="77"/>
      <c r="G319" s="77"/>
      <c r="H319" s="77"/>
      <c r="I319" s="78" t="s">
        <v>85</v>
      </c>
      <c r="J319" s="78"/>
      <c r="K319" s="78"/>
      <c r="L319" s="78"/>
      <c r="M319" s="79" t="s">
        <v>84</v>
      </c>
      <c r="N319" s="79"/>
      <c r="O319" s="79"/>
      <c r="P319" s="79"/>
      <c r="Q319" s="80" t="s">
        <v>78</v>
      </c>
      <c r="R319" s="80"/>
      <c r="S319" s="80"/>
      <c r="T319" s="80"/>
      <c r="U319" s="80"/>
      <c r="V319" s="80"/>
    </row>
    <row r="320" spans="2:22" x14ac:dyDescent="0.25">
      <c r="B320" s="73" t="s">
        <v>65</v>
      </c>
      <c r="C320" s="75">
        <v>1</v>
      </c>
      <c r="D320" s="75">
        <v>2</v>
      </c>
      <c r="E320" s="7" t="s">
        <v>203</v>
      </c>
      <c r="F320" s="7"/>
      <c r="G320" s="7"/>
      <c r="H320" s="7"/>
      <c r="I320" s="8"/>
      <c r="J320" s="8"/>
      <c r="K320" s="8"/>
      <c r="L320" s="8"/>
      <c r="M320" s="20"/>
      <c r="N320" s="20"/>
      <c r="O320" s="20"/>
      <c r="P320" s="20"/>
      <c r="Q320" s="9"/>
      <c r="R320" s="9"/>
      <c r="S320" s="9"/>
      <c r="T320" s="9"/>
      <c r="U320" s="9"/>
      <c r="V320" s="13"/>
    </row>
    <row r="321" spans="2:22" x14ac:dyDescent="0.25">
      <c r="B321" s="74"/>
      <c r="C321" s="76"/>
      <c r="D321" s="76"/>
      <c r="E321" s="7" t="s">
        <v>174</v>
      </c>
      <c r="F321" s="7" t="s">
        <v>311</v>
      </c>
      <c r="G321" s="7"/>
      <c r="H321" s="7"/>
      <c r="I321" s="8" t="s">
        <v>202</v>
      </c>
      <c r="J321" s="8" t="s">
        <v>98</v>
      </c>
      <c r="K321" s="8"/>
      <c r="L321" s="8"/>
      <c r="M321" s="20"/>
      <c r="N321" s="20"/>
      <c r="O321" s="20"/>
      <c r="P321" s="20"/>
      <c r="Q321" s="9"/>
      <c r="R321" s="9"/>
      <c r="S321" s="9"/>
      <c r="T321" s="9"/>
      <c r="U321" s="9"/>
      <c r="V321" s="13"/>
    </row>
    <row r="322" spans="2:22" x14ac:dyDescent="0.25">
      <c r="B322" s="73" t="s">
        <v>71</v>
      </c>
      <c r="C322" s="75">
        <v>1</v>
      </c>
      <c r="D322" s="75">
        <v>1</v>
      </c>
      <c r="E322" s="7" t="s">
        <v>95</v>
      </c>
      <c r="F322" s="7"/>
      <c r="G322" s="7"/>
      <c r="H322" s="7"/>
      <c r="I322" s="8" t="s">
        <v>310</v>
      </c>
      <c r="J322" s="8"/>
      <c r="K322" s="8"/>
      <c r="L322" s="8"/>
      <c r="M322" s="20"/>
      <c r="N322" s="20"/>
      <c r="O322" s="20"/>
      <c r="P322" s="20"/>
      <c r="Q322" s="9"/>
      <c r="R322" s="9"/>
      <c r="S322" s="9"/>
      <c r="T322" s="9"/>
      <c r="U322" s="9"/>
      <c r="V322" s="13"/>
    </row>
    <row r="323" spans="2:22" x14ac:dyDescent="0.25">
      <c r="B323" s="74"/>
      <c r="C323" s="76"/>
      <c r="D323" s="76"/>
      <c r="E323" s="7" t="s">
        <v>98</v>
      </c>
      <c r="F323" s="7"/>
      <c r="G323" s="7"/>
      <c r="H323" s="7"/>
      <c r="I323" s="8" t="s">
        <v>233</v>
      </c>
      <c r="J323" s="8"/>
      <c r="K323" s="8"/>
      <c r="L323" s="8"/>
      <c r="M323" s="20"/>
      <c r="N323" s="20"/>
      <c r="O323" s="20"/>
      <c r="P323" s="20"/>
      <c r="Q323" s="9"/>
      <c r="R323" s="9"/>
      <c r="S323" s="9"/>
      <c r="T323" s="9"/>
      <c r="U323" s="9"/>
      <c r="V323" s="13"/>
    </row>
    <row r="324" spans="2:22" x14ac:dyDescent="0.25">
      <c r="B324" s="73" t="s">
        <v>73</v>
      </c>
      <c r="C324" s="75">
        <v>0</v>
      </c>
      <c r="D324" s="75">
        <v>1</v>
      </c>
      <c r="E324" s="7"/>
      <c r="F324" s="7"/>
      <c r="G324" s="7"/>
      <c r="H324" s="7"/>
      <c r="I324" s="8"/>
      <c r="J324" s="8"/>
      <c r="K324" s="8"/>
      <c r="L324" s="8"/>
      <c r="M324" s="20"/>
      <c r="N324" s="20"/>
      <c r="O324" s="20"/>
      <c r="P324" s="20"/>
      <c r="Q324" s="9"/>
      <c r="R324" s="9"/>
      <c r="S324" s="9"/>
      <c r="T324" s="9"/>
      <c r="U324" s="9"/>
      <c r="V324" s="13"/>
    </row>
    <row r="325" spans="2:22" x14ac:dyDescent="0.25">
      <c r="B325" s="74"/>
      <c r="C325" s="76"/>
      <c r="D325" s="76"/>
      <c r="E325" s="7" t="s">
        <v>98</v>
      </c>
      <c r="F325" s="7"/>
      <c r="G325" s="7"/>
      <c r="H325" s="7"/>
      <c r="I325" s="8" t="s">
        <v>233</v>
      </c>
      <c r="J325" s="8"/>
      <c r="K325" s="8"/>
      <c r="L325" s="8"/>
      <c r="M325" s="20" t="s">
        <v>111</v>
      </c>
      <c r="N325" s="20" t="s">
        <v>109</v>
      </c>
      <c r="O325" s="20"/>
      <c r="P325" s="20"/>
      <c r="Q325" s="9" t="s">
        <v>233</v>
      </c>
      <c r="R325" s="9" t="s">
        <v>408</v>
      </c>
      <c r="S325" s="9" t="s">
        <v>351</v>
      </c>
      <c r="T325" s="9"/>
      <c r="U325" s="9"/>
      <c r="V325" s="13" t="s">
        <v>195</v>
      </c>
    </row>
    <row r="326" spans="2:22" x14ac:dyDescent="0.25">
      <c r="B326" s="73" t="s">
        <v>41</v>
      </c>
      <c r="C326" s="75">
        <v>1</v>
      </c>
      <c r="D326" s="75">
        <v>3</v>
      </c>
      <c r="E326" s="7" t="s">
        <v>202</v>
      </c>
      <c r="F326" s="7"/>
      <c r="G326" s="7"/>
      <c r="H326" s="7"/>
      <c r="I326" s="8" t="s">
        <v>310</v>
      </c>
      <c r="J326" s="8"/>
      <c r="K326" s="8"/>
      <c r="L326" s="8"/>
      <c r="M326" s="20"/>
      <c r="N326" s="20"/>
      <c r="O326" s="20"/>
      <c r="P326" s="20"/>
      <c r="Q326" s="9"/>
      <c r="R326" s="9"/>
      <c r="S326" s="9"/>
      <c r="T326" s="9"/>
      <c r="U326" s="9"/>
      <c r="V326" s="13"/>
    </row>
    <row r="327" spans="2:22" x14ac:dyDescent="0.25">
      <c r="B327" s="74"/>
      <c r="C327" s="76"/>
      <c r="D327" s="76"/>
      <c r="E327" s="7" t="s">
        <v>367</v>
      </c>
      <c r="F327" s="7" t="s">
        <v>105</v>
      </c>
      <c r="G327" s="7"/>
      <c r="H327" s="7"/>
      <c r="I327" s="8"/>
      <c r="J327" s="8" t="s">
        <v>367</v>
      </c>
      <c r="K327" s="8" t="s">
        <v>174</v>
      </c>
      <c r="L327" s="8"/>
      <c r="M327" s="20"/>
      <c r="N327" s="20"/>
      <c r="O327" s="20"/>
      <c r="P327" s="20"/>
      <c r="Q327" s="9"/>
      <c r="R327" s="9"/>
      <c r="S327" s="9"/>
      <c r="T327" s="9"/>
      <c r="U327" s="9"/>
      <c r="V327" s="13"/>
    </row>
    <row r="328" spans="2:22" x14ac:dyDescent="0.25">
      <c r="B328" s="2" t="s">
        <v>89</v>
      </c>
      <c r="C328" s="2">
        <f>SUM(C320:C327)</f>
        <v>3</v>
      </c>
      <c r="D328" s="2">
        <f>SUM(D320:D327)</f>
        <v>7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31" spans="2:22" x14ac:dyDescent="0.25">
      <c r="B331" s="11">
        <v>46310</v>
      </c>
      <c r="C331" s="10" t="s">
        <v>394</v>
      </c>
      <c r="D331" s="10" t="s">
        <v>393</v>
      </c>
      <c r="E331" s="77" t="s">
        <v>82</v>
      </c>
      <c r="F331" s="77"/>
      <c r="G331" s="77"/>
      <c r="H331" s="77"/>
      <c r="I331" s="78" t="s">
        <v>85</v>
      </c>
      <c r="J331" s="78"/>
      <c r="K331" s="78"/>
      <c r="L331" s="78"/>
      <c r="M331" s="79" t="s">
        <v>84</v>
      </c>
      <c r="N331" s="79"/>
      <c r="O331" s="79"/>
      <c r="P331" s="79"/>
      <c r="Q331" s="80" t="s">
        <v>78</v>
      </c>
      <c r="R331" s="80"/>
      <c r="S331" s="80"/>
      <c r="T331" s="80"/>
      <c r="U331" s="80"/>
      <c r="V331" s="80"/>
    </row>
    <row r="332" spans="2:22" x14ac:dyDescent="0.25">
      <c r="B332" s="73" t="s">
        <v>65</v>
      </c>
      <c r="C332" s="75">
        <v>0</v>
      </c>
      <c r="D332" s="75">
        <v>1</v>
      </c>
      <c r="E332" s="7"/>
      <c r="F332" s="7"/>
      <c r="G332" s="7"/>
      <c r="H332" s="7"/>
      <c r="I332" s="8"/>
      <c r="J332" s="8"/>
      <c r="K332" s="8"/>
      <c r="L332" s="8"/>
      <c r="M332" s="20"/>
      <c r="N332" s="20"/>
      <c r="O332" s="20"/>
      <c r="P332" s="20"/>
      <c r="Q332" s="9"/>
      <c r="R332" s="9"/>
      <c r="S332" s="9"/>
      <c r="T332" s="9"/>
      <c r="U332" s="9"/>
      <c r="V332" s="13"/>
    </row>
    <row r="333" spans="2:22" x14ac:dyDescent="0.25">
      <c r="B333" s="74"/>
      <c r="C333" s="76"/>
      <c r="D333" s="76"/>
      <c r="E333" s="7" t="s">
        <v>139</v>
      </c>
      <c r="F333" s="7"/>
      <c r="G333" s="7"/>
      <c r="H333" s="7"/>
      <c r="I333" s="8" t="s">
        <v>105</v>
      </c>
      <c r="J333" s="8"/>
      <c r="K333" s="8"/>
      <c r="L333" s="8"/>
      <c r="M333" s="20" t="s">
        <v>219</v>
      </c>
      <c r="N333" s="20" t="s">
        <v>203</v>
      </c>
      <c r="O333" s="20" t="s">
        <v>307</v>
      </c>
      <c r="P333" s="20"/>
      <c r="Q333" s="9" t="s">
        <v>92</v>
      </c>
      <c r="R333" s="9" t="s">
        <v>408</v>
      </c>
      <c r="S333" s="9" t="s">
        <v>120</v>
      </c>
      <c r="T333" s="9" t="s">
        <v>351</v>
      </c>
      <c r="U333" s="9"/>
      <c r="V333" s="13" t="s">
        <v>108</v>
      </c>
    </row>
    <row r="334" spans="2:22" x14ac:dyDescent="0.25">
      <c r="B334" s="73" t="s">
        <v>71</v>
      </c>
      <c r="C334" s="75">
        <v>0</v>
      </c>
      <c r="D334" s="75">
        <v>0</v>
      </c>
      <c r="E334" s="7"/>
      <c r="F334" s="7"/>
      <c r="G334" s="7"/>
      <c r="H334" s="7"/>
      <c r="I334" s="8"/>
      <c r="J334" s="8"/>
      <c r="K334" s="8"/>
      <c r="L334" s="8"/>
      <c r="M334" s="20"/>
      <c r="N334" s="20"/>
      <c r="O334" s="20"/>
      <c r="P334" s="20"/>
      <c r="Q334" s="9" t="s">
        <v>214</v>
      </c>
      <c r="R334" s="9" t="s">
        <v>99</v>
      </c>
      <c r="S334" s="9" t="s">
        <v>233</v>
      </c>
      <c r="T334" s="9" t="s">
        <v>202</v>
      </c>
      <c r="U334" s="9"/>
      <c r="V334" s="13" t="s">
        <v>181</v>
      </c>
    </row>
    <row r="335" spans="2:22" x14ac:dyDescent="0.25">
      <c r="B335" s="74"/>
      <c r="C335" s="76"/>
      <c r="D335" s="76"/>
      <c r="E335" s="7"/>
      <c r="F335" s="7"/>
      <c r="G335" s="7"/>
      <c r="H335" s="7"/>
      <c r="I335" s="8"/>
      <c r="J335" s="8"/>
      <c r="K335" s="8"/>
      <c r="L335" s="8"/>
      <c r="M335" s="20"/>
      <c r="N335" s="20"/>
      <c r="O335" s="20"/>
      <c r="P335" s="20"/>
      <c r="Q335" s="9" t="s">
        <v>92</v>
      </c>
      <c r="R335" s="9" t="s">
        <v>118</v>
      </c>
      <c r="S335" s="9" t="s">
        <v>408</v>
      </c>
      <c r="T335" s="9" t="s">
        <v>108</v>
      </c>
      <c r="U335" s="9"/>
      <c r="V335" s="13" t="s">
        <v>102</v>
      </c>
    </row>
    <row r="336" spans="2:22" x14ac:dyDescent="0.25">
      <c r="B336" s="73" t="s">
        <v>73</v>
      </c>
      <c r="C336" s="75">
        <v>2</v>
      </c>
      <c r="D336" s="75">
        <v>1</v>
      </c>
      <c r="E336" s="7" t="s">
        <v>373</v>
      </c>
      <c r="F336" s="7" t="s">
        <v>98</v>
      </c>
      <c r="G336" s="7"/>
      <c r="H336" s="7"/>
      <c r="I336" s="8"/>
      <c r="J336" s="8"/>
      <c r="K336" s="8"/>
      <c r="L336" s="8"/>
      <c r="M336" s="20"/>
      <c r="N336" s="20"/>
      <c r="O336" s="20"/>
      <c r="P336" s="20"/>
      <c r="Q336" s="9"/>
      <c r="R336" s="9"/>
      <c r="S336" s="9"/>
      <c r="T336" s="9"/>
      <c r="U336" s="9"/>
      <c r="V336" s="13"/>
    </row>
    <row r="337" spans="2:22" x14ac:dyDescent="0.25">
      <c r="B337" s="74"/>
      <c r="C337" s="76"/>
      <c r="D337" s="76"/>
      <c r="E337" s="7" t="s">
        <v>219</v>
      </c>
      <c r="F337" s="7"/>
      <c r="G337" s="7"/>
      <c r="H337" s="7"/>
      <c r="I337" s="8" t="s">
        <v>108</v>
      </c>
      <c r="J337" s="8"/>
      <c r="K337" s="8"/>
      <c r="L337" s="8"/>
      <c r="M337" s="20"/>
      <c r="N337" s="20"/>
      <c r="O337" s="20"/>
      <c r="P337" s="20"/>
      <c r="Q337" s="9"/>
      <c r="R337" s="9"/>
      <c r="S337" s="9"/>
      <c r="T337" s="9"/>
      <c r="U337" s="9"/>
      <c r="V337" s="13"/>
    </row>
    <row r="338" spans="2:22" x14ac:dyDescent="0.25">
      <c r="B338" s="73" t="s">
        <v>41</v>
      </c>
      <c r="C338" s="75">
        <v>1</v>
      </c>
      <c r="D338" s="75">
        <v>4</v>
      </c>
      <c r="E338" s="7" t="s">
        <v>139</v>
      </c>
      <c r="F338" s="7" t="s">
        <v>219</v>
      </c>
      <c r="G338" s="7" t="s">
        <v>408</v>
      </c>
      <c r="H338" s="7" t="s">
        <v>139</v>
      </c>
      <c r="I338" s="8" t="s">
        <v>105</v>
      </c>
      <c r="J338" s="8" t="s">
        <v>408</v>
      </c>
      <c r="K338" s="8" t="s">
        <v>125</v>
      </c>
      <c r="L338" s="8" t="s">
        <v>219</v>
      </c>
      <c r="M338" s="20" t="s">
        <v>307</v>
      </c>
      <c r="N338" s="20" t="s">
        <v>219</v>
      </c>
      <c r="O338" s="20" t="s">
        <v>120</v>
      </c>
      <c r="P338" s="20"/>
      <c r="Q338" s="9"/>
      <c r="R338" s="9"/>
      <c r="S338" s="9"/>
      <c r="T338" s="9"/>
      <c r="U338" s="9"/>
      <c r="V338" s="13"/>
    </row>
    <row r="339" spans="2:22" x14ac:dyDescent="0.25">
      <c r="B339" s="74"/>
      <c r="C339" s="76"/>
      <c r="D339" s="76"/>
      <c r="E339" s="7" t="s">
        <v>210</v>
      </c>
      <c r="F339" s="7"/>
      <c r="G339" s="7"/>
      <c r="H339" s="7"/>
      <c r="I339" s="8"/>
      <c r="J339" s="8"/>
      <c r="K339" s="8"/>
      <c r="L339" s="8"/>
      <c r="M339" s="20"/>
      <c r="N339" s="20"/>
      <c r="O339" s="20"/>
      <c r="P339" s="20"/>
      <c r="Q339" s="9"/>
      <c r="R339" s="9"/>
      <c r="S339" s="9"/>
      <c r="T339" s="9"/>
      <c r="U339" s="9"/>
      <c r="V339" s="13"/>
    </row>
    <row r="340" spans="2:22" x14ac:dyDescent="0.25">
      <c r="B340" s="2" t="s">
        <v>89</v>
      </c>
      <c r="C340" s="2">
        <f>SUM(C332:C339)</f>
        <v>3</v>
      </c>
      <c r="D340" s="2">
        <f>SUM(D332:D339)</f>
        <v>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</sheetData>
  <mergeCells count="460">
    <mergeCell ref="B336:B337"/>
    <mergeCell ref="C336:C337"/>
    <mergeCell ref="D336:D337"/>
    <mergeCell ref="B338:B339"/>
    <mergeCell ref="C338:C339"/>
    <mergeCell ref="D338:D339"/>
    <mergeCell ref="E331:H331"/>
    <mergeCell ref="I331:L331"/>
    <mergeCell ref="M331:P331"/>
    <mergeCell ref="Q331:V331"/>
    <mergeCell ref="B332:B333"/>
    <mergeCell ref="C332:C333"/>
    <mergeCell ref="D332:D333"/>
    <mergeCell ref="B334:B335"/>
    <mergeCell ref="C334:C335"/>
    <mergeCell ref="D334:D335"/>
    <mergeCell ref="B300:B301"/>
    <mergeCell ref="C300:C301"/>
    <mergeCell ref="D300:D301"/>
    <mergeCell ref="B302:B303"/>
    <mergeCell ref="C302:C303"/>
    <mergeCell ref="D302:D303"/>
    <mergeCell ref="E295:H295"/>
    <mergeCell ref="I295:L295"/>
    <mergeCell ref="M295:P295"/>
    <mergeCell ref="Q295:V295"/>
    <mergeCell ref="B296:B297"/>
    <mergeCell ref="C296:C297"/>
    <mergeCell ref="D296:D297"/>
    <mergeCell ref="B298:B299"/>
    <mergeCell ref="C298:C299"/>
    <mergeCell ref="D298:D299"/>
    <mergeCell ref="B290:B291"/>
    <mergeCell ref="C290:C291"/>
    <mergeCell ref="D290:D291"/>
    <mergeCell ref="B284:B285"/>
    <mergeCell ref="C284:C285"/>
    <mergeCell ref="D284:D285"/>
    <mergeCell ref="B286:B287"/>
    <mergeCell ref="C286:C287"/>
    <mergeCell ref="D286:D287"/>
    <mergeCell ref="B288:B289"/>
    <mergeCell ref="C288:C289"/>
    <mergeCell ref="D288:D289"/>
    <mergeCell ref="E279:H279"/>
    <mergeCell ref="I279:L279"/>
    <mergeCell ref="M279:P279"/>
    <mergeCell ref="Q279:V279"/>
    <mergeCell ref="B280:B281"/>
    <mergeCell ref="C280:C281"/>
    <mergeCell ref="D280:D281"/>
    <mergeCell ref="B282:B283"/>
    <mergeCell ref="C282:C283"/>
    <mergeCell ref="D282:D283"/>
    <mergeCell ref="B226:B227"/>
    <mergeCell ref="C226:C227"/>
    <mergeCell ref="D226:D227"/>
    <mergeCell ref="B228:B229"/>
    <mergeCell ref="C228:C229"/>
    <mergeCell ref="D228:D229"/>
    <mergeCell ref="E221:H221"/>
    <mergeCell ref="I221:L221"/>
    <mergeCell ref="M221:P221"/>
    <mergeCell ref="Q221:V221"/>
    <mergeCell ref="B222:B223"/>
    <mergeCell ref="C222:C223"/>
    <mergeCell ref="D222:D223"/>
    <mergeCell ref="B224:B225"/>
    <mergeCell ref="C224:C225"/>
    <mergeCell ref="D224:D225"/>
    <mergeCell ref="B216:B217"/>
    <mergeCell ref="C216:C217"/>
    <mergeCell ref="D216:D217"/>
    <mergeCell ref="E211:H211"/>
    <mergeCell ref="I211:L211"/>
    <mergeCell ref="M211:P211"/>
    <mergeCell ref="Q211:V211"/>
    <mergeCell ref="B212:B213"/>
    <mergeCell ref="C212:C213"/>
    <mergeCell ref="D212:D213"/>
    <mergeCell ref="B214:B215"/>
    <mergeCell ref="C214:C215"/>
    <mergeCell ref="D214:D215"/>
    <mergeCell ref="B198:B199"/>
    <mergeCell ref="C198:C199"/>
    <mergeCell ref="D198:D199"/>
    <mergeCell ref="B206:B207"/>
    <mergeCell ref="C206:C207"/>
    <mergeCell ref="D206:D207"/>
    <mergeCell ref="B200:B201"/>
    <mergeCell ref="C200:C201"/>
    <mergeCell ref="D200:D201"/>
    <mergeCell ref="B202:B203"/>
    <mergeCell ref="C202:C203"/>
    <mergeCell ref="D202:D203"/>
    <mergeCell ref="B204:B205"/>
    <mergeCell ref="C204:C205"/>
    <mergeCell ref="D204:D205"/>
    <mergeCell ref="B174:B175"/>
    <mergeCell ref="C174:C175"/>
    <mergeCell ref="D174:D175"/>
    <mergeCell ref="E195:H195"/>
    <mergeCell ref="I195:L195"/>
    <mergeCell ref="M195:P195"/>
    <mergeCell ref="Q195:V195"/>
    <mergeCell ref="B196:B197"/>
    <mergeCell ref="C196:C197"/>
    <mergeCell ref="D196:D197"/>
    <mergeCell ref="Q183:V183"/>
    <mergeCell ref="B184:B185"/>
    <mergeCell ref="C184:C185"/>
    <mergeCell ref="D184:D185"/>
    <mergeCell ref="B190:B191"/>
    <mergeCell ref="C190:C191"/>
    <mergeCell ref="D190:D191"/>
    <mergeCell ref="E183:H183"/>
    <mergeCell ref="I183:L183"/>
    <mergeCell ref="M183:P183"/>
    <mergeCell ref="B186:B187"/>
    <mergeCell ref="C186:C187"/>
    <mergeCell ref="D186:D187"/>
    <mergeCell ref="B116:B117"/>
    <mergeCell ref="C116:C117"/>
    <mergeCell ref="D116:D117"/>
    <mergeCell ref="B118:B119"/>
    <mergeCell ref="C118:C119"/>
    <mergeCell ref="D118:D119"/>
    <mergeCell ref="B130:B131"/>
    <mergeCell ref="C130:C131"/>
    <mergeCell ref="D130:D131"/>
    <mergeCell ref="B120:B121"/>
    <mergeCell ref="C120:C121"/>
    <mergeCell ref="D120:D121"/>
    <mergeCell ref="B126:B127"/>
    <mergeCell ref="C126:C127"/>
    <mergeCell ref="D126:D127"/>
    <mergeCell ref="B128:B129"/>
    <mergeCell ref="C128:C129"/>
    <mergeCell ref="D128:D129"/>
    <mergeCell ref="E113:H113"/>
    <mergeCell ref="I113:L113"/>
    <mergeCell ref="M113:P113"/>
    <mergeCell ref="B80:B81"/>
    <mergeCell ref="C80:C81"/>
    <mergeCell ref="D80:D81"/>
    <mergeCell ref="M77:P77"/>
    <mergeCell ref="Q89:V89"/>
    <mergeCell ref="M89:P89"/>
    <mergeCell ref="B94:B95"/>
    <mergeCell ref="Q113:V113"/>
    <mergeCell ref="Q77:V77"/>
    <mergeCell ref="E101:H101"/>
    <mergeCell ref="I101:L101"/>
    <mergeCell ref="M101:P101"/>
    <mergeCell ref="Q101:V101"/>
    <mergeCell ref="C106:C107"/>
    <mergeCell ref="D106:D107"/>
    <mergeCell ref="B108:B109"/>
    <mergeCell ref="C108:C109"/>
    <mergeCell ref="D108:D109"/>
    <mergeCell ref="B114:B115"/>
    <mergeCell ref="C114:C115"/>
    <mergeCell ref="D114:D115"/>
    <mergeCell ref="B70:B71"/>
    <mergeCell ref="C70:C71"/>
    <mergeCell ref="D70:D71"/>
    <mergeCell ref="B72:B73"/>
    <mergeCell ref="C72:C73"/>
    <mergeCell ref="D72:D73"/>
    <mergeCell ref="B78:B79"/>
    <mergeCell ref="C78:C79"/>
    <mergeCell ref="D78:D79"/>
    <mergeCell ref="C94:C95"/>
    <mergeCell ref="D94:D95"/>
    <mergeCell ref="B96:B97"/>
    <mergeCell ref="C96:C97"/>
    <mergeCell ref="D96:D97"/>
    <mergeCell ref="B102:B103"/>
    <mergeCell ref="C102:C103"/>
    <mergeCell ref="D102:D103"/>
    <mergeCell ref="B104:B105"/>
    <mergeCell ref="C104:C105"/>
    <mergeCell ref="D104:D105"/>
    <mergeCell ref="B106:B107"/>
    <mergeCell ref="B66:B67"/>
    <mergeCell ref="C66:C67"/>
    <mergeCell ref="D66:D67"/>
    <mergeCell ref="B68:B69"/>
    <mergeCell ref="C68:C69"/>
    <mergeCell ref="D68:D69"/>
    <mergeCell ref="E63:H63"/>
    <mergeCell ref="I63:L63"/>
    <mergeCell ref="M63:P63"/>
    <mergeCell ref="Q63:V63"/>
    <mergeCell ref="B64:B65"/>
    <mergeCell ref="C64:C65"/>
    <mergeCell ref="D64:D65"/>
    <mergeCell ref="B58:B59"/>
    <mergeCell ref="C58:C59"/>
    <mergeCell ref="D58:D59"/>
    <mergeCell ref="B56:B57"/>
    <mergeCell ref="C56:C57"/>
    <mergeCell ref="D56:D57"/>
    <mergeCell ref="B52:B53"/>
    <mergeCell ref="C52:C53"/>
    <mergeCell ref="D52:D53"/>
    <mergeCell ref="B54:B55"/>
    <mergeCell ref="C54:C55"/>
    <mergeCell ref="D54:D55"/>
    <mergeCell ref="E49:H49"/>
    <mergeCell ref="I49:L49"/>
    <mergeCell ref="M49:P49"/>
    <mergeCell ref="B38:B39"/>
    <mergeCell ref="C38:C39"/>
    <mergeCell ref="D38:D39"/>
    <mergeCell ref="B33:B34"/>
    <mergeCell ref="C33:C34"/>
    <mergeCell ref="D33:D34"/>
    <mergeCell ref="Q49:V49"/>
    <mergeCell ref="B50:B51"/>
    <mergeCell ref="C50:C51"/>
    <mergeCell ref="D50:D51"/>
    <mergeCell ref="B44:B45"/>
    <mergeCell ref="C44:C45"/>
    <mergeCell ref="D44:D45"/>
    <mergeCell ref="B40:B41"/>
    <mergeCell ref="C40:C41"/>
    <mergeCell ref="D40:D41"/>
    <mergeCell ref="B42:B43"/>
    <mergeCell ref="C42:C43"/>
    <mergeCell ref="D42:D43"/>
    <mergeCell ref="C27:C28"/>
    <mergeCell ref="D27:D28"/>
    <mergeCell ref="B29:B30"/>
    <mergeCell ref="C29:C30"/>
    <mergeCell ref="D29:D30"/>
    <mergeCell ref="E37:H37"/>
    <mergeCell ref="I37:L37"/>
    <mergeCell ref="M37:P37"/>
    <mergeCell ref="Q37:V37"/>
    <mergeCell ref="M24:P24"/>
    <mergeCell ref="Q24:V24"/>
    <mergeCell ref="B25:B26"/>
    <mergeCell ref="C25:C26"/>
    <mergeCell ref="D25:D26"/>
    <mergeCell ref="E24:H24"/>
    <mergeCell ref="I24:L24"/>
    <mergeCell ref="M2:P2"/>
    <mergeCell ref="B9:B10"/>
    <mergeCell ref="C9:C10"/>
    <mergeCell ref="D9:D10"/>
    <mergeCell ref="E13:H13"/>
    <mergeCell ref="I13:L13"/>
    <mergeCell ref="B20:B21"/>
    <mergeCell ref="C20:C21"/>
    <mergeCell ref="D20:D21"/>
    <mergeCell ref="B16:B17"/>
    <mergeCell ref="C16:C17"/>
    <mergeCell ref="D16:D17"/>
    <mergeCell ref="B18:B19"/>
    <mergeCell ref="C18:C19"/>
    <mergeCell ref="D18:D19"/>
    <mergeCell ref="Q2:V2"/>
    <mergeCell ref="B3:B4"/>
    <mergeCell ref="M13:P13"/>
    <mergeCell ref="Q13:V13"/>
    <mergeCell ref="B14:B15"/>
    <mergeCell ref="C14:C15"/>
    <mergeCell ref="D14:D15"/>
    <mergeCell ref="B5:B6"/>
    <mergeCell ref="C5:C6"/>
    <mergeCell ref="D5:D6"/>
    <mergeCell ref="B7:B8"/>
    <mergeCell ref="C7:C8"/>
    <mergeCell ref="D7:D8"/>
    <mergeCell ref="E2:H2"/>
    <mergeCell ref="I2:L2"/>
    <mergeCell ref="B90:B91"/>
    <mergeCell ref="C90:C91"/>
    <mergeCell ref="D90:D91"/>
    <mergeCell ref="B92:B93"/>
    <mergeCell ref="C92:C93"/>
    <mergeCell ref="D92:D93"/>
    <mergeCell ref="E77:H77"/>
    <mergeCell ref="I77:L77"/>
    <mergeCell ref="B82:B83"/>
    <mergeCell ref="C82:C83"/>
    <mergeCell ref="D82:D83"/>
    <mergeCell ref="B84:B85"/>
    <mergeCell ref="C84:C85"/>
    <mergeCell ref="D84:D85"/>
    <mergeCell ref="E89:H89"/>
    <mergeCell ref="I89:L89"/>
    <mergeCell ref="C3:C4"/>
    <mergeCell ref="D3:D4"/>
    <mergeCell ref="B31:B32"/>
    <mergeCell ref="C31:C32"/>
    <mergeCell ref="D31:D32"/>
    <mergeCell ref="B27:B28"/>
    <mergeCell ref="E135:H135"/>
    <mergeCell ref="I135:L135"/>
    <mergeCell ref="M135:P135"/>
    <mergeCell ref="E125:H125"/>
    <mergeCell ref="I125:L125"/>
    <mergeCell ref="M125:P125"/>
    <mergeCell ref="Q135:V135"/>
    <mergeCell ref="B136:B137"/>
    <mergeCell ref="C136:C137"/>
    <mergeCell ref="D136:D137"/>
    <mergeCell ref="Q125:V125"/>
    <mergeCell ref="Q159:V159"/>
    <mergeCell ref="Q171:V171"/>
    <mergeCell ref="B138:B139"/>
    <mergeCell ref="C138:C139"/>
    <mergeCell ref="D138:D139"/>
    <mergeCell ref="B140:B141"/>
    <mergeCell ref="C140:C141"/>
    <mergeCell ref="D140:D141"/>
    <mergeCell ref="Q147:V147"/>
    <mergeCell ref="B148:B149"/>
    <mergeCell ref="C148:C149"/>
    <mergeCell ref="D148:D149"/>
    <mergeCell ref="B142:B143"/>
    <mergeCell ref="C142:C143"/>
    <mergeCell ref="D142:D143"/>
    <mergeCell ref="E147:H147"/>
    <mergeCell ref="I147:L147"/>
    <mergeCell ref="M147:P147"/>
    <mergeCell ref="B164:B165"/>
    <mergeCell ref="C164:C165"/>
    <mergeCell ref="B150:B151"/>
    <mergeCell ref="C150:C151"/>
    <mergeCell ref="D150:D151"/>
    <mergeCell ref="B152:B153"/>
    <mergeCell ref="C152:C153"/>
    <mergeCell ref="D152:D153"/>
    <mergeCell ref="D164:D165"/>
    <mergeCell ref="B166:B167"/>
    <mergeCell ref="C166:C167"/>
    <mergeCell ref="D166:D167"/>
    <mergeCell ref="B154:B155"/>
    <mergeCell ref="C154:C155"/>
    <mergeCell ref="D154:D155"/>
    <mergeCell ref="E159:H159"/>
    <mergeCell ref="I159:L159"/>
    <mergeCell ref="M159:P159"/>
    <mergeCell ref="B160:B161"/>
    <mergeCell ref="C160:C161"/>
    <mergeCell ref="D160:D161"/>
    <mergeCell ref="B188:B189"/>
    <mergeCell ref="C188:C189"/>
    <mergeCell ref="D188:D189"/>
    <mergeCell ref="B162:B163"/>
    <mergeCell ref="C162:C163"/>
    <mergeCell ref="D162:D163"/>
    <mergeCell ref="B172:B173"/>
    <mergeCell ref="C172:C173"/>
    <mergeCell ref="D172:D173"/>
    <mergeCell ref="B176:B177"/>
    <mergeCell ref="C176:C177"/>
    <mergeCell ref="D176:D177"/>
    <mergeCell ref="B178:B179"/>
    <mergeCell ref="C178:C179"/>
    <mergeCell ref="D178:D179"/>
    <mergeCell ref="E171:H171"/>
    <mergeCell ref="I171:L171"/>
    <mergeCell ref="M171:P171"/>
    <mergeCell ref="E233:H233"/>
    <mergeCell ref="I233:L233"/>
    <mergeCell ref="M233:P233"/>
    <mergeCell ref="Q233:V233"/>
    <mergeCell ref="B234:B235"/>
    <mergeCell ref="C234:C235"/>
    <mergeCell ref="D234:D235"/>
    <mergeCell ref="B236:B237"/>
    <mergeCell ref="C236:C237"/>
    <mergeCell ref="D236:D237"/>
    <mergeCell ref="B238:B239"/>
    <mergeCell ref="C238:C239"/>
    <mergeCell ref="D238:D239"/>
    <mergeCell ref="B240:B241"/>
    <mergeCell ref="C240:C241"/>
    <mergeCell ref="D240:D241"/>
    <mergeCell ref="E245:H245"/>
    <mergeCell ref="I245:L245"/>
    <mergeCell ref="M245:P245"/>
    <mergeCell ref="B252:B253"/>
    <mergeCell ref="C252:C253"/>
    <mergeCell ref="D252:D253"/>
    <mergeCell ref="Q245:V245"/>
    <mergeCell ref="B246:B247"/>
    <mergeCell ref="C246:C247"/>
    <mergeCell ref="D246:D247"/>
    <mergeCell ref="B248:B249"/>
    <mergeCell ref="C248:C249"/>
    <mergeCell ref="D248:D249"/>
    <mergeCell ref="B250:B251"/>
    <mergeCell ref="C250:C251"/>
    <mergeCell ref="D250:D251"/>
    <mergeCell ref="E269:H269"/>
    <mergeCell ref="I269:L269"/>
    <mergeCell ref="M269:P269"/>
    <mergeCell ref="Q269:V269"/>
    <mergeCell ref="B270:B271"/>
    <mergeCell ref="C270:C271"/>
    <mergeCell ref="D270:D271"/>
    <mergeCell ref="B272:B273"/>
    <mergeCell ref="E257:H257"/>
    <mergeCell ref="I257:L257"/>
    <mergeCell ref="M257:P257"/>
    <mergeCell ref="Q257:V257"/>
    <mergeCell ref="B258:B259"/>
    <mergeCell ref="C258:C259"/>
    <mergeCell ref="D258:D259"/>
    <mergeCell ref="B260:B261"/>
    <mergeCell ref="C260:C261"/>
    <mergeCell ref="D260:D261"/>
    <mergeCell ref="C272:C273"/>
    <mergeCell ref="D272:D273"/>
    <mergeCell ref="B262:B263"/>
    <mergeCell ref="C262:C263"/>
    <mergeCell ref="D262:D263"/>
    <mergeCell ref="B264:B265"/>
    <mergeCell ref="C264:C265"/>
    <mergeCell ref="D264:D265"/>
    <mergeCell ref="B274:B275"/>
    <mergeCell ref="C274:C275"/>
    <mergeCell ref="D274:D275"/>
    <mergeCell ref="E307:H307"/>
    <mergeCell ref="I307:L307"/>
    <mergeCell ref="M307:P307"/>
    <mergeCell ref="Q307:V307"/>
    <mergeCell ref="B308:B309"/>
    <mergeCell ref="C308:C309"/>
    <mergeCell ref="D308:D309"/>
    <mergeCell ref="B310:B311"/>
    <mergeCell ref="C310:C311"/>
    <mergeCell ref="D310:D311"/>
    <mergeCell ref="Q319:V319"/>
    <mergeCell ref="B320:B321"/>
    <mergeCell ref="C320:C321"/>
    <mergeCell ref="D320:D321"/>
    <mergeCell ref="B322:B323"/>
    <mergeCell ref="C322:C323"/>
    <mergeCell ref="D322:D323"/>
    <mergeCell ref="B312:B313"/>
    <mergeCell ref="C312:C313"/>
    <mergeCell ref="D312:D313"/>
    <mergeCell ref="B314:B315"/>
    <mergeCell ref="C314:C315"/>
    <mergeCell ref="D314:D315"/>
    <mergeCell ref="B324:B325"/>
    <mergeCell ref="C324:C325"/>
    <mergeCell ref="D324:D325"/>
    <mergeCell ref="B326:B327"/>
    <mergeCell ref="C326:C327"/>
    <mergeCell ref="D326:D327"/>
    <mergeCell ref="E319:H319"/>
    <mergeCell ref="I319:L319"/>
    <mergeCell ref="M319:P319"/>
  </mergeCells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CW122"/>
  <sheetViews>
    <sheetView showGridLines="0" topLeftCell="A10" zoomScaleNormal="125" workbookViewId="0">
      <selection activeCell="T9" sqref="T9"/>
    </sheetView>
  </sheetViews>
  <sheetFormatPr defaultColWidth="8.8984375" defaultRowHeight="15.6" x14ac:dyDescent="0.25"/>
  <cols>
    <col min="1" max="1" width="4.19921875" style="1" bestFit="1" customWidth="1"/>
    <col min="2" max="2" width="6.296875" style="1" customWidth="1"/>
    <col min="3" max="3" width="9.3984375" style="1" bestFit="1" customWidth="1"/>
    <col min="4" max="8" width="10.796875" style="1" customWidth="1"/>
    <col min="9" max="9" width="4.796875" style="17" customWidth="1"/>
    <col min="10" max="10" width="4.796875" style="1" customWidth="1"/>
    <col min="11" max="11" width="7.796875" style="1" customWidth="1"/>
    <col min="12" max="12" width="8.09765625" style="1" customWidth="1"/>
    <col min="13" max="13" width="4.69921875" style="1" customWidth="1"/>
    <col min="14" max="14" width="8.09765625" style="1" customWidth="1"/>
    <col min="15" max="15" width="4.69921875" style="1" customWidth="1"/>
    <col min="16" max="16" width="8.09765625" style="1" customWidth="1"/>
    <col min="17" max="17" width="4.69921875" style="1" customWidth="1"/>
    <col min="18" max="18" width="8.09765625" style="1" customWidth="1"/>
    <col min="19" max="19" width="4.69921875" style="1" customWidth="1"/>
    <col min="20" max="20" width="8.09765625" style="1" customWidth="1"/>
    <col min="21" max="21" width="4.69921875" style="1" customWidth="1"/>
    <col min="22" max="32" width="7.796875" style="1" customWidth="1"/>
    <col min="33" max="33" width="4.796875" style="1" customWidth="1"/>
    <col min="34" max="85" width="4.796875" style="3" customWidth="1"/>
    <col min="86" max="101" width="8.8984375" style="3"/>
  </cols>
  <sheetData>
    <row r="2" spans="1:33" x14ac:dyDescent="0.25">
      <c r="D2" s="15">
        <f>SUM(D4:D95)</f>
        <v>159</v>
      </c>
      <c r="E2" s="15">
        <f>SUM(E4:E95)</f>
        <v>114</v>
      </c>
      <c r="F2" s="15">
        <f>SUM(F4:F95)</f>
        <v>111</v>
      </c>
      <c r="G2" s="15">
        <f>SUM(G4:G95)</f>
        <v>186</v>
      </c>
      <c r="H2" s="15">
        <f>SUM(H4:H95)</f>
        <v>48</v>
      </c>
    </row>
    <row r="3" spans="1:33" x14ac:dyDescent="0.25">
      <c r="A3" s="2" t="s">
        <v>238</v>
      </c>
      <c r="B3" s="2" t="s">
        <v>6</v>
      </c>
      <c r="C3" s="2" t="s">
        <v>76</v>
      </c>
      <c r="D3" s="2" t="s">
        <v>80</v>
      </c>
      <c r="E3" s="2" t="s">
        <v>1</v>
      </c>
      <c r="F3" s="2" t="s">
        <v>2</v>
      </c>
      <c r="G3" s="4" t="s">
        <v>0</v>
      </c>
      <c r="H3" s="4" t="s">
        <v>129</v>
      </c>
      <c r="I3" s="4" t="s">
        <v>114</v>
      </c>
      <c r="J3" s="16"/>
      <c r="K3" s="4" t="s">
        <v>49</v>
      </c>
      <c r="L3" s="21" t="s">
        <v>82</v>
      </c>
      <c r="M3" s="21"/>
      <c r="N3" s="22" t="s">
        <v>85</v>
      </c>
      <c r="O3" s="22"/>
      <c r="P3" s="23" t="s">
        <v>84</v>
      </c>
      <c r="Q3" s="23"/>
      <c r="R3" s="24" t="s">
        <v>88</v>
      </c>
      <c r="S3" s="24"/>
      <c r="T3" s="25" t="s">
        <v>81</v>
      </c>
      <c r="U3" s="25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x14ac:dyDescent="0.25">
      <c r="A4" s="2">
        <f>종합Sheet!A4</f>
        <v>1</v>
      </c>
      <c r="B4" s="2" t="str">
        <f>종합Sheet!B4</f>
        <v>김인혁</v>
      </c>
      <c r="C4" s="2">
        <f>((D4+E4+G4+H4)*0.2)+(F4*0.3)</f>
        <v>2.6</v>
      </c>
      <c r="D4" s="14">
        <f>COUNTIF(경기기록Sheet!$E:$H,B4)</f>
        <v>4</v>
      </c>
      <c r="E4" s="14">
        <f>COUNTIF(경기기록Sheet!$I:$L,B4)</f>
        <v>7</v>
      </c>
      <c r="F4" s="14">
        <f>COUNTIF(경기기록Sheet!$M:$P,B4)</f>
        <v>0</v>
      </c>
      <c r="G4" s="14">
        <f>COUNTIF(경기기록Sheet!$Q:$U,B4)</f>
        <v>1</v>
      </c>
      <c r="H4" s="14">
        <f>COUNTIF(경기기록Sheet!$V:$V,B4)</f>
        <v>1</v>
      </c>
      <c r="I4" s="14">
        <f>SUM(D4:H4)</f>
        <v>13</v>
      </c>
      <c r="J4" s="15"/>
      <c r="K4" s="2">
        <v>1</v>
      </c>
      <c r="L4" s="32" t="s">
        <v>350</v>
      </c>
      <c r="M4" s="21">
        <f t="shared" ref="M4:M18" si="0">VLOOKUP(L4,$B$4:$H$133,3,FALSE)</f>
        <v>24</v>
      </c>
      <c r="N4" s="33" t="s">
        <v>350</v>
      </c>
      <c r="O4" s="22">
        <f t="shared" ref="O4:O16" si="1">VLOOKUP(N4,$B$4:$H$133,4,FALSE)</f>
        <v>12</v>
      </c>
      <c r="P4" s="34" t="s">
        <v>221</v>
      </c>
      <c r="Q4" s="23">
        <f t="shared" ref="Q4:Q16" si="2">VLOOKUP(P4,$B$4:$H$133,5,FALSE)</f>
        <v>17</v>
      </c>
      <c r="R4" s="35" t="s">
        <v>321</v>
      </c>
      <c r="S4" s="55">
        <f t="shared" ref="S4:S18" si="3">VLOOKUP(R4,$B$4:$H$133,6,FALSE)</f>
        <v>23</v>
      </c>
      <c r="T4" s="36" t="s">
        <v>42</v>
      </c>
      <c r="U4" s="56">
        <f t="shared" ref="U4:U14" si="4">VLOOKUP(T4,$B$4:$H$133,7,FALSE)</f>
        <v>16</v>
      </c>
    </row>
    <row r="5" spans="1:33" x14ac:dyDescent="0.25">
      <c r="A5" s="2">
        <f>종합Sheet!A5</f>
        <v>2</v>
      </c>
      <c r="B5" s="2" t="str">
        <f>종합Sheet!B5</f>
        <v>신재경</v>
      </c>
      <c r="C5" s="2">
        <f>((D5+E5+G5+H5)*0.2)+(F5*0.3)</f>
        <v>0.90000000000000013</v>
      </c>
      <c r="D5" s="14">
        <f>COUNTIF(경기기록Sheet!$E:$H,B5)</f>
        <v>1</v>
      </c>
      <c r="E5" s="14">
        <f>COUNTIF(경기기록Sheet!$I:$L,B5)</f>
        <v>1</v>
      </c>
      <c r="F5" s="14">
        <f>COUNTIF(경기기록Sheet!$M:$P,B5)</f>
        <v>1</v>
      </c>
      <c r="G5" s="14">
        <f>COUNTIF(경기기록Sheet!$Q:$U,B5)</f>
        <v>0</v>
      </c>
      <c r="H5" s="14">
        <f>COUNTIF(경기기록Sheet!$V:$V,B5)</f>
        <v>1</v>
      </c>
      <c r="I5" s="14">
        <f>SUM(D5:H5)</f>
        <v>4</v>
      </c>
      <c r="J5" s="15"/>
      <c r="K5" s="2">
        <v>2</v>
      </c>
      <c r="L5" s="32" t="s">
        <v>223</v>
      </c>
      <c r="M5" s="21">
        <f t="shared" si="0"/>
        <v>17</v>
      </c>
      <c r="N5" s="33" t="s">
        <v>53</v>
      </c>
      <c r="O5" s="22">
        <f t="shared" si="1"/>
        <v>8</v>
      </c>
      <c r="P5" s="34" t="s">
        <v>304</v>
      </c>
      <c r="Q5" s="23">
        <f t="shared" si="2"/>
        <v>16</v>
      </c>
      <c r="R5" s="35" t="s">
        <v>230</v>
      </c>
      <c r="S5" s="55">
        <f t="shared" si="3"/>
        <v>23</v>
      </c>
      <c r="T5" s="36" t="s">
        <v>228</v>
      </c>
      <c r="U5" s="56">
        <f t="shared" si="4"/>
        <v>12</v>
      </c>
    </row>
    <row r="6" spans="1:33" x14ac:dyDescent="0.25">
      <c r="A6" s="2">
        <f>종합Sheet!A6</f>
        <v>3</v>
      </c>
      <c r="B6" s="2" t="str">
        <f>종합Sheet!B6</f>
        <v>정효태</v>
      </c>
      <c r="C6" s="2">
        <f>((D6+E6+G6+H6)*0.2)+(F6*0.3)</f>
        <v>0</v>
      </c>
      <c r="D6" s="14">
        <f>COUNTIF(경기기록Sheet!$E:$H,B6)</f>
        <v>0</v>
      </c>
      <c r="E6" s="14">
        <f>COUNTIF(경기기록Sheet!$I:$L,B6)</f>
        <v>0</v>
      </c>
      <c r="F6" s="14">
        <f>COUNTIF(경기기록Sheet!$M:$P,B6)</f>
        <v>0</v>
      </c>
      <c r="G6" s="14">
        <f>COUNTIF(경기기록Sheet!$Q:$U,B6)</f>
        <v>0</v>
      </c>
      <c r="H6" s="14">
        <f>COUNTIF(경기기록Sheet!$V:$V,B6)</f>
        <v>0</v>
      </c>
      <c r="I6" s="14">
        <f>SUM(D6:H6)</f>
        <v>0</v>
      </c>
      <c r="J6" s="15"/>
      <c r="K6" s="2">
        <v>3</v>
      </c>
      <c r="L6" s="32" t="s">
        <v>397</v>
      </c>
      <c r="M6" s="21">
        <f t="shared" si="0"/>
        <v>17</v>
      </c>
      <c r="N6" s="33" t="s">
        <v>50</v>
      </c>
      <c r="O6" s="22">
        <f t="shared" si="1"/>
        <v>7</v>
      </c>
      <c r="P6" s="34" t="s">
        <v>64</v>
      </c>
      <c r="Q6" s="23">
        <f t="shared" si="2"/>
        <v>9</v>
      </c>
      <c r="R6" s="35" t="s">
        <v>353</v>
      </c>
      <c r="S6" s="55">
        <f t="shared" si="3"/>
        <v>18</v>
      </c>
      <c r="T6" s="36" t="s">
        <v>220</v>
      </c>
      <c r="U6" s="56">
        <f t="shared" si="4"/>
        <v>5</v>
      </c>
    </row>
    <row r="7" spans="1:33" x14ac:dyDescent="0.25">
      <c r="A7" s="2">
        <f>종합Sheet!A7</f>
        <v>4</v>
      </c>
      <c r="B7" s="2" t="str">
        <f>종합Sheet!B7</f>
        <v>이승민</v>
      </c>
      <c r="C7" s="2">
        <f>((D7+E7+G7+H7)*0.2)+(F7*0.3)</f>
        <v>0</v>
      </c>
      <c r="D7" s="14">
        <f>COUNTIF(경기기록Sheet!$E:$H,B7)</f>
        <v>0</v>
      </c>
      <c r="E7" s="14">
        <f>COUNTIF(경기기록Sheet!$I:$L,B7)</f>
        <v>0</v>
      </c>
      <c r="F7" s="14">
        <f>COUNTIF(경기기록Sheet!$M:$P,B7)</f>
        <v>0</v>
      </c>
      <c r="G7" s="14">
        <f>COUNTIF(경기기록Sheet!$Q:$U,B7)</f>
        <v>0</v>
      </c>
      <c r="H7" s="14">
        <f>COUNTIF(경기기록Sheet!$V:$V,B7)</f>
        <v>0</v>
      </c>
      <c r="I7" s="14">
        <f>SUM(D7:H7)</f>
        <v>0</v>
      </c>
      <c r="J7" s="15"/>
      <c r="K7" s="2">
        <v>4</v>
      </c>
      <c r="L7" s="32" t="s">
        <v>231</v>
      </c>
      <c r="M7" s="21">
        <f t="shared" si="0"/>
        <v>15</v>
      </c>
      <c r="N7" s="33" t="s">
        <v>356</v>
      </c>
      <c r="O7" s="22">
        <f t="shared" si="1"/>
        <v>7</v>
      </c>
      <c r="P7" s="34" t="s">
        <v>298</v>
      </c>
      <c r="Q7" s="23">
        <f t="shared" si="2"/>
        <v>8</v>
      </c>
      <c r="R7" s="35" t="s">
        <v>232</v>
      </c>
      <c r="S7" s="55">
        <f t="shared" si="3"/>
        <v>16</v>
      </c>
      <c r="T7" s="36" t="s">
        <v>181</v>
      </c>
      <c r="U7" s="56">
        <f t="shared" si="4"/>
        <v>4</v>
      </c>
    </row>
    <row r="8" spans="1:33" x14ac:dyDescent="0.25">
      <c r="A8" s="2">
        <f>종합Sheet!A8</f>
        <v>5</v>
      </c>
      <c r="B8" s="2" t="str">
        <f>종합Sheet!B8</f>
        <v>이정석</v>
      </c>
      <c r="C8" s="2">
        <f>((D8+E8+G8+H8)*0.2)+(F8*0.3)</f>
        <v>0</v>
      </c>
      <c r="D8" s="14">
        <f>COUNTIF(경기기록Sheet!$E:$H,B8)</f>
        <v>0</v>
      </c>
      <c r="E8" s="14">
        <f>COUNTIF(경기기록Sheet!$I:$L,B8)</f>
        <v>0</v>
      </c>
      <c r="F8" s="14">
        <f>COUNTIF(경기기록Sheet!$M:$P,B8)</f>
        <v>0</v>
      </c>
      <c r="G8" s="14">
        <f>COUNTIF(경기기록Sheet!$Q:$U,B8)</f>
        <v>0</v>
      </c>
      <c r="H8" s="14">
        <f>COUNTIF(경기기록Sheet!$V:$V,B8)</f>
        <v>0</v>
      </c>
      <c r="I8" s="14">
        <f>SUM(D8:H8)</f>
        <v>0</v>
      </c>
      <c r="J8" s="15"/>
      <c r="K8" s="2">
        <v>5</v>
      </c>
      <c r="L8" s="32" t="s">
        <v>221</v>
      </c>
      <c r="M8" s="21">
        <f t="shared" si="0"/>
        <v>12</v>
      </c>
      <c r="N8" s="33" t="s">
        <v>221</v>
      </c>
      <c r="O8" s="22">
        <f t="shared" si="1"/>
        <v>6</v>
      </c>
      <c r="P8" s="34" t="s">
        <v>53</v>
      </c>
      <c r="Q8" s="23">
        <f t="shared" si="2"/>
        <v>8</v>
      </c>
      <c r="R8" s="35" t="s">
        <v>62</v>
      </c>
      <c r="S8" s="55">
        <f t="shared" si="3"/>
        <v>16</v>
      </c>
      <c r="T8" s="36" t="s">
        <v>311</v>
      </c>
      <c r="U8" s="56">
        <f t="shared" si="4"/>
        <v>3</v>
      </c>
    </row>
    <row r="9" spans="1:33" x14ac:dyDescent="0.25">
      <c r="A9" s="2">
        <f>종합Sheet!A9</f>
        <v>6</v>
      </c>
      <c r="B9" s="2" t="str">
        <f>종합Sheet!B9</f>
        <v>강종찬</v>
      </c>
      <c r="C9" s="2">
        <f>((D9+E9+G9+H9)*0.2)+(F9*0.3)</f>
        <v>1</v>
      </c>
      <c r="D9" s="14">
        <f>COUNTIF(경기기록Sheet!$E:$H,B9)</f>
        <v>0</v>
      </c>
      <c r="E9" s="14">
        <f>COUNTIF(경기기록Sheet!$I:$L,B9)</f>
        <v>0</v>
      </c>
      <c r="F9" s="14">
        <f>COUNTIF(경기기록Sheet!$M:$P,B9)</f>
        <v>0</v>
      </c>
      <c r="G9" s="14">
        <f>COUNTIF(경기기록Sheet!$Q:$U,B9)</f>
        <v>4</v>
      </c>
      <c r="H9" s="14">
        <f>COUNTIF(경기기록Sheet!$V:$V,B9)</f>
        <v>1</v>
      </c>
      <c r="I9" s="14">
        <f>SUM(D9:H9)</f>
        <v>5</v>
      </c>
      <c r="J9" s="15"/>
      <c r="K9" s="2">
        <v>6</v>
      </c>
      <c r="L9" s="32" t="s">
        <v>352</v>
      </c>
      <c r="M9" s="21">
        <f t="shared" si="0"/>
        <v>12</v>
      </c>
      <c r="N9" s="33" t="s">
        <v>223</v>
      </c>
      <c r="O9" s="22">
        <f t="shared" si="1"/>
        <v>5</v>
      </c>
      <c r="P9" s="34" t="s">
        <v>7</v>
      </c>
      <c r="Q9" s="23">
        <f t="shared" si="2"/>
        <v>8</v>
      </c>
      <c r="R9" s="35" t="s">
        <v>359</v>
      </c>
      <c r="S9" s="55">
        <f t="shared" si="3"/>
        <v>16</v>
      </c>
      <c r="T9" s="36" t="s">
        <v>396</v>
      </c>
      <c r="U9" s="56">
        <f t="shared" si="4"/>
        <v>3</v>
      </c>
    </row>
    <row r="10" spans="1:33" x14ac:dyDescent="0.25">
      <c r="A10" s="2">
        <f>종합Sheet!A10</f>
        <v>7</v>
      </c>
      <c r="B10" s="2" t="str">
        <f>종합Sheet!B10</f>
        <v>강관석</v>
      </c>
      <c r="C10" s="2">
        <f>((D10+E10+G10+H10)*0.2)+(F10*0.3)</f>
        <v>3.6</v>
      </c>
      <c r="D10" s="14">
        <f>COUNTIF(경기기록Sheet!$E:$H,B10)</f>
        <v>3</v>
      </c>
      <c r="E10" s="14">
        <f>COUNTIF(경기기록Sheet!$I:$L,B10)</f>
        <v>1</v>
      </c>
      <c r="F10" s="14">
        <f>COUNTIF(경기기록Sheet!$M:$P,B10)</f>
        <v>8</v>
      </c>
      <c r="G10" s="14">
        <f>COUNTIF(경기기록Sheet!$Q:$U,B10)</f>
        <v>0</v>
      </c>
      <c r="H10" s="14">
        <f>COUNTIF(경기기록Sheet!$V:$V,B10)</f>
        <v>2</v>
      </c>
      <c r="I10" s="14">
        <f>SUM(D10:H10)</f>
        <v>14</v>
      </c>
      <c r="J10" s="15"/>
      <c r="K10" s="2">
        <v>7</v>
      </c>
      <c r="L10" s="32" t="s">
        <v>228</v>
      </c>
      <c r="M10" s="21">
        <f t="shared" si="0"/>
        <v>11</v>
      </c>
      <c r="N10" s="33" t="s">
        <v>313</v>
      </c>
      <c r="O10" s="22">
        <f t="shared" si="1"/>
        <v>5</v>
      </c>
      <c r="P10" s="34" t="s">
        <v>375</v>
      </c>
      <c r="Q10" s="23">
        <f t="shared" si="2"/>
        <v>7</v>
      </c>
      <c r="R10" s="35" t="s">
        <v>391</v>
      </c>
      <c r="S10" s="55">
        <f t="shared" si="3"/>
        <v>15</v>
      </c>
      <c r="T10" s="36" t="s">
        <v>298</v>
      </c>
      <c r="U10" s="56">
        <f t="shared" si="4"/>
        <v>2</v>
      </c>
    </row>
    <row r="11" spans="1:33" x14ac:dyDescent="0.25">
      <c r="A11" s="2">
        <f>종합Sheet!A11</f>
        <v>8</v>
      </c>
      <c r="B11" s="2" t="str">
        <f>종합Sheet!B11</f>
        <v>강기혁</v>
      </c>
      <c r="C11" s="2">
        <f>((D11+E11+G11+H11)*0.2)+(F11*0.3)</f>
        <v>5.6000000000000005</v>
      </c>
      <c r="D11" s="14">
        <f>COUNTIF(경기기록Sheet!$E:$H,B11)</f>
        <v>17</v>
      </c>
      <c r="E11" s="14">
        <f>COUNTIF(경기기록Sheet!$I:$L,B11)</f>
        <v>5</v>
      </c>
      <c r="F11" s="14">
        <f>COUNTIF(경기기록Sheet!$M:$P,B11)</f>
        <v>4</v>
      </c>
      <c r="G11" s="14">
        <f>COUNTIF(경기기록Sheet!$Q:$U,B11)</f>
        <v>0</v>
      </c>
      <c r="H11" s="14">
        <f>COUNTIF(경기기록Sheet!$V:$V,B11)</f>
        <v>0</v>
      </c>
      <c r="I11" s="14">
        <f>SUM(D11:H11)</f>
        <v>26</v>
      </c>
      <c r="J11" s="15"/>
      <c r="K11" s="2">
        <v>8</v>
      </c>
      <c r="L11" s="32" t="s">
        <v>356</v>
      </c>
      <c r="M11" s="21">
        <f t="shared" si="0"/>
        <v>10</v>
      </c>
      <c r="N11" s="33" t="s">
        <v>7</v>
      </c>
      <c r="O11" s="22">
        <f t="shared" si="1"/>
        <v>5</v>
      </c>
      <c r="P11" s="34" t="s">
        <v>381</v>
      </c>
      <c r="Q11" s="23">
        <f t="shared" si="2"/>
        <v>7</v>
      </c>
      <c r="R11" s="35" t="s">
        <v>308</v>
      </c>
      <c r="S11" s="55">
        <f t="shared" si="3"/>
        <v>13</v>
      </c>
      <c r="T11" s="36" t="s">
        <v>299</v>
      </c>
      <c r="U11" s="56">
        <f t="shared" si="4"/>
        <v>2</v>
      </c>
    </row>
    <row r="12" spans="1:33" x14ac:dyDescent="0.25">
      <c r="A12" s="2">
        <f>종합Sheet!A12</f>
        <v>9</v>
      </c>
      <c r="B12" s="2" t="str">
        <f>종합Sheet!B12</f>
        <v>강도일</v>
      </c>
      <c r="C12" s="2">
        <f>((D12+E12+G12+H12)*0.2)+(F12*0.3)</f>
        <v>0</v>
      </c>
      <c r="D12" s="14">
        <f>COUNTIF(경기기록Sheet!$E:$H,B12)</f>
        <v>0</v>
      </c>
      <c r="E12" s="14">
        <f>COUNTIF(경기기록Sheet!$I:$L,B12)</f>
        <v>0</v>
      </c>
      <c r="F12" s="14">
        <f>COUNTIF(경기기록Sheet!$M:$P,B12)</f>
        <v>0</v>
      </c>
      <c r="G12" s="14">
        <f>COUNTIF(경기기록Sheet!$Q:$U,B12)</f>
        <v>0</v>
      </c>
      <c r="H12" s="14">
        <f>COUNTIF(경기기록Sheet!$V:$V,B12)</f>
        <v>0</v>
      </c>
      <c r="I12" s="14">
        <f>SUM(D12:H12)</f>
        <v>0</v>
      </c>
      <c r="J12" s="15"/>
      <c r="K12" s="2">
        <v>9</v>
      </c>
      <c r="L12" s="32" t="s">
        <v>406</v>
      </c>
      <c r="M12" s="21">
        <f t="shared" si="0"/>
        <v>9</v>
      </c>
      <c r="N12" s="33" t="s">
        <v>397</v>
      </c>
      <c r="O12" s="22">
        <f t="shared" si="1"/>
        <v>5</v>
      </c>
      <c r="P12" s="34" t="s">
        <v>299</v>
      </c>
      <c r="Q12" s="23">
        <f t="shared" si="2"/>
        <v>6</v>
      </c>
      <c r="R12" s="35" t="s">
        <v>302</v>
      </c>
      <c r="S12" s="55">
        <f t="shared" si="3"/>
        <v>13</v>
      </c>
      <c r="T12" s="36" t="s">
        <v>360</v>
      </c>
      <c r="U12" s="56">
        <f t="shared" si="4"/>
        <v>2</v>
      </c>
    </row>
    <row r="13" spans="1:33" x14ac:dyDescent="0.25">
      <c r="A13" s="2">
        <f>종합Sheet!A13</f>
        <v>10</v>
      </c>
      <c r="B13" s="2" t="str">
        <f>종합Sheet!B13</f>
        <v>강일수</v>
      </c>
      <c r="C13" s="2">
        <f>((D13+E13+G13+H13)*0.2)+(F13*0.3)</f>
        <v>0</v>
      </c>
      <c r="D13" s="14">
        <f>COUNTIF(경기기록Sheet!$E:$H,B13)</f>
        <v>0</v>
      </c>
      <c r="E13" s="14">
        <f>COUNTIF(경기기록Sheet!$I:$L,B13)</f>
        <v>0</v>
      </c>
      <c r="F13" s="14">
        <f>COUNTIF(경기기록Sheet!$M:$P,B13)</f>
        <v>0</v>
      </c>
      <c r="G13" s="14">
        <f>COUNTIF(경기기록Sheet!$Q:$U,B13)</f>
        <v>0</v>
      </c>
      <c r="H13" s="14">
        <f>COUNTIF(경기기록Sheet!$V:$V,B13)</f>
        <v>0</v>
      </c>
      <c r="I13" s="14">
        <f>SUM(D13:H13)</f>
        <v>0</v>
      </c>
      <c r="J13" s="15"/>
      <c r="K13" s="2">
        <v>10</v>
      </c>
      <c r="L13" s="32" t="s">
        <v>304</v>
      </c>
      <c r="M13" s="21">
        <f t="shared" si="0"/>
        <v>8</v>
      </c>
      <c r="N13" s="33" t="s">
        <v>352</v>
      </c>
      <c r="O13" s="22">
        <f t="shared" si="1"/>
        <v>4</v>
      </c>
      <c r="P13" s="34" t="s">
        <v>313</v>
      </c>
      <c r="Q13" s="23">
        <f t="shared" si="2"/>
        <v>5</v>
      </c>
      <c r="R13" s="35" t="s">
        <v>360</v>
      </c>
      <c r="S13" s="55">
        <f t="shared" si="3"/>
        <v>11</v>
      </c>
      <c r="T13" s="36" t="s">
        <v>359</v>
      </c>
      <c r="U13" s="56">
        <f t="shared" si="4"/>
        <v>2</v>
      </c>
    </row>
    <row r="14" spans="1:33" x14ac:dyDescent="0.25">
      <c r="A14" s="2">
        <f>종합Sheet!A14</f>
        <v>11</v>
      </c>
      <c r="B14" s="2" t="str">
        <f>종합Sheet!B14</f>
        <v>구교훈</v>
      </c>
      <c r="C14" s="2">
        <f>((D14+E14+G14+H14)*0.2)+(F14*0.3)</f>
        <v>0</v>
      </c>
      <c r="D14" s="14">
        <f>COUNTIF(경기기록Sheet!$E:$H,B14)</f>
        <v>0</v>
      </c>
      <c r="E14" s="14">
        <f>COUNTIF(경기기록Sheet!$I:$L,B14)</f>
        <v>0</v>
      </c>
      <c r="F14" s="14">
        <f>COUNTIF(경기기록Sheet!$M:$P,B14)</f>
        <v>0</v>
      </c>
      <c r="G14" s="14">
        <f>COUNTIF(경기기록Sheet!$Q:$U,B14)</f>
        <v>0</v>
      </c>
      <c r="H14" s="14">
        <f>COUNTIF(경기기록Sheet!$V:$V,B14)</f>
        <v>0</v>
      </c>
      <c r="I14" s="14">
        <f>SUM(D14:H14)</f>
        <v>0</v>
      </c>
      <c r="J14" s="15"/>
      <c r="K14" s="2">
        <v>11</v>
      </c>
      <c r="L14" s="21" t="s">
        <v>314</v>
      </c>
      <c r="M14" s="21">
        <f t="shared" si="0"/>
        <v>6</v>
      </c>
      <c r="N14" s="33" t="s">
        <v>381</v>
      </c>
      <c r="O14" s="22">
        <f t="shared" si="1"/>
        <v>4</v>
      </c>
      <c r="P14" s="34" t="s">
        <v>402</v>
      </c>
      <c r="Q14" s="23">
        <f t="shared" si="2"/>
        <v>5</v>
      </c>
      <c r="R14" s="55" t="s">
        <v>34</v>
      </c>
      <c r="S14" s="55">
        <f t="shared" si="3"/>
        <v>10</v>
      </c>
      <c r="T14" s="36" t="s">
        <v>229</v>
      </c>
      <c r="U14" s="56">
        <f t="shared" si="4"/>
        <v>2</v>
      </c>
    </row>
    <row r="15" spans="1:33" x14ac:dyDescent="0.25">
      <c r="A15" s="2">
        <f>종합Sheet!A15</f>
        <v>12</v>
      </c>
      <c r="B15" s="2" t="str">
        <f>종합Sheet!B15</f>
        <v>권민강</v>
      </c>
      <c r="C15" s="2">
        <f>((D15+E15+G15+H15)*0.2)+(F15*0.3)</f>
        <v>0.60000000000000009</v>
      </c>
      <c r="D15" s="14">
        <f>COUNTIF(경기기록Sheet!$E:$H,B15)</f>
        <v>1</v>
      </c>
      <c r="E15" s="14">
        <f>COUNTIF(경기기록Sheet!$I:$L,B15)</f>
        <v>2</v>
      </c>
      <c r="F15" s="14">
        <f>COUNTIF(경기기록Sheet!$M:$P,B15)</f>
        <v>0</v>
      </c>
      <c r="G15" s="14">
        <f>COUNTIF(경기기록Sheet!$Q:$U,B15)</f>
        <v>0</v>
      </c>
      <c r="H15" s="14">
        <f>COUNTIF(경기기록Sheet!$V:$V,B15)</f>
        <v>0</v>
      </c>
      <c r="I15" s="14">
        <f>SUM(D15:H15)</f>
        <v>3</v>
      </c>
      <c r="J15" s="15"/>
      <c r="K15" s="2">
        <v>12</v>
      </c>
      <c r="L15" s="21" t="s">
        <v>220</v>
      </c>
      <c r="M15" s="21">
        <f t="shared" si="0"/>
        <v>5</v>
      </c>
      <c r="N15" s="33" t="s">
        <v>402</v>
      </c>
      <c r="O15" s="22">
        <f t="shared" si="1"/>
        <v>4</v>
      </c>
      <c r="P15" s="23" t="s">
        <v>382</v>
      </c>
      <c r="Q15" s="23">
        <f t="shared" si="2"/>
        <v>5</v>
      </c>
      <c r="R15" s="55" t="s">
        <v>221</v>
      </c>
      <c r="S15" s="55">
        <f t="shared" si="3"/>
        <v>9</v>
      </c>
      <c r="T15" s="56"/>
      <c r="U15" s="56"/>
    </row>
    <row r="16" spans="1:33" x14ac:dyDescent="0.25">
      <c r="A16" s="2">
        <f>종합Sheet!A16</f>
        <v>13</v>
      </c>
      <c r="B16" s="2" t="str">
        <f>종합Sheet!B16</f>
        <v>김기문</v>
      </c>
      <c r="C16" s="2">
        <f>((D16+E16+G16+H16)*0.2)+(F16*0.3)</f>
        <v>3.8</v>
      </c>
      <c r="D16" s="14">
        <f>COUNTIF(경기기록Sheet!$E:$H,B16)</f>
        <v>3</v>
      </c>
      <c r="E16" s="14">
        <f>COUNTIF(경기기록Sheet!$I:$L,B16)</f>
        <v>3</v>
      </c>
      <c r="F16" s="14">
        <f>COUNTIF(경기기록Sheet!$M:$P,B16)</f>
        <v>6</v>
      </c>
      <c r="G16" s="14">
        <f>COUNTIF(경기기록Sheet!$Q:$U,B16)</f>
        <v>2</v>
      </c>
      <c r="H16" s="14">
        <f>COUNTIF(경기기록Sheet!$V:$V,B16)</f>
        <v>2</v>
      </c>
      <c r="I16" s="14">
        <f>SUM(D16:H16)</f>
        <v>16</v>
      </c>
      <c r="J16" s="15"/>
      <c r="K16" s="2">
        <v>13</v>
      </c>
      <c r="L16" s="21" t="s">
        <v>50</v>
      </c>
      <c r="M16" s="21">
        <f t="shared" si="0"/>
        <v>4</v>
      </c>
      <c r="N16" s="22" t="s">
        <v>230</v>
      </c>
      <c r="O16" s="22">
        <f t="shared" si="1"/>
        <v>4</v>
      </c>
      <c r="P16" s="23"/>
      <c r="Q16" s="23"/>
      <c r="R16" s="55" t="s">
        <v>241</v>
      </c>
      <c r="S16" s="55">
        <f t="shared" si="3"/>
        <v>9</v>
      </c>
      <c r="T16" s="56"/>
      <c r="U16" s="56"/>
    </row>
    <row r="17" spans="1:21" x14ac:dyDescent="0.25">
      <c r="A17" s="2">
        <f>종합Sheet!A17</f>
        <v>14</v>
      </c>
      <c r="B17" s="2" t="str">
        <f>종합Sheet!B17</f>
        <v>김기태</v>
      </c>
      <c r="C17" s="2">
        <f>((D17+E17+G17+H17)*0.2)+(F17*0.3)</f>
        <v>3.8000000000000003</v>
      </c>
      <c r="D17" s="14">
        <f>COUNTIF(경기기록Sheet!$E:$H,B17)</f>
        <v>10</v>
      </c>
      <c r="E17" s="14">
        <f>COUNTIF(경기기록Sheet!$I:$L,B17)</f>
        <v>7</v>
      </c>
      <c r="F17" s="14">
        <f>COUNTIF(경기기록Sheet!$M:$P,B17)</f>
        <v>0</v>
      </c>
      <c r="G17" s="14">
        <f>COUNTIF(경기기록Sheet!$Q:$U,B17)</f>
        <v>1</v>
      </c>
      <c r="H17" s="14">
        <f>COUNTIF(경기기록Sheet!$V:$V,B17)</f>
        <v>1</v>
      </c>
      <c r="I17" s="14">
        <f>SUM(D17:H17)</f>
        <v>19</v>
      </c>
      <c r="J17" s="15"/>
      <c r="K17" s="2">
        <v>14</v>
      </c>
      <c r="L17" s="21" t="s">
        <v>460</v>
      </c>
      <c r="M17" s="21">
        <f t="shared" si="0"/>
        <v>4</v>
      </c>
      <c r="N17" s="22"/>
      <c r="O17" s="22"/>
      <c r="P17" s="23"/>
      <c r="Q17" s="23"/>
      <c r="R17" s="55" t="s">
        <v>67</v>
      </c>
      <c r="S17" s="55">
        <f t="shared" si="3"/>
        <v>8</v>
      </c>
      <c r="T17" s="56"/>
      <c r="U17" s="56"/>
    </row>
    <row r="18" spans="1:21" x14ac:dyDescent="0.25">
      <c r="A18" s="2">
        <f>종합Sheet!A18</f>
        <v>15</v>
      </c>
      <c r="B18" s="2" t="str">
        <f>종합Sheet!B18</f>
        <v>김덕준</v>
      </c>
      <c r="C18" s="2">
        <f>((D18+E18+G18+H18)*0.2)+(F18*0.3)</f>
        <v>0</v>
      </c>
      <c r="D18" s="14">
        <f>COUNTIF(경기기록Sheet!$E:$H,B18)</f>
        <v>0</v>
      </c>
      <c r="E18" s="14">
        <f>COUNTIF(경기기록Sheet!$I:$L,B18)</f>
        <v>0</v>
      </c>
      <c r="F18" s="14">
        <f>COUNTIF(경기기록Sheet!$M:$P,B18)</f>
        <v>0</v>
      </c>
      <c r="G18" s="14">
        <f>COUNTIF(경기기록Sheet!$Q:$U,B18)</f>
        <v>0</v>
      </c>
      <c r="H18" s="14">
        <f>COUNTIF(경기기록Sheet!$V:$V,B18)</f>
        <v>0</v>
      </c>
      <c r="I18" s="14">
        <f>SUM(D18:H18)</f>
        <v>0</v>
      </c>
      <c r="J18" s="15"/>
      <c r="K18" s="2">
        <v>15</v>
      </c>
      <c r="L18" s="21" t="s">
        <v>382</v>
      </c>
      <c r="M18" s="21">
        <f t="shared" si="0"/>
        <v>4</v>
      </c>
      <c r="N18" s="22"/>
      <c r="O18" s="22"/>
      <c r="P18" s="23"/>
      <c r="Q18" s="23"/>
      <c r="R18" s="55"/>
      <c r="S18" s="55"/>
      <c r="T18" s="56"/>
      <c r="U18" s="56"/>
    </row>
    <row r="19" spans="1:21" x14ac:dyDescent="0.25">
      <c r="A19" s="2">
        <f>종합Sheet!A19</f>
        <v>16</v>
      </c>
      <c r="B19" s="2" t="str">
        <f>종합Sheet!B19</f>
        <v>김도원</v>
      </c>
      <c r="C19" s="2">
        <f>((D19+E19+G19+H19)*0.2)+(F19*0.3)</f>
        <v>0</v>
      </c>
      <c r="D19" s="14">
        <f>COUNTIF(경기기록Sheet!$E:$H,B19)</f>
        <v>0</v>
      </c>
      <c r="E19" s="14">
        <f>COUNTIF(경기기록Sheet!$I:$L,B19)</f>
        <v>0</v>
      </c>
      <c r="F19" s="14">
        <f>COUNTIF(경기기록Sheet!$M:$P,B19)</f>
        <v>0</v>
      </c>
      <c r="G19" s="14">
        <f>COUNTIF(경기기록Sheet!$Q:$U,B19)</f>
        <v>0</v>
      </c>
      <c r="H19" s="14">
        <f>COUNTIF(경기기록Sheet!$V:$V,B19)</f>
        <v>0</v>
      </c>
      <c r="I19" s="14">
        <f>SUM(D19:H19)</f>
        <v>0</v>
      </c>
      <c r="J19" s="15"/>
    </row>
    <row r="20" spans="1:21" x14ac:dyDescent="0.25">
      <c r="A20" s="2">
        <f>종합Sheet!A20</f>
        <v>17</v>
      </c>
      <c r="B20" s="2" t="str">
        <f>종합Sheet!B20</f>
        <v>김민섭</v>
      </c>
      <c r="C20" s="2">
        <f>((D20+E20+G20+H20)*0.2)+(F20*0.3)</f>
        <v>0.4</v>
      </c>
      <c r="D20" s="14">
        <f>COUNTIF(경기기록Sheet!$E:$H,B20)</f>
        <v>0</v>
      </c>
      <c r="E20" s="14">
        <f>COUNTIF(경기기록Sheet!$I:$L,B20)</f>
        <v>1</v>
      </c>
      <c r="F20" s="14">
        <f>COUNTIF(경기기록Sheet!$M:$P,B20)</f>
        <v>0</v>
      </c>
      <c r="G20" s="14">
        <f>COUNTIF(경기기록Sheet!$Q:$U,B20)</f>
        <v>1</v>
      </c>
      <c r="H20" s="14">
        <f>COUNTIF(경기기록Sheet!$V:$V,B20)</f>
        <v>0</v>
      </c>
      <c r="I20" s="14">
        <f>SUM(D20:H20)</f>
        <v>2</v>
      </c>
      <c r="J20" s="15"/>
    </row>
    <row r="21" spans="1:21" x14ac:dyDescent="0.25">
      <c r="A21" s="2">
        <f>종합Sheet!A21</f>
        <v>18</v>
      </c>
      <c r="B21" s="2" t="str">
        <f>종합Sheet!B21</f>
        <v>김민찬</v>
      </c>
      <c r="C21" s="2">
        <f>((D21+E21+G21+H21)*0.2)+(F21*0.3)</f>
        <v>0</v>
      </c>
      <c r="D21" s="14">
        <f>COUNTIF(경기기록Sheet!$E:$H,B21)</f>
        <v>0</v>
      </c>
      <c r="E21" s="14">
        <f>COUNTIF(경기기록Sheet!$I:$L,B21)</f>
        <v>0</v>
      </c>
      <c r="F21" s="14">
        <f>COUNTIF(경기기록Sheet!$M:$P,B21)</f>
        <v>0</v>
      </c>
      <c r="G21" s="14">
        <f>COUNTIF(경기기록Sheet!$Q:$U,B21)</f>
        <v>0</v>
      </c>
      <c r="H21" s="14">
        <f>COUNTIF(경기기록Sheet!$V:$V,B21)</f>
        <v>0</v>
      </c>
      <c r="I21" s="14">
        <f>SUM(D21:H21)</f>
        <v>0</v>
      </c>
      <c r="J21" s="15"/>
    </row>
    <row r="22" spans="1:21" x14ac:dyDescent="0.25">
      <c r="A22" s="2">
        <f>종합Sheet!A22</f>
        <v>19</v>
      </c>
      <c r="B22" s="2" t="str">
        <f>종합Sheet!B22</f>
        <v>김범기</v>
      </c>
      <c r="C22" s="2">
        <f>((D22+E22+G22+H22)*0.2)+(F22*0.3)</f>
        <v>0</v>
      </c>
      <c r="D22" s="14">
        <f>COUNTIF(경기기록Sheet!$E:$H,B22)</f>
        <v>0</v>
      </c>
      <c r="E22" s="14">
        <f>COUNTIF(경기기록Sheet!$I:$L,B22)</f>
        <v>0</v>
      </c>
      <c r="F22" s="14">
        <f>COUNTIF(경기기록Sheet!$M:$P,B22)</f>
        <v>0</v>
      </c>
      <c r="G22" s="14">
        <f>COUNTIF(경기기록Sheet!$Q:$U,B22)</f>
        <v>0</v>
      </c>
      <c r="H22" s="14">
        <f>COUNTIF(경기기록Sheet!$V:$V,B22)</f>
        <v>0</v>
      </c>
      <c r="I22" s="14">
        <f>SUM(D22:H22)</f>
        <v>0</v>
      </c>
      <c r="J22" s="15"/>
    </row>
    <row r="23" spans="1:21" x14ac:dyDescent="0.25">
      <c r="A23" s="2">
        <f>종합Sheet!A23</f>
        <v>20</v>
      </c>
      <c r="B23" s="2" t="str">
        <f>종합Sheet!B23</f>
        <v>김병준</v>
      </c>
      <c r="C23" s="2">
        <f>((D23+E23+G23+H23)*0.2)+(F23*0.3)</f>
        <v>0</v>
      </c>
      <c r="D23" s="14">
        <f>COUNTIF(경기기록Sheet!$E:$H,B23)</f>
        <v>0</v>
      </c>
      <c r="E23" s="14">
        <f>COUNTIF(경기기록Sheet!$I:$L,B23)</f>
        <v>0</v>
      </c>
      <c r="F23" s="14">
        <f>COUNTIF(경기기록Sheet!$M:$P,B23)</f>
        <v>0</v>
      </c>
      <c r="G23" s="14">
        <f>COUNTIF(경기기록Sheet!$Q:$U,B23)</f>
        <v>0</v>
      </c>
      <c r="H23" s="14">
        <f>COUNTIF(경기기록Sheet!$V:$V,B23)</f>
        <v>0</v>
      </c>
      <c r="I23" s="14">
        <f>SUM(D23:H23)</f>
        <v>0</v>
      </c>
      <c r="J23" s="15"/>
    </row>
    <row r="24" spans="1:21" x14ac:dyDescent="0.25">
      <c r="A24" s="2">
        <f>종합Sheet!A24</f>
        <v>21</v>
      </c>
      <c r="B24" s="2" t="str">
        <f>종합Sheet!B24</f>
        <v>김부건</v>
      </c>
      <c r="C24" s="2">
        <f>((D24+E24+G24+H24)*0.2)+(F24*0.3)</f>
        <v>1.3</v>
      </c>
      <c r="D24" s="14">
        <f>COUNTIF(경기기록Sheet!$E:$H,B24)</f>
        <v>2</v>
      </c>
      <c r="E24" s="14">
        <f>COUNTIF(경기기록Sheet!$I:$L,B24)</f>
        <v>2</v>
      </c>
      <c r="F24" s="14">
        <f>COUNTIF(경기기록Sheet!$M:$P,B24)</f>
        <v>1</v>
      </c>
      <c r="G24" s="14">
        <f>COUNTIF(경기기록Sheet!$Q:$U,B24)</f>
        <v>0</v>
      </c>
      <c r="H24" s="14">
        <f>COUNTIF(경기기록Sheet!$V:$V,B24)</f>
        <v>1</v>
      </c>
      <c r="I24" s="14">
        <f>SUM(D24:H24)</f>
        <v>6</v>
      </c>
      <c r="J24" s="15"/>
    </row>
    <row r="25" spans="1:21" x14ac:dyDescent="0.25">
      <c r="A25" s="2">
        <f>종합Sheet!A25</f>
        <v>22</v>
      </c>
      <c r="B25" s="2" t="str">
        <f>종합Sheet!B25</f>
        <v>김성수</v>
      </c>
      <c r="C25" s="2">
        <f>((D25+E25+G25+H25)*0.2)+(F25*0.3)</f>
        <v>2.9000000000000004</v>
      </c>
      <c r="D25" s="14">
        <f>COUNTIF(경기기록Sheet!$E:$H,B25)</f>
        <v>2</v>
      </c>
      <c r="E25" s="14">
        <f>COUNTIF(경기기록Sheet!$I:$L,B25)</f>
        <v>2</v>
      </c>
      <c r="F25" s="14">
        <f>COUNTIF(경기기록Sheet!$M:$P,B25)</f>
        <v>7</v>
      </c>
      <c r="G25" s="14">
        <f>COUNTIF(경기기록Sheet!$Q:$U,B25)</f>
        <v>0</v>
      </c>
      <c r="H25" s="14">
        <f>COUNTIF(경기기록Sheet!$V:$V,B25)</f>
        <v>0</v>
      </c>
      <c r="I25" s="14">
        <f>SUM(D25:H25)</f>
        <v>11</v>
      </c>
      <c r="J25" s="15"/>
    </row>
    <row r="26" spans="1:21" x14ac:dyDescent="0.25">
      <c r="A26" s="2">
        <f>종합Sheet!A26</f>
        <v>23</v>
      </c>
      <c r="B26" s="2" t="str">
        <f>종합Sheet!B26</f>
        <v>김성준</v>
      </c>
      <c r="C26" s="2">
        <f>((D26+E26+G26+H26)*0.2)+(F26*0.3)</f>
        <v>10.7</v>
      </c>
      <c r="D26" s="14">
        <f>COUNTIF(경기기록Sheet!$E:$H,B26)</f>
        <v>12</v>
      </c>
      <c r="E26" s="14">
        <f>COUNTIF(경기기록Sheet!$I:$L,B26)</f>
        <v>6</v>
      </c>
      <c r="F26" s="14">
        <f>COUNTIF(경기기록Sheet!$M:$P,B26)</f>
        <v>17</v>
      </c>
      <c r="G26" s="14">
        <f>COUNTIF(경기기록Sheet!$Q:$U,B26)</f>
        <v>9</v>
      </c>
      <c r="H26" s="14">
        <f>COUNTIF(경기기록Sheet!$V:$V,B26)</f>
        <v>1</v>
      </c>
      <c r="I26" s="14">
        <f>SUM(D26:H26)</f>
        <v>45</v>
      </c>
      <c r="J26" s="15"/>
    </row>
    <row r="27" spans="1:21" x14ac:dyDescent="0.25">
      <c r="A27" s="2">
        <f>종합Sheet!A27</f>
        <v>24</v>
      </c>
      <c r="B27" s="2" t="str">
        <f>종합Sheet!B27</f>
        <v>김송환</v>
      </c>
      <c r="C27" s="2">
        <f>((D27+E27+G27+H27)*0.2)+(F27*0.3)</f>
        <v>3.0999999999999996</v>
      </c>
      <c r="D27" s="14">
        <f>COUNTIF(경기기록Sheet!$E:$H,B27)</f>
        <v>0</v>
      </c>
      <c r="E27" s="14">
        <f>COUNTIF(경기기록Sheet!$I:$L,B27)</f>
        <v>1</v>
      </c>
      <c r="F27" s="14">
        <f>COUNTIF(경기기록Sheet!$M:$P,B27)</f>
        <v>9</v>
      </c>
      <c r="G27" s="14">
        <f>COUNTIF(경기기록Sheet!$Q:$U,B27)</f>
        <v>0</v>
      </c>
      <c r="H27" s="14">
        <f>COUNTIF(경기기록Sheet!$V:$V,B27)</f>
        <v>1</v>
      </c>
      <c r="I27" s="14">
        <f>SUM(D27:H27)</f>
        <v>11</v>
      </c>
      <c r="J27" s="15"/>
    </row>
    <row r="28" spans="1:21" x14ac:dyDescent="0.25">
      <c r="A28" s="2">
        <f>종합Sheet!A28</f>
        <v>25</v>
      </c>
      <c r="B28" s="2" t="str">
        <f>종합Sheet!B28</f>
        <v>김영태</v>
      </c>
      <c r="C28" s="2">
        <f>((D28+E28+G28+H28)*0.2)+(F28*0.3)</f>
        <v>0</v>
      </c>
      <c r="D28" s="14">
        <f>COUNTIF(경기기록Sheet!$E:$H,B28)</f>
        <v>0</v>
      </c>
      <c r="E28" s="14">
        <f>COUNTIF(경기기록Sheet!$I:$L,B28)</f>
        <v>0</v>
      </c>
      <c r="F28" s="14">
        <f>COUNTIF(경기기록Sheet!$M:$P,B28)</f>
        <v>0</v>
      </c>
      <c r="G28" s="14">
        <f>COUNTIF(경기기록Sheet!$Q:$U,B28)</f>
        <v>0</v>
      </c>
      <c r="H28" s="14">
        <f>COUNTIF(경기기록Sheet!$V:$V,B28)</f>
        <v>0</v>
      </c>
      <c r="I28" s="14">
        <f>SUM(D28:H28)</f>
        <v>0</v>
      </c>
      <c r="J28" s="15"/>
    </row>
    <row r="29" spans="1:21" x14ac:dyDescent="0.25">
      <c r="A29" s="2">
        <f>종합Sheet!A29</f>
        <v>26</v>
      </c>
      <c r="B29" s="2" t="str">
        <f>종합Sheet!B29</f>
        <v>김용빈</v>
      </c>
      <c r="C29" s="2">
        <f>((D29+E29+G29+H29)*0.2)+(F29*0.3)</f>
        <v>0</v>
      </c>
      <c r="D29" s="14">
        <f>COUNTIF(경기기록Sheet!$E:$H,B29)</f>
        <v>0</v>
      </c>
      <c r="E29" s="14">
        <f>COUNTIF(경기기록Sheet!$I:$L,B29)</f>
        <v>0</v>
      </c>
      <c r="F29" s="14">
        <f>COUNTIF(경기기록Sheet!$M:$P,B29)</f>
        <v>0</v>
      </c>
      <c r="G29" s="14">
        <f>COUNTIF(경기기록Sheet!$Q:$U,B29)</f>
        <v>0</v>
      </c>
      <c r="H29" s="14">
        <f>COUNTIF(경기기록Sheet!$V:$V,B29)</f>
        <v>0</v>
      </c>
      <c r="I29" s="14">
        <f>SUM(D29:H29)</f>
        <v>0</v>
      </c>
      <c r="J29" s="15"/>
    </row>
    <row r="30" spans="1:21" x14ac:dyDescent="0.25">
      <c r="A30" s="2">
        <f>종합Sheet!A30</f>
        <v>27</v>
      </c>
      <c r="B30" s="2" t="str">
        <f>종합Sheet!B30</f>
        <v>김용현</v>
      </c>
      <c r="C30" s="2">
        <f>((D30+E30+G30+H30)*0.2)+(F30*0.3)</f>
        <v>4.5999999999999996</v>
      </c>
      <c r="D30" s="14">
        <f>COUNTIF(경기기록Sheet!$E:$H,B30)</f>
        <v>2</v>
      </c>
      <c r="E30" s="14">
        <f>COUNTIF(경기기록Sheet!$I:$L,B30)</f>
        <v>8</v>
      </c>
      <c r="F30" s="14">
        <f>COUNTIF(경기기록Sheet!$M:$P,B30)</f>
        <v>8</v>
      </c>
      <c r="G30" s="14">
        <f>COUNTIF(경기기록Sheet!$Q:$U,B30)</f>
        <v>1</v>
      </c>
      <c r="H30" s="14">
        <f>COUNTIF(경기기록Sheet!$V:$V,B30)</f>
        <v>0</v>
      </c>
      <c r="I30" s="14">
        <f>SUM(D30:H30)</f>
        <v>19</v>
      </c>
      <c r="J30" s="15"/>
    </row>
    <row r="31" spans="1:21" x14ac:dyDescent="0.25">
      <c r="A31" s="2">
        <f>종합Sheet!A31</f>
        <v>28</v>
      </c>
      <c r="B31" s="2" t="str">
        <f>종합Sheet!B31</f>
        <v>김우인</v>
      </c>
      <c r="C31" s="2">
        <f>((D31+E31+G31+H31)*0.2)+(F31*0.3)</f>
        <v>5.6000000000000005</v>
      </c>
      <c r="D31" s="14">
        <f>COUNTIF(경기기록Sheet!$E:$H,B31)</f>
        <v>11</v>
      </c>
      <c r="E31" s="14">
        <f>COUNTIF(경기기록Sheet!$I:$L,B31)</f>
        <v>2</v>
      </c>
      <c r="F31" s="14">
        <f>COUNTIF(경기기록Sheet!$M:$P,B31)</f>
        <v>0</v>
      </c>
      <c r="G31" s="14">
        <f>COUNTIF(경기기록Sheet!$Q:$U,B31)</f>
        <v>3</v>
      </c>
      <c r="H31" s="14">
        <f>COUNTIF(경기기록Sheet!$V:$V,B31)</f>
        <v>12</v>
      </c>
      <c r="I31" s="14">
        <f>SUM(D31:H31)</f>
        <v>28</v>
      </c>
      <c r="J31" s="15"/>
    </row>
    <row r="32" spans="1:21" x14ac:dyDescent="0.25">
      <c r="A32" s="2">
        <f>종합Sheet!A32</f>
        <v>29</v>
      </c>
      <c r="B32" s="2" t="str">
        <f>종합Sheet!B32</f>
        <v>김종준</v>
      </c>
      <c r="C32" s="2">
        <f>((D32+E32+G32+H32)*0.2)+(F32*0.3)</f>
        <v>0.4</v>
      </c>
      <c r="D32" s="14">
        <f>COUNTIF(경기기록Sheet!$E:$H,B32)</f>
        <v>0</v>
      </c>
      <c r="E32" s="14">
        <f>COUNTIF(경기기록Sheet!$I:$L,B32)</f>
        <v>0</v>
      </c>
      <c r="F32" s="14">
        <f>COUNTIF(경기기록Sheet!$M:$P,B32)</f>
        <v>0</v>
      </c>
      <c r="G32" s="14">
        <f>COUNTIF(경기기록Sheet!$Q:$U,B32)</f>
        <v>2</v>
      </c>
      <c r="H32" s="14">
        <f>COUNTIF(경기기록Sheet!$V:$V,B32)</f>
        <v>0</v>
      </c>
      <c r="I32" s="14">
        <f>SUM(D32:H32)</f>
        <v>2</v>
      </c>
      <c r="J32" s="15"/>
    </row>
    <row r="33" spans="1:10" x14ac:dyDescent="0.25">
      <c r="A33" s="2">
        <f>종합Sheet!A33</f>
        <v>30</v>
      </c>
      <c r="B33" s="2" t="str">
        <f>종합Sheet!B33</f>
        <v>김종혁</v>
      </c>
      <c r="C33" s="2">
        <f>((D33+E33+G33+H33)*0.2)+(F33*0.3)</f>
        <v>4.5999999999999996</v>
      </c>
      <c r="D33" s="14">
        <f>COUNTIF(경기기록Sheet!$E:$H,B33)</f>
        <v>12</v>
      </c>
      <c r="E33" s="14">
        <f>COUNTIF(경기기록Sheet!$I:$L,B33)</f>
        <v>4</v>
      </c>
      <c r="F33" s="14">
        <f>COUNTIF(경기기록Sheet!$M:$P,B33)</f>
        <v>2</v>
      </c>
      <c r="G33" s="14">
        <f>COUNTIF(경기기록Sheet!$Q:$U,B33)</f>
        <v>1</v>
      </c>
      <c r="H33" s="14">
        <f>COUNTIF(경기기록Sheet!$V:$V,B33)</f>
        <v>3</v>
      </c>
      <c r="I33" s="14">
        <f>SUM(D33:H33)</f>
        <v>22</v>
      </c>
      <c r="J33" s="15"/>
    </row>
    <row r="34" spans="1:10" x14ac:dyDescent="0.25">
      <c r="A34" s="2">
        <f>종합Sheet!A34</f>
        <v>31</v>
      </c>
      <c r="B34" s="2" t="str">
        <f>종합Sheet!B34</f>
        <v>김진형</v>
      </c>
      <c r="C34" s="2">
        <f>((D34+E34+G34+H34)*0.2)+(F34*0.3)</f>
        <v>0</v>
      </c>
      <c r="D34" s="14">
        <f>COUNTIF(경기기록Sheet!$E:$H,B34)</f>
        <v>0</v>
      </c>
      <c r="E34" s="14">
        <f>COUNTIF(경기기록Sheet!$I:$L,B34)</f>
        <v>0</v>
      </c>
      <c r="F34" s="14">
        <f>COUNTIF(경기기록Sheet!$M:$P,B34)</f>
        <v>0</v>
      </c>
      <c r="G34" s="14">
        <f>COUNTIF(경기기록Sheet!$Q:$U,B34)</f>
        <v>0</v>
      </c>
      <c r="H34" s="14">
        <f>COUNTIF(경기기록Sheet!$V:$V,B34)</f>
        <v>0</v>
      </c>
      <c r="I34" s="14">
        <f>SUM(D34:H34)</f>
        <v>0</v>
      </c>
      <c r="J34" s="15"/>
    </row>
    <row r="35" spans="1:10" x14ac:dyDescent="0.25">
      <c r="A35" s="2">
        <f>종합Sheet!A35</f>
        <v>32</v>
      </c>
      <c r="B35" s="2" t="str">
        <f>종합Sheet!B35</f>
        <v>김진호</v>
      </c>
      <c r="C35" s="2">
        <f>((D35+E35+G35+H35)*0.2)+(F35*0.3)</f>
        <v>7.2</v>
      </c>
      <c r="D35" s="14">
        <f>COUNTIF(경기기록Sheet!$E:$H,B35)</f>
        <v>24</v>
      </c>
      <c r="E35" s="14">
        <f>COUNTIF(경기기록Sheet!$I:$L,B35)</f>
        <v>12</v>
      </c>
      <c r="F35" s="14">
        <f>COUNTIF(경기기록Sheet!$M:$P,B35)</f>
        <v>0</v>
      </c>
      <c r="G35" s="14">
        <f>COUNTIF(경기기록Sheet!$Q:$U,B35)</f>
        <v>0</v>
      </c>
      <c r="H35" s="14">
        <f>COUNTIF(경기기록Sheet!$V:$V,B35)</f>
        <v>0</v>
      </c>
      <c r="I35" s="14">
        <f>SUM(D35:H35)</f>
        <v>36</v>
      </c>
      <c r="J35" s="15"/>
    </row>
    <row r="36" spans="1:10" x14ac:dyDescent="0.25">
      <c r="A36" s="2">
        <f>종합Sheet!A36</f>
        <v>33</v>
      </c>
      <c r="B36" s="2" t="str">
        <f>종합Sheet!B36</f>
        <v>김태성</v>
      </c>
      <c r="C36" s="2">
        <f>((D36+E36+G36+H36)*0.2)+(F36*0.3)</f>
        <v>0.60000000000000009</v>
      </c>
      <c r="D36" s="14">
        <f>COUNTIF(경기기록Sheet!$E:$H,B36)</f>
        <v>1</v>
      </c>
      <c r="E36" s="14">
        <f>COUNTIF(경기기록Sheet!$I:$L,B36)</f>
        <v>2</v>
      </c>
      <c r="F36" s="14">
        <f>COUNTIF(경기기록Sheet!$M:$P,B36)</f>
        <v>0</v>
      </c>
      <c r="G36" s="14">
        <f>COUNTIF(경기기록Sheet!$Q:$U,B36)</f>
        <v>0</v>
      </c>
      <c r="H36" s="14">
        <f>COUNTIF(경기기록Sheet!$V:$V,B36)</f>
        <v>0</v>
      </c>
      <c r="I36" s="14">
        <f>SUM(D36:H36)</f>
        <v>3</v>
      </c>
      <c r="J36" s="15"/>
    </row>
    <row r="37" spans="1:10" x14ac:dyDescent="0.25">
      <c r="A37" s="2">
        <f>종합Sheet!A37</f>
        <v>34</v>
      </c>
      <c r="B37" s="2" t="str">
        <f>종합Sheet!B37</f>
        <v>김태양</v>
      </c>
      <c r="C37" s="2">
        <f>((D37+E37+G37+H37)*0.2)+(F37*0.3)</f>
        <v>0</v>
      </c>
      <c r="D37" s="14">
        <f>COUNTIF(경기기록Sheet!$E:$H,B37)</f>
        <v>0</v>
      </c>
      <c r="E37" s="14">
        <f>COUNTIF(경기기록Sheet!$I:$L,B37)</f>
        <v>0</v>
      </c>
      <c r="F37" s="14">
        <f>COUNTIF(경기기록Sheet!$M:$P,B37)</f>
        <v>0</v>
      </c>
      <c r="G37" s="14">
        <f>COUNTIF(경기기록Sheet!$Q:$U,B37)</f>
        <v>0</v>
      </c>
      <c r="H37" s="14">
        <f>COUNTIF(경기기록Sheet!$V:$V,B37)</f>
        <v>0</v>
      </c>
      <c r="I37" s="14">
        <f>SUM(D37:H37)</f>
        <v>0</v>
      </c>
      <c r="J37" s="15"/>
    </row>
    <row r="38" spans="1:10" x14ac:dyDescent="0.25">
      <c r="A38" s="2">
        <f>종합Sheet!A38</f>
        <v>35</v>
      </c>
      <c r="B38" s="2" t="str">
        <f>종합Sheet!B38</f>
        <v>김태완</v>
      </c>
      <c r="C38" s="2">
        <f>((D38+E38+G38+H38)*0.2)+(F38*0.3)</f>
        <v>0.4</v>
      </c>
      <c r="D38" s="14">
        <f>COUNTIF(경기기록Sheet!$E:$H,B38)</f>
        <v>0</v>
      </c>
      <c r="E38" s="14">
        <f>COUNTIF(경기기록Sheet!$I:$L,B38)</f>
        <v>0</v>
      </c>
      <c r="F38" s="14">
        <f>COUNTIF(경기기록Sheet!$M:$P,B38)</f>
        <v>0</v>
      </c>
      <c r="G38" s="14">
        <f>COUNTIF(경기기록Sheet!$Q:$U,B38)</f>
        <v>2</v>
      </c>
      <c r="H38" s="14">
        <f>COUNTIF(경기기록Sheet!$V:$V,B38)</f>
        <v>0</v>
      </c>
      <c r="I38" s="14">
        <f>SUM(D38:H38)</f>
        <v>2</v>
      </c>
      <c r="J38" s="15"/>
    </row>
    <row r="39" spans="1:10" x14ac:dyDescent="0.25">
      <c r="A39" s="2">
        <f>종합Sheet!A39</f>
        <v>36</v>
      </c>
      <c r="B39" s="2" t="str">
        <f>종합Sheet!B39</f>
        <v>김태호</v>
      </c>
      <c r="C39" s="2">
        <f>((D39+E39+G39+H39)*0.2)+(F39*0.3)</f>
        <v>0</v>
      </c>
      <c r="D39" s="14">
        <f>COUNTIF(경기기록Sheet!$E:$H,B39)</f>
        <v>0</v>
      </c>
      <c r="E39" s="14">
        <f>COUNTIF(경기기록Sheet!$I:$L,B39)</f>
        <v>0</v>
      </c>
      <c r="F39" s="14">
        <f>COUNTIF(경기기록Sheet!$M:$P,B39)</f>
        <v>0</v>
      </c>
      <c r="G39" s="14">
        <f>COUNTIF(경기기록Sheet!$Q:$U,B39)</f>
        <v>0</v>
      </c>
      <c r="H39" s="14">
        <f>COUNTIF(경기기록Sheet!$V:$V,B39)</f>
        <v>0</v>
      </c>
      <c r="I39" s="14">
        <f>SUM(D39:H39)</f>
        <v>0</v>
      </c>
      <c r="J39" s="15"/>
    </row>
    <row r="40" spans="1:10" x14ac:dyDescent="0.25">
      <c r="A40" s="2">
        <f>종합Sheet!A40</f>
        <v>37</v>
      </c>
      <c r="B40" s="2" t="str">
        <f>종합Sheet!B40</f>
        <v>김현우</v>
      </c>
      <c r="C40" s="2">
        <f>((D40+E40+G40+H40)*0.2)+(F40*0.3)</f>
        <v>0</v>
      </c>
      <c r="D40" s="14">
        <f>COUNTIF(경기기록Sheet!$E:$H,B40)</f>
        <v>0</v>
      </c>
      <c r="E40" s="14">
        <f>COUNTIF(경기기록Sheet!$I:$L,B40)</f>
        <v>0</v>
      </c>
      <c r="F40" s="14">
        <f>COUNTIF(경기기록Sheet!$M:$P,B40)</f>
        <v>0</v>
      </c>
      <c r="G40" s="14">
        <f>COUNTIF(경기기록Sheet!$Q:$U,B40)</f>
        <v>0</v>
      </c>
      <c r="H40" s="14">
        <f>COUNTIF(경기기록Sheet!$V:$V,B40)</f>
        <v>0</v>
      </c>
      <c r="I40" s="14">
        <f>SUM(D40:H40)</f>
        <v>0</v>
      </c>
      <c r="J40" s="15"/>
    </row>
    <row r="41" spans="1:10" x14ac:dyDescent="0.25">
      <c r="A41" s="2">
        <f>종합Sheet!A41</f>
        <v>38</v>
      </c>
      <c r="B41" s="2" t="str">
        <f>종합Sheet!B41</f>
        <v>김형원</v>
      </c>
      <c r="C41" s="2">
        <f>((D41+E41+G41+H41)*0.2)+(F41*0.3)</f>
        <v>0.4</v>
      </c>
      <c r="D41" s="14">
        <f>COUNTIF(경기기록Sheet!$E:$H,B41)</f>
        <v>0</v>
      </c>
      <c r="E41" s="14">
        <f>COUNTIF(경기기록Sheet!$I:$L,B41)</f>
        <v>0</v>
      </c>
      <c r="F41" s="14">
        <f>COUNTIF(경기기록Sheet!$M:$P,B41)</f>
        <v>0</v>
      </c>
      <c r="G41" s="14">
        <f>COUNTIF(경기기록Sheet!$Q:$U,B41)</f>
        <v>2</v>
      </c>
      <c r="H41" s="14">
        <f>COUNTIF(경기기록Sheet!$V:$V,B41)</f>
        <v>0</v>
      </c>
      <c r="I41" s="14">
        <f>SUM(D41:H41)</f>
        <v>2</v>
      </c>
      <c r="J41" s="15"/>
    </row>
    <row r="42" spans="1:10" x14ac:dyDescent="0.25">
      <c r="A42" s="2">
        <f>종합Sheet!A42</f>
        <v>39</v>
      </c>
      <c r="B42" s="2" t="str">
        <f>종합Sheet!B42</f>
        <v>노민준</v>
      </c>
      <c r="C42" s="2">
        <f>((D42+E42+G42+H42)*0.2)+(F42*0.3)</f>
        <v>4.8000000000000007</v>
      </c>
      <c r="D42" s="14">
        <f>COUNTIF(경기기록Sheet!$E:$H,B42)</f>
        <v>1</v>
      </c>
      <c r="E42" s="14">
        <f>COUNTIF(경기기록Sheet!$I:$L,B42)</f>
        <v>1</v>
      </c>
      <c r="F42" s="14">
        <f>COUNTIF(경기기록Sheet!$M:$P,B42)</f>
        <v>0</v>
      </c>
      <c r="G42" s="14">
        <f>COUNTIF(경기기록Sheet!$Q:$U,B42)</f>
        <v>18</v>
      </c>
      <c r="H42" s="14">
        <f>COUNTIF(경기기록Sheet!$V:$V,B42)</f>
        <v>4</v>
      </c>
      <c r="I42" s="14">
        <f>SUM(D42:H42)</f>
        <v>24</v>
      </c>
      <c r="J42" s="15"/>
    </row>
    <row r="43" spans="1:10" x14ac:dyDescent="0.25">
      <c r="A43" s="2">
        <f>종합Sheet!A43</f>
        <v>40</v>
      </c>
      <c r="B43" s="2" t="str">
        <f>종합Sheet!B43</f>
        <v>노성호</v>
      </c>
      <c r="C43" s="2">
        <f>((D43+E43+G43+H43)*0.2)+(F43*0.3)</f>
        <v>0.90000000000000013</v>
      </c>
      <c r="D43" s="14">
        <f>COUNTIF(경기기록Sheet!$E:$H,B43)</f>
        <v>1</v>
      </c>
      <c r="E43" s="14">
        <f>COUNTIF(경기기록Sheet!$I:$L,B43)</f>
        <v>2</v>
      </c>
      <c r="F43" s="14">
        <f>COUNTIF(경기기록Sheet!$M:$P,B43)</f>
        <v>1</v>
      </c>
      <c r="G43" s="14">
        <f>COUNTIF(경기기록Sheet!$Q:$U,B43)</f>
        <v>0</v>
      </c>
      <c r="H43" s="14">
        <f>COUNTIF(경기기록Sheet!$V:$V,B43)</f>
        <v>0</v>
      </c>
      <c r="I43" s="14">
        <f>SUM(D43:H43)</f>
        <v>4</v>
      </c>
      <c r="J43" s="15"/>
    </row>
    <row r="44" spans="1:10" x14ac:dyDescent="0.25">
      <c r="A44" s="2">
        <f>종합Sheet!A44</f>
        <v>41</v>
      </c>
      <c r="B44" s="2" t="str">
        <f>종합Sheet!B44</f>
        <v>류서진</v>
      </c>
      <c r="C44" s="2">
        <f>((D44+E44+G44+H44)*0.2)+(F44*0.3)</f>
        <v>3.6000000000000005</v>
      </c>
      <c r="D44" s="14">
        <f>COUNTIF(경기기록Sheet!$E:$H,B44)</f>
        <v>9</v>
      </c>
      <c r="E44" s="14">
        <f>COUNTIF(경기기록Sheet!$I:$L,B44)</f>
        <v>2</v>
      </c>
      <c r="F44" s="14">
        <f>COUNTIF(경기기록Sheet!$M:$P,B44)</f>
        <v>4</v>
      </c>
      <c r="G44" s="14">
        <f>COUNTIF(경기기록Sheet!$Q:$U,B44)</f>
        <v>1</v>
      </c>
      <c r="H44" s="14">
        <f>COUNTIF(경기기록Sheet!$V:$V,B44)</f>
        <v>0</v>
      </c>
      <c r="I44" s="14">
        <f>SUM(D44:H44)</f>
        <v>16</v>
      </c>
      <c r="J44" s="15"/>
    </row>
    <row r="45" spans="1:10" x14ac:dyDescent="0.25">
      <c r="A45" s="2">
        <f>종합Sheet!A45</f>
        <v>42</v>
      </c>
      <c r="B45" s="2" t="str">
        <f>종합Sheet!B45</f>
        <v>마창기</v>
      </c>
      <c r="C45" s="2">
        <f>((D45+E45+G45+H45)*0.2)+(F45*0.3)</f>
        <v>0</v>
      </c>
      <c r="D45" s="14">
        <f>COUNTIF(경기기록Sheet!$E:$H,B45)</f>
        <v>0</v>
      </c>
      <c r="E45" s="14">
        <f>COUNTIF(경기기록Sheet!$I:$L,B45)</f>
        <v>0</v>
      </c>
      <c r="F45" s="14">
        <f>COUNTIF(경기기록Sheet!$M:$P,B45)</f>
        <v>0</v>
      </c>
      <c r="G45" s="14">
        <f>COUNTIF(경기기록Sheet!$Q:$U,B45)</f>
        <v>0</v>
      </c>
      <c r="H45" s="14">
        <f>COUNTIF(경기기록Sheet!$V:$V,B45)</f>
        <v>0</v>
      </c>
      <c r="I45" s="14">
        <f>SUM(D45:H45)</f>
        <v>0</v>
      </c>
      <c r="J45" s="15"/>
    </row>
    <row r="46" spans="1:10" x14ac:dyDescent="0.25">
      <c r="A46" s="2">
        <f>종합Sheet!A46</f>
        <v>43</v>
      </c>
      <c r="B46" s="2" t="str">
        <f>종합Sheet!B46</f>
        <v>문준수</v>
      </c>
      <c r="C46" s="2">
        <f>((D46+E46+G46+H46)*0.2)+(F46*0.3)</f>
        <v>3.6</v>
      </c>
      <c r="D46" s="14">
        <f>COUNTIF(경기기록Sheet!$E:$H,B46)</f>
        <v>1</v>
      </c>
      <c r="E46" s="14">
        <f>COUNTIF(경기기록Sheet!$I:$L,B46)</f>
        <v>0</v>
      </c>
      <c r="F46" s="14">
        <f>COUNTIF(경기기록Sheet!$M:$P,B46)</f>
        <v>0</v>
      </c>
      <c r="G46" s="14">
        <f>COUNTIF(경기기록Sheet!$Q:$U,B46)</f>
        <v>16</v>
      </c>
      <c r="H46" s="14">
        <f>COUNTIF(경기기록Sheet!$V:$V,B46)</f>
        <v>1</v>
      </c>
      <c r="I46" s="14">
        <f>SUM(D46:H46)</f>
        <v>18</v>
      </c>
      <c r="J46" s="15"/>
    </row>
    <row r="47" spans="1:10" x14ac:dyDescent="0.25">
      <c r="A47" s="2">
        <f>종합Sheet!A47</f>
        <v>44</v>
      </c>
      <c r="B47" s="2" t="str">
        <f>종합Sheet!B47</f>
        <v>민건호</v>
      </c>
      <c r="C47" s="2">
        <f>((D47+E47+G47+H47)*0.2)+(F47*0.3)</f>
        <v>0.5</v>
      </c>
      <c r="D47" s="14">
        <f>COUNTIF(경기기록Sheet!$E:$H,B47)</f>
        <v>0</v>
      </c>
      <c r="E47" s="14">
        <f>COUNTIF(경기기록Sheet!$I:$L,B47)</f>
        <v>0</v>
      </c>
      <c r="F47" s="14">
        <f>COUNTIF(경기기록Sheet!$M:$P,B47)</f>
        <v>1</v>
      </c>
      <c r="G47" s="14">
        <f>COUNTIF(경기기록Sheet!$Q:$U,B47)</f>
        <v>1</v>
      </c>
      <c r="H47" s="14">
        <f>COUNTIF(경기기록Sheet!$V:$V,B47)</f>
        <v>0</v>
      </c>
      <c r="I47" s="14">
        <f>SUM(D47:H47)</f>
        <v>2</v>
      </c>
      <c r="J47" s="15"/>
    </row>
    <row r="48" spans="1:10" x14ac:dyDescent="0.25">
      <c r="A48" s="2">
        <f>종합Sheet!A48</f>
        <v>45</v>
      </c>
      <c r="B48" s="2" t="str">
        <f>종합Sheet!B48</f>
        <v>박수천</v>
      </c>
      <c r="C48" s="2">
        <f>((D48+E48+G48+H48)*0.2)+(F48*0.3)</f>
        <v>0</v>
      </c>
      <c r="D48" s="14">
        <f>COUNTIF(경기기록Sheet!$E:$H,B48)</f>
        <v>0</v>
      </c>
      <c r="E48" s="14">
        <f>COUNTIF(경기기록Sheet!$I:$L,B48)</f>
        <v>0</v>
      </c>
      <c r="F48" s="14">
        <f>COUNTIF(경기기록Sheet!$M:$P,B48)</f>
        <v>0</v>
      </c>
      <c r="G48" s="14">
        <f>COUNTIF(경기기록Sheet!$Q:$U,B48)</f>
        <v>0</v>
      </c>
      <c r="H48" s="14">
        <f>COUNTIF(경기기록Sheet!$V:$V,B48)</f>
        <v>0</v>
      </c>
      <c r="I48" s="14">
        <f>SUM(D48:H48)</f>
        <v>0</v>
      </c>
      <c r="J48" s="15"/>
    </row>
    <row r="49" spans="1:10" x14ac:dyDescent="0.25">
      <c r="A49" s="2">
        <f>종합Sheet!A49</f>
        <v>46</v>
      </c>
      <c r="B49" s="2" t="str">
        <f>종합Sheet!B49</f>
        <v>박정호</v>
      </c>
      <c r="C49" s="2">
        <f>((D49+E49+G49+H49)*0.2)+(F49*0.3)</f>
        <v>0</v>
      </c>
      <c r="D49" s="14">
        <f>COUNTIF(경기기록Sheet!$E:$H,B49)</f>
        <v>0</v>
      </c>
      <c r="E49" s="14">
        <f>COUNTIF(경기기록Sheet!$I:$L,B49)</f>
        <v>0</v>
      </c>
      <c r="F49" s="14">
        <f>COUNTIF(경기기록Sheet!$M:$P,B49)</f>
        <v>0</v>
      </c>
      <c r="G49" s="14">
        <f>COUNTIF(경기기록Sheet!$Q:$U,B49)</f>
        <v>0</v>
      </c>
      <c r="H49" s="14">
        <f>COUNTIF(경기기록Sheet!$V:$V,B49)</f>
        <v>0</v>
      </c>
      <c r="I49" s="14">
        <f>SUM(D49:H49)</f>
        <v>0</v>
      </c>
      <c r="J49" s="15"/>
    </row>
    <row r="50" spans="1:10" x14ac:dyDescent="0.25">
      <c r="A50" s="2">
        <f>종합Sheet!A50</f>
        <v>47</v>
      </c>
      <c r="B50" s="2" t="str">
        <f>종합Sheet!B50</f>
        <v>박주연</v>
      </c>
      <c r="C50" s="2">
        <f>((D50+E50+G50+H50)*0.2)+(F50*0.3)</f>
        <v>2.4000000000000004</v>
      </c>
      <c r="D50" s="14">
        <f>COUNTIF(경기기록Sheet!$E:$H,B50)</f>
        <v>1</v>
      </c>
      <c r="E50" s="14">
        <f>COUNTIF(경기기록Sheet!$I:$L,B50)</f>
        <v>2</v>
      </c>
      <c r="F50" s="14">
        <f>COUNTIF(경기기록Sheet!$M:$P,B50)</f>
        <v>0</v>
      </c>
      <c r="G50" s="14">
        <f>COUNTIF(경기기록Sheet!$Q:$U,B50)</f>
        <v>9</v>
      </c>
      <c r="H50" s="14">
        <f>COUNTIF(경기기록Sheet!$V:$V,B50)</f>
        <v>0</v>
      </c>
      <c r="I50" s="14">
        <f>SUM(D50:H50)</f>
        <v>12</v>
      </c>
      <c r="J50" s="15"/>
    </row>
    <row r="51" spans="1:10" x14ac:dyDescent="0.25">
      <c r="A51" s="2">
        <f>종합Sheet!A51</f>
        <v>48</v>
      </c>
      <c r="B51" s="2" t="str">
        <f>종합Sheet!B51</f>
        <v>박주현</v>
      </c>
      <c r="C51" s="2">
        <f>((D51+E51+G51+H51)*0.2)+(F51*0.3)</f>
        <v>0</v>
      </c>
      <c r="D51" s="14">
        <f>COUNTIF(경기기록Sheet!$E:$H,B51)</f>
        <v>0</v>
      </c>
      <c r="E51" s="14">
        <f>COUNTIF(경기기록Sheet!$I:$L,B51)</f>
        <v>0</v>
      </c>
      <c r="F51" s="14">
        <f>COUNTIF(경기기록Sheet!$M:$P,B51)</f>
        <v>0</v>
      </c>
      <c r="G51" s="14">
        <f>COUNTIF(경기기록Sheet!$Q:$U,B51)</f>
        <v>0</v>
      </c>
      <c r="H51" s="14">
        <f>COUNTIF(경기기록Sheet!$V:$V,B51)</f>
        <v>0</v>
      </c>
      <c r="I51" s="14">
        <f>SUM(D51:H51)</f>
        <v>0</v>
      </c>
      <c r="J51" s="15"/>
    </row>
    <row r="52" spans="1:10" x14ac:dyDescent="0.25">
      <c r="A52" s="2">
        <f>종합Sheet!A52</f>
        <v>49</v>
      </c>
      <c r="B52" s="2" t="str">
        <f>종합Sheet!B52</f>
        <v>박준영</v>
      </c>
      <c r="C52" s="2">
        <f>((D52+E52+G52+H52)*0.2)+(F52*0.3)</f>
        <v>0.4</v>
      </c>
      <c r="D52" s="14">
        <f>COUNTIF(경기기록Sheet!$E:$H,B52)</f>
        <v>0</v>
      </c>
      <c r="E52" s="14">
        <f>COUNTIF(경기기록Sheet!$I:$L,B52)</f>
        <v>0</v>
      </c>
      <c r="F52" s="14">
        <f>COUNTIF(경기기록Sheet!$M:$P,B52)</f>
        <v>0</v>
      </c>
      <c r="G52" s="14">
        <f>COUNTIF(경기기록Sheet!$Q:$U,B52)</f>
        <v>2</v>
      </c>
      <c r="H52" s="14">
        <f>COUNTIF(경기기록Sheet!$V:$V,B52)</f>
        <v>0</v>
      </c>
      <c r="I52" s="14">
        <f>SUM(D52:H52)</f>
        <v>2</v>
      </c>
      <c r="J52" s="15"/>
    </row>
    <row r="53" spans="1:10" x14ac:dyDescent="0.25">
      <c r="A53" s="2">
        <f>종합Sheet!A53</f>
        <v>50</v>
      </c>
      <c r="B53" s="2" t="str">
        <f>종합Sheet!B53</f>
        <v>박태현</v>
      </c>
      <c r="C53" s="2">
        <f>((D53+E53+G53+H53)*0.2)+(F53*0.3)</f>
        <v>0.4</v>
      </c>
      <c r="D53" s="14">
        <f>COUNTIF(경기기록Sheet!$E:$H,B53)</f>
        <v>0</v>
      </c>
      <c r="E53" s="14">
        <f>COUNTIF(경기기록Sheet!$I:$L,B53)</f>
        <v>2</v>
      </c>
      <c r="F53" s="14">
        <f>COUNTIF(경기기록Sheet!$M:$P,B53)</f>
        <v>0</v>
      </c>
      <c r="G53" s="14">
        <f>COUNTIF(경기기록Sheet!$Q:$U,B53)</f>
        <v>0</v>
      </c>
      <c r="H53" s="14">
        <f>COUNTIF(경기기록Sheet!$V:$V,B53)</f>
        <v>0</v>
      </c>
      <c r="I53" s="14">
        <f>SUM(D53:H53)</f>
        <v>2</v>
      </c>
      <c r="J53" s="15"/>
    </row>
    <row r="54" spans="1:10" x14ac:dyDescent="0.25">
      <c r="A54" s="2">
        <f>종합Sheet!A54</f>
        <v>51</v>
      </c>
      <c r="B54" s="2" t="str">
        <f>종합Sheet!B54</f>
        <v>박하빈</v>
      </c>
      <c r="C54" s="2">
        <f>((D54+E54+G54+H54)*0.2)+(F54*0.3)</f>
        <v>0</v>
      </c>
      <c r="D54" s="14">
        <f>COUNTIF(경기기록Sheet!$E:$H,B54)</f>
        <v>0</v>
      </c>
      <c r="E54" s="14">
        <f>COUNTIF(경기기록Sheet!$I:$L,B54)</f>
        <v>0</v>
      </c>
      <c r="F54" s="14">
        <f>COUNTIF(경기기록Sheet!$M:$P,B54)</f>
        <v>0</v>
      </c>
      <c r="G54" s="14">
        <f>COUNTIF(경기기록Sheet!$Q:$U,B54)</f>
        <v>0</v>
      </c>
      <c r="H54" s="14">
        <f>COUNTIF(경기기록Sheet!$V:$V,B54)</f>
        <v>0</v>
      </c>
      <c r="I54" s="14">
        <f>SUM(D54:H54)</f>
        <v>0</v>
      </c>
      <c r="J54" s="15"/>
    </row>
    <row r="55" spans="1:10" x14ac:dyDescent="0.25">
      <c r="A55" s="2">
        <f>종합Sheet!A55</f>
        <v>52</v>
      </c>
      <c r="B55" s="2" t="str">
        <f>종합Sheet!B55</f>
        <v>박형기</v>
      </c>
      <c r="C55" s="2">
        <f>((D55+E55+G55+H55)*0.2)+(F55*0.3)</f>
        <v>0</v>
      </c>
      <c r="D55" s="14">
        <f>COUNTIF(경기기록Sheet!$E:$H,B55)</f>
        <v>0</v>
      </c>
      <c r="E55" s="14">
        <f>COUNTIF(경기기록Sheet!$I:$L,B55)</f>
        <v>0</v>
      </c>
      <c r="F55" s="14">
        <f>COUNTIF(경기기록Sheet!$M:$P,B55)</f>
        <v>0</v>
      </c>
      <c r="G55" s="14">
        <f>COUNTIF(경기기록Sheet!$Q:$U,B55)</f>
        <v>0</v>
      </c>
      <c r="H55" s="14">
        <f>COUNTIF(경기기록Sheet!$V:$V,B55)</f>
        <v>0</v>
      </c>
      <c r="I55" s="14">
        <f>SUM(D55:H55)</f>
        <v>0</v>
      </c>
      <c r="J55" s="15"/>
    </row>
    <row r="56" spans="1:10" x14ac:dyDescent="0.25">
      <c r="A56" s="2">
        <f>종합Sheet!A56</f>
        <v>53</v>
      </c>
      <c r="B56" s="2" t="str">
        <f>종합Sheet!B56</f>
        <v>손경호</v>
      </c>
      <c r="C56" s="2">
        <f>((D56+E56+G56+H56)*0.2)+(F56*0.3)</f>
        <v>3.6</v>
      </c>
      <c r="D56" s="14">
        <f>COUNTIF(경기기록Sheet!$E:$H,B56)</f>
        <v>5</v>
      </c>
      <c r="E56" s="14">
        <f>COUNTIF(경기기록Sheet!$I:$L,B56)</f>
        <v>2</v>
      </c>
      <c r="F56" s="14">
        <f>COUNTIF(경기기록Sheet!$M:$P,B56)</f>
        <v>0</v>
      </c>
      <c r="G56" s="14">
        <f>COUNTIF(경기기록Sheet!$Q:$U,B56)</f>
        <v>6</v>
      </c>
      <c r="H56" s="14">
        <f>COUNTIF(경기기록Sheet!$V:$V,B56)</f>
        <v>5</v>
      </c>
      <c r="I56" s="14">
        <f>SUM(D56:H56)</f>
        <v>18</v>
      </c>
      <c r="J56" s="15"/>
    </row>
    <row r="57" spans="1:10" x14ac:dyDescent="0.25">
      <c r="A57" s="2">
        <f>종합Sheet!A57</f>
        <v>54</v>
      </c>
      <c r="B57" s="2" t="str">
        <f>종합Sheet!B57</f>
        <v>송윤상</v>
      </c>
      <c r="C57" s="2">
        <f>((D57+E57+G57+H57)*0.2)+(F57*0.3)</f>
        <v>1.2</v>
      </c>
      <c r="D57" s="14">
        <f>COUNTIF(경기기록Sheet!$E:$H,B57)</f>
        <v>0</v>
      </c>
      <c r="E57" s="14">
        <f>COUNTIF(경기기록Sheet!$I:$L,B57)</f>
        <v>0</v>
      </c>
      <c r="F57" s="14">
        <f>COUNTIF(경기기록Sheet!$M:$P,B57)</f>
        <v>4</v>
      </c>
      <c r="G57" s="14">
        <f>COUNTIF(경기기록Sheet!$Q:$U,B57)</f>
        <v>0</v>
      </c>
      <c r="H57" s="14">
        <f>COUNTIF(경기기록Sheet!$V:$V,B57)</f>
        <v>0</v>
      </c>
      <c r="I57" s="14">
        <f>SUM(D57:H57)</f>
        <v>4</v>
      </c>
      <c r="J57" s="15"/>
    </row>
    <row r="58" spans="1:10" x14ac:dyDescent="0.25">
      <c r="A58" s="2">
        <f>종합Sheet!A58</f>
        <v>55</v>
      </c>
      <c r="B58" s="2" t="str">
        <f>종합Sheet!B58</f>
        <v>신기웅</v>
      </c>
      <c r="C58" s="2">
        <f>((D58+E58+G58+H58)*0.2)+(F58*0.3)</f>
        <v>2.1</v>
      </c>
      <c r="D58" s="14">
        <f>COUNTIF(경기기록Sheet!$E:$H,B58)</f>
        <v>4</v>
      </c>
      <c r="E58" s="14">
        <f>COUNTIF(경기기록Sheet!$I:$L,B58)</f>
        <v>0</v>
      </c>
      <c r="F58" s="14">
        <f>COUNTIF(경기기록Sheet!$M:$P,B58)</f>
        <v>1</v>
      </c>
      <c r="G58" s="14">
        <f>COUNTIF(경기기록Sheet!$Q:$U,B58)</f>
        <v>5</v>
      </c>
      <c r="H58" s="14">
        <f>COUNTIF(경기기록Sheet!$V:$V,B58)</f>
        <v>0</v>
      </c>
      <c r="I58" s="14">
        <f>SUM(D58:H58)</f>
        <v>10</v>
      </c>
      <c r="J58" s="15"/>
    </row>
    <row r="59" spans="1:10" x14ac:dyDescent="0.25">
      <c r="A59" s="2">
        <f>종합Sheet!A59</f>
        <v>56</v>
      </c>
      <c r="B59" s="2" t="str">
        <f>종합Sheet!B59</f>
        <v>신종훈</v>
      </c>
      <c r="C59" s="2">
        <f>((D59+E59+G59+H59)*0.2)+(F59*0.3)</f>
        <v>0</v>
      </c>
      <c r="D59" s="14">
        <f>COUNTIF(경기기록Sheet!$E:$H,B59)</f>
        <v>0</v>
      </c>
      <c r="E59" s="14">
        <f>COUNTIF(경기기록Sheet!$I:$L,B59)</f>
        <v>0</v>
      </c>
      <c r="F59" s="14">
        <f>COUNTIF(경기기록Sheet!$M:$P,B59)</f>
        <v>0</v>
      </c>
      <c r="G59" s="14">
        <f>COUNTIF(경기기록Sheet!$Q:$U,B59)</f>
        <v>0</v>
      </c>
      <c r="H59" s="14">
        <f>COUNTIF(경기기록Sheet!$V:$V,B59)</f>
        <v>0</v>
      </c>
      <c r="I59" s="14">
        <f>SUM(D59:H59)</f>
        <v>0</v>
      </c>
      <c r="J59" s="15"/>
    </row>
    <row r="60" spans="1:10" x14ac:dyDescent="0.25">
      <c r="A60" s="2">
        <f>종합Sheet!A60</f>
        <v>57</v>
      </c>
      <c r="B60" s="2" t="str">
        <f>종합Sheet!B60</f>
        <v>안진혁</v>
      </c>
      <c r="C60" s="2">
        <f>((D60+E60+G60+H60)*0.2)+(F60*0.3)</f>
        <v>0.8</v>
      </c>
      <c r="D60" s="14">
        <f>COUNTIF(경기기록Sheet!$E:$H,B60)</f>
        <v>0</v>
      </c>
      <c r="E60" s="14">
        <f>COUNTIF(경기기록Sheet!$I:$L,B60)</f>
        <v>0</v>
      </c>
      <c r="F60" s="14">
        <f>COUNTIF(경기기록Sheet!$M:$P,B60)</f>
        <v>0</v>
      </c>
      <c r="G60" s="14">
        <f>COUNTIF(경기기록Sheet!$Q:$U,B60)</f>
        <v>4</v>
      </c>
      <c r="H60" s="14">
        <f>COUNTIF(경기기록Sheet!$V:$V,B60)</f>
        <v>0</v>
      </c>
      <c r="I60" s="14">
        <f>SUM(D60:H60)</f>
        <v>4</v>
      </c>
      <c r="J60" s="15"/>
    </row>
    <row r="61" spans="1:10" x14ac:dyDescent="0.25">
      <c r="A61" s="2">
        <f>종합Sheet!A61</f>
        <v>58</v>
      </c>
      <c r="B61" s="2" t="str">
        <f>종합Sheet!B61</f>
        <v>양진웅</v>
      </c>
      <c r="C61" s="2">
        <f>((D61+E61+G61+H61)*0.2)+(F61*0.3)</f>
        <v>2</v>
      </c>
      <c r="D61" s="14">
        <f>COUNTIF(경기기록Sheet!$E:$H,B61)</f>
        <v>0</v>
      </c>
      <c r="E61" s="14">
        <f>COUNTIF(경기기록Sheet!$I:$L,B61)</f>
        <v>2</v>
      </c>
      <c r="F61" s="14">
        <f>COUNTIF(경기기록Sheet!$M:$P,B61)</f>
        <v>4</v>
      </c>
      <c r="G61" s="14">
        <f>COUNTIF(경기기록Sheet!$Q:$U,B61)</f>
        <v>1</v>
      </c>
      <c r="H61" s="14">
        <f>COUNTIF(경기기록Sheet!$V:$V,B61)</f>
        <v>1</v>
      </c>
      <c r="I61" s="14">
        <f>SUM(D61:H61)</f>
        <v>8</v>
      </c>
      <c r="J61" s="15"/>
    </row>
    <row r="62" spans="1:10" x14ac:dyDescent="0.25">
      <c r="A62" s="2">
        <f>종합Sheet!A62</f>
        <v>59</v>
      </c>
      <c r="B62" s="2" t="str">
        <f>종합Sheet!B62</f>
        <v>오상준</v>
      </c>
      <c r="C62" s="2">
        <f>((D62+E62+G62+H62)*0.2)+(F62*0.3)</f>
        <v>3.7</v>
      </c>
      <c r="D62" s="14">
        <f>COUNTIF(경기기록Sheet!$E:$H,B62)</f>
        <v>3</v>
      </c>
      <c r="E62" s="14">
        <f>COUNTIF(경기기록Sheet!$I:$L,B62)</f>
        <v>4</v>
      </c>
      <c r="F62" s="14">
        <f>COUNTIF(경기기록Sheet!$M:$P,B62)</f>
        <v>7</v>
      </c>
      <c r="G62" s="14">
        <f>COUNTIF(경기기록Sheet!$Q:$U,B62)</f>
        <v>1</v>
      </c>
      <c r="H62" s="14">
        <f>COUNTIF(경기기록Sheet!$V:$V,B62)</f>
        <v>0</v>
      </c>
      <c r="I62" s="14">
        <f>SUM(D62:H62)</f>
        <v>15</v>
      </c>
      <c r="J62" s="15"/>
    </row>
    <row r="63" spans="1:10" x14ac:dyDescent="0.25">
      <c r="A63" s="2">
        <f>종합Sheet!A63</f>
        <v>60</v>
      </c>
      <c r="B63" s="2" t="str">
        <f>종합Sheet!B63</f>
        <v>오성찬</v>
      </c>
      <c r="C63" s="2">
        <f>((D63+E63+G63+H63)*0.2)+(F63*0.3)</f>
        <v>0.3</v>
      </c>
      <c r="D63" s="14">
        <f>COUNTIF(경기기록Sheet!$E:$H,B63)</f>
        <v>0</v>
      </c>
      <c r="E63" s="14">
        <f>COUNTIF(경기기록Sheet!$I:$L,B63)</f>
        <v>0</v>
      </c>
      <c r="F63" s="14">
        <f>COUNTIF(경기기록Sheet!$M:$P,B63)</f>
        <v>1</v>
      </c>
      <c r="G63" s="14">
        <f>COUNTIF(경기기록Sheet!$Q:$U,B63)</f>
        <v>0</v>
      </c>
      <c r="H63" s="14">
        <f>COUNTIF(경기기록Sheet!$V:$V,B63)</f>
        <v>0</v>
      </c>
      <c r="I63" s="14">
        <f>SUM(D63:H63)</f>
        <v>1</v>
      </c>
      <c r="J63" s="15"/>
    </row>
    <row r="64" spans="1:10" x14ac:dyDescent="0.25">
      <c r="A64" s="2">
        <f>종합Sheet!A64</f>
        <v>61</v>
      </c>
      <c r="B64" s="2" t="str">
        <f>종합Sheet!B64</f>
        <v>오우영</v>
      </c>
      <c r="C64" s="2">
        <f>((D64+E64+G64+H64)*0.2)+(F64*0.3)</f>
        <v>2.9000000000000004</v>
      </c>
      <c r="D64" s="14">
        <f>COUNTIF(경기기록Sheet!$E:$H,B64)</f>
        <v>2</v>
      </c>
      <c r="E64" s="14">
        <f>COUNTIF(경기기록Sheet!$I:$L,B64)</f>
        <v>5</v>
      </c>
      <c r="F64" s="14">
        <f>COUNTIF(경기기록Sheet!$M:$P,B64)</f>
        <v>5</v>
      </c>
      <c r="G64" s="14">
        <f>COUNTIF(경기기록Sheet!$Q:$U,B64)</f>
        <v>0</v>
      </c>
      <c r="H64" s="14">
        <f>COUNTIF(경기기록Sheet!$V:$V,B64)</f>
        <v>0</v>
      </c>
      <c r="I64" s="14">
        <f>SUM(D64:H64)</f>
        <v>12</v>
      </c>
      <c r="J64" s="15"/>
    </row>
    <row r="65" spans="1:10" x14ac:dyDescent="0.25">
      <c r="A65" s="2">
        <f>종합Sheet!A65</f>
        <v>62</v>
      </c>
      <c r="B65" s="2" t="str">
        <f>종합Sheet!B65</f>
        <v>오운용</v>
      </c>
      <c r="C65" s="2">
        <f>((D65+E65+G65+H65)*0.2)+(F65*0.3)</f>
        <v>0</v>
      </c>
      <c r="D65" s="14">
        <f>COUNTIF(경기기록Sheet!$E:$H,B65)</f>
        <v>0</v>
      </c>
      <c r="E65" s="14">
        <f>COUNTIF(경기기록Sheet!$I:$L,B65)</f>
        <v>0</v>
      </c>
      <c r="F65" s="14">
        <f>COUNTIF(경기기록Sheet!$M:$P,B65)</f>
        <v>0</v>
      </c>
      <c r="G65" s="14">
        <f>COUNTIF(경기기록Sheet!$Q:$U,B65)</f>
        <v>0</v>
      </c>
      <c r="H65" s="14">
        <f>COUNTIF(경기기록Sheet!$V:$V,B65)</f>
        <v>0</v>
      </c>
      <c r="I65" s="14">
        <f>SUM(D65:H65)</f>
        <v>0</v>
      </c>
      <c r="J65" s="15"/>
    </row>
    <row r="66" spans="1:10" x14ac:dyDescent="0.25">
      <c r="A66" s="2">
        <f>종합Sheet!A66</f>
        <v>63</v>
      </c>
      <c r="B66" s="2" t="str">
        <f>종합Sheet!B66</f>
        <v>오준서</v>
      </c>
      <c r="C66" s="2">
        <f>((D66+E66+G66+H66)*0.2)+(F66*0.3)</f>
        <v>0</v>
      </c>
      <c r="D66" s="14">
        <f>COUNTIF(경기기록Sheet!$E:$H,B66)</f>
        <v>0</v>
      </c>
      <c r="E66" s="14">
        <f>COUNTIF(경기기록Sheet!$I:$L,B66)</f>
        <v>0</v>
      </c>
      <c r="F66" s="14">
        <f>COUNTIF(경기기록Sheet!$M:$P,B66)</f>
        <v>0</v>
      </c>
      <c r="G66" s="14">
        <f>COUNTIF(경기기록Sheet!$Q:$U,B66)</f>
        <v>0</v>
      </c>
      <c r="H66" s="14">
        <f>COUNTIF(경기기록Sheet!$V:$V,B66)</f>
        <v>0</v>
      </c>
      <c r="I66" s="14">
        <f>SUM(D66:H66)</f>
        <v>0</v>
      </c>
      <c r="J66" s="15"/>
    </row>
    <row r="67" spans="1:10" x14ac:dyDescent="0.25">
      <c r="A67" s="2">
        <f>종합Sheet!A67</f>
        <v>64</v>
      </c>
      <c r="B67" s="2" t="str">
        <f>종합Sheet!B67</f>
        <v>우보광</v>
      </c>
      <c r="C67" s="2">
        <f>((D67+E67+G67+H67)*0.2)+(F67*0.3)</f>
        <v>0</v>
      </c>
      <c r="D67" s="14">
        <f>COUNTIF(경기기록Sheet!$E:$H,B67)</f>
        <v>0</v>
      </c>
      <c r="E67" s="14">
        <f>COUNTIF(경기기록Sheet!$I:$L,B67)</f>
        <v>0</v>
      </c>
      <c r="F67" s="14">
        <f>COUNTIF(경기기록Sheet!$M:$P,B67)</f>
        <v>0</v>
      </c>
      <c r="G67" s="14">
        <f>COUNTIF(경기기록Sheet!$Q:$U,B67)</f>
        <v>0</v>
      </c>
      <c r="H67" s="14">
        <f>COUNTIF(경기기록Sheet!$V:$V,B67)</f>
        <v>0</v>
      </c>
      <c r="I67" s="14">
        <f>SUM(D67:H67)</f>
        <v>0</v>
      </c>
      <c r="J67" s="15"/>
    </row>
    <row r="68" spans="1:10" x14ac:dyDescent="0.25">
      <c r="A68" s="2">
        <f>종합Sheet!A68</f>
        <v>65</v>
      </c>
      <c r="B68" s="2" t="str">
        <f>종합Sheet!B68</f>
        <v>유상근</v>
      </c>
      <c r="C68" s="2">
        <f>((D68+E68+G68+H68)*0.2)+(F68*0.3)</f>
        <v>5</v>
      </c>
      <c r="D68" s="14">
        <f>COUNTIF(경기기록Sheet!$E:$H,B68)</f>
        <v>0</v>
      </c>
      <c r="E68" s="14">
        <f>COUNTIF(경기기록Sheet!$I:$L,B68)</f>
        <v>1</v>
      </c>
      <c r="F68" s="14">
        <f>COUNTIF(경기기록Sheet!$M:$P,B68)</f>
        <v>0</v>
      </c>
      <c r="G68" s="14">
        <f>COUNTIF(경기기록Sheet!$Q:$U,B68)</f>
        <v>23</v>
      </c>
      <c r="H68" s="14">
        <f>COUNTIF(경기기록Sheet!$V:$V,B68)</f>
        <v>1</v>
      </c>
      <c r="I68" s="14">
        <f>SUM(D68:H68)</f>
        <v>25</v>
      </c>
      <c r="J68" s="15"/>
    </row>
    <row r="69" spans="1:10" x14ac:dyDescent="0.25">
      <c r="A69" s="2">
        <f>종합Sheet!A69</f>
        <v>66</v>
      </c>
      <c r="B69" s="2" t="str">
        <f>종합Sheet!B69</f>
        <v>유우진</v>
      </c>
      <c r="C69" s="2">
        <f>((D69+E69+G69+H69)*0.2)+(F69*0.3)</f>
        <v>0.4</v>
      </c>
      <c r="D69" s="14">
        <f>COUNTIF(경기기록Sheet!$E:$H,B69)</f>
        <v>0</v>
      </c>
      <c r="E69" s="14">
        <f>COUNTIF(경기기록Sheet!$I:$L,B69)</f>
        <v>0</v>
      </c>
      <c r="F69" s="14">
        <f>COUNTIF(경기기록Sheet!$M:$P,B69)</f>
        <v>0</v>
      </c>
      <c r="G69" s="14">
        <f>COUNTIF(경기기록Sheet!$Q:$U,B69)</f>
        <v>2</v>
      </c>
      <c r="H69" s="14">
        <f>COUNTIF(경기기록Sheet!$V:$V,B69)</f>
        <v>0</v>
      </c>
      <c r="I69" s="14">
        <f>SUM(D69:H69)</f>
        <v>2</v>
      </c>
      <c r="J69" s="15"/>
    </row>
    <row r="70" spans="1:10" x14ac:dyDescent="0.25">
      <c r="A70" s="2">
        <f>종합Sheet!A70</f>
        <v>67</v>
      </c>
      <c r="B70" s="2" t="str">
        <f>종합Sheet!B70</f>
        <v>유인상</v>
      </c>
      <c r="C70" s="2">
        <f>((D70+E70+G70+H70)*0.2)+(F70*0.3)</f>
        <v>1</v>
      </c>
      <c r="D70" s="14">
        <f>COUNTIF(경기기록Sheet!$E:$H,B70)</f>
        <v>0</v>
      </c>
      <c r="E70" s="14">
        <f>COUNTIF(경기기록Sheet!$I:$L,B70)</f>
        <v>2</v>
      </c>
      <c r="F70" s="14">
        <f>COUNTIF(경기기록Sheet!$M:$P,B70)</f>
        <v>2</v>
      </c>
      <c r="G70" s="14">
        <f>COUNTIF(경기기록Sheet!$Q:$U,B70)</f>
        <v>0</v>
      </c>
      <c r="H70" s="14">
        <f>COUNTIF(경기기록Sheet!$V:$V,B70)</f>
        <v>0</v>
      </c>
      <c r="I70" s="14">
        <f>SUM(D70:H70)</f>
        <v>4</v>
      </c>
      <c r="J70" s="15"/>
    </row>
    <row r="71" spans="1:10" x14ac:dyDescent="0.25">
      <c r="A71" s="2">
        <f>종합Sheet!A71</f>
        <v>68</v>
      </c>
      <c r="B71" s="2" t="str">
        <f>종합Sheet!B71</f>
        <v>유정훈</v>
      </c>
      <c r="C71" s="2">
        <f>((D71+E71+G71+H71)*0.2)+(F71*0.3)</f>
        <v>1.5</v>
      </c>
      <c r="D71" s="14">
        <f>COUNTIF(경기기록Sheet!$E:$H,B71)</f>
        <v>0</v>
      </c>
      <c r="E71" s="14">
        <f>COUNTIF(경기기록Sheet!$I:$L,B71)</f>
        <v>3</v>
      </c>
      <c r="F71" s="14">
        <f>COUNTIF(경기기록Sheet!$M:$P,B71)</f>
        <v>3</v>
      </c>
      <c r="G71" s="14">
        <f>COUNTIF(경기기록Sheet!$Q:$U,B71)</f>
        <v>0</v>
      </c>
      <c r="H71" s="14">
        <f>COUNTIF(경기기록Sheet!$V:$V,B71)</f>
        <v>0</v>
      </c>
      <c r="I71" s="14">
        <f>SUM(D71:H71)</f>
        <v>6</v>
      </c>
      <c r="J71" s="15"/>
    </row>
    <row r="72" spans="1:10" x14ac:dyDescent="0.25">
      <c r="A72" s="2">
        <f>종합Sheet!A72</f>
        <v>69</v>
      </c>
      <c r="B72" s="2" t="str">
        <f>종합Sheet!B72</f>
        <v>유진효</v>
      </c>
      <c r="C72" s="2">
        <f>((D72+E72+G72+H72)*0.2)+(F72*0.3)</f>
        <v>0</v>
      </c>
      <c r="D72" s="14">
        <f>COUNTIF(경기기록Sheet!$E:$H,B72)</f>
        <v>0</v>
      </c>
      <c r="E72" s="14">
        <f>COUNTIF(경기기록Sheet!$I:$L,B72)</f>
        <v>0</v>
      </c>
      <c r="F72" s="14">
        <f>COUNTIF(경기기록Sheet!$M:$P,B72)</f>
        <v>0</v>
      </c>
      <c r="G72" s="14">
        <f>COUNTIF(경기기록Sheet!$Q:$U,B72)</f>
        <v>0</v>
      </c>
      <c r="H72" s="14">
        <f>COUNTIF(경기기록Sheet!$V:$V,B72)</f>
        <v>0</v>
      </c>
      <c r="I72" s="14">
        <f>SUM(D72:H72)</f>
        <v>0</v>
      </c>
      <c r="J72" s="15"/>
    </row>
    <row r="73" spans="1:10" x14ac:dyDescent="0.25">
      <c r="A73" s="2">
        <f>종합Sheet!A73</f>
        <v>70</v>
      </c>
      <c r="B73" s="2" t="str">
        <f>종합Sheet!B73</f>
        <v>윤원택</v>
      </c>
      <c r="C73" s="2">
        <f>((D73+E73+G73+H73)*0.2)+(F73*0.3)</f>
        <v>1.2000000000000002</v>
      </c>
      <c r="D73" s="14">
        <f>COUNTIF(경기기록Sheet!$E:$H,B73)</f>
        <v>0</v>
      </c>
      <c r="E73" s="14">
        <f>COUNTIF(경기기록Sheet!$I:$L,B73)</f>
        <v>1</v>
      </c>
      <c r="F73" s="14">
        <f>COUNTIF(경기기록Sheet!$M:$P,B73)</f>
        <v>2</v>
      </c>
      <c r="G73" s="14">
        <f>COUNTIF(경기기록Sheet!$Q:$U,B73)</f>
        <v>2</v>
      </c>
      <c r="H73" s="14">
        <f>COUNTIF(경기기록Sheet!$V:$V,B73)</f>
        <v>0</v>
      </c>
      <c r="I73" s="14">
        <f>SUM(D73:H73)</f>
        <v>5</v>
      </c>
      <c r="J73" s="15"/>
    </row>
    <row r="74" spans="1:10" x14ac:dyDescent="0.25">
      <c r="A74" s="2">
        <f>종합Sheet!A74</f>
        <v>71</v>
      </c>
      <c r="B74" s="2" t="str">
        <f>종합Sheet!B74</f>
        <v>윤창현</v>
      </c>
      <c r="C74" s="2">
        <f>((D74+E74+G74+H74)*0.2)+(F74*0.3)</f>
        <v>1.8</v>
      </c>
      <c r="D74" s="14">
        <f>COUNTIF(경기기록Sheet!$E:$H,B74)</f>
        <v>0</v>
      </c>
      <c r="E74" s="14">
        <f>COUNTIF(경기기록Sheet!$I:$L,B74)</f>
        <v>2</v>
      </c>
      <c r="F74" s="14">
        <f>COUNTIF(경기기록Sheet!$M:$P,B74)</f>
        <v>0</v>
      </c>
      <c r="G74" s="14">
        <f>COUNTIF(경기기록Sheet!$Q:$U,B74)</f>
        <v>7</v>
      </c>
      <c r="H74" s="14">
        <f>COUNTIF(경기기록Sheet!$V:$V,B74)</f>
        <v>0</v>
      </c>
      <c r="I74" s="14">
        <f>SUM(D74:H74)</f>
        <v>9</v>
      </c>
      <c r="J74" s="15"/>
    </row>
    <row r="75" spans="1:10" x14ac:dyDescent="0.25">
      <c r="A75" s="2">
        <f>종합Sheet!A75</f>
        <v>72</v>
      </c>
      <c r="B75" s="2" t="str">
        <f>종합Sheet!B75</f>
        <v>윤현기</v>
      </c>
      <c r="C75" s="2">
        <f>((D75+E75+G75+H75)*0.2)+(F75*0.3)</f>
        <v>1.1000000000000001</v>
      </c>
      <c r="D75" s="14">
        <f>COUNTIF(경기기록Sheet!$E:$H,B75)</f>
        <v>3</v>
      </c>
      <c r="E75" s="14">
        <f>COUNTIF(경기기록Sheet!$I:$L,B75)</f>
        <v>0</v>
      </c>
      <c r="F75" s="14">
        <f>COUNTIF(경기기록Sheet!$M:$P,B75)</f>
        <v>1</v>
      </c>
      <c r="G75" s="14">
        <f>COUNTIF(경기기록Sheet!$Q:$U,B75)</f>
        <v>0</v>
      </c>
      <c r="H75" s="14">
        <f>COUNTIF(경기기록Sheet!$V:$V,B75)</f>
        <v>1</v>
      </c>
      <c r="I75" s="14">
        <f>SUM(D75:H75)</f>
        <v>5</v>
      </c>
      <c r="J75" s="15"/>
    </row>
    <row r="76" spans="1:10" x14ac:dyDescent="0.25">
      <c r="A76" s="2">
        <f>종합Sheet!A76</f>
        <v>73</v>
      </c>
      <c r="B76" s="2" t="str">
        <f>종합Sheet!B76</f>
        <v>이경석</v>
      </c>
      <c r="C76" s="2">
        <f>((D76+E76+G76+H76)*0.2)+(F76*0.3)</f>
        <v>0.60000000000000009</v>
      </c>
      <c r="D76" s="14">
        <f>COUNTIF(경기기록Sheet!$E:$H,B76)</f>
        <v>2</v>
      </c>
      <c r="E76" s="14">
        <f>COUNTIF(경기기록Sheet!$I:$L,B76)</f>
        <v>1</v>
      </c>
      <c r="F76" s="14">
        <f>COUNTIF(경기기록Sheet!$M:$P,B76)</f>
        <v>0</v>
      </c>
      <c r="G76" s="14">
        <f>COUNTIF(경기기록Sheet!$Q:$U,B76)</f>
        <v>0</v>
      </c>
      <c r="H76" s="14">
        <f>COUNTIF(경기기록Sheet!$V:$V,B76)</f>
        <v>0</v>
      </c>
      <c r="I76" s="14">
        <f>SUM(D76:H76)</f>
        <v>3</v>
      </c>
      <c r="J76" s="15"/>
    </row>
    <row r="77" spans="1:10" x14ac:dyDescent="0.25">
      <c r="A77" s="2">
        <f>종합Sheet!A77</f>
        <v>74</v>
      </c>
      <c r="B77" s="2" t="str">
        <f>종합Sheet!B77</f>
        <v>이민재</v>
      </c>
      <c r="C77" s="2">
        <f>((D77+E77+G77+H77)*0.2)+(F77*0.3)</f>
        <v>0.60000000000000009</v>
      </c>
      <c r="D77" s="14">
        <f>COUNTIF(경기기록Sheet!$E:$H,B77)</f>
        <v>0</v>
      </c>
      <c r="E77" s="14">
        <f>COUNTIF(경기기록Sheet!$I:$L,B77)</f>
        <v>0</v>
      </c>
      <c r="F77" s="14">
        <f>COUNTIF(경기기록Sheet!$M:$P,B77)</f>
        <v>0</v>
      </c>
      <c r="G77" s="14">
        <f>COUNTIF(경기기록Sheet!$Q:$U,B77)</f>
        <v>0</v>
      </c>
      <c r="H77" s="14">
        <f>COUNTIF(경기기록Sheet!$V:$V,B77)</f>
        <v>3</v>
      </c>
      <c r="I77" s="14">
        <f>SUM(D77:H77)</f>
        <v>3</v>
      </c>
      <c r="J77" s="15"/>
    </row>
    <row r="78" spans="1:10" x14ac:dyDescent="0.25">
      <c r="A78" s="2">
        <f>종합Sheet!A78</f>
        <v>75</v>
      </c>
      <c r="B78" s="2" t="str">
        <f>종합Sheet!B78</f>
        <v>이병현</v>
      </c>
      <c r="C78" s="2">
        <f>((D78+E78+G78+H78)*0.2)+(F78*0.3)</f>
        <v>1.2000000000000002</v>
      </c>
      <c r="D78" s="14">
        <f>COUNTIF(경기기록Sheet!$E:$H,B78)</f>
        <v>0</v>
      </c>
      <c r="E78" s="14">
        <f>COUNTIF(경기기록Sheet!$I:$L,B78)</f>
        <v>1</v>
      </c>
      <c r="F78" s="14">
        <f>COUNTIF(경기기록Sheet!$M:$P,B78)</f>
        <v>0</v>
      </c>
      <c r="G78" s="14">
        <f>COUNTIF(경기기록Sheet!$Q:$U,B78)</f>
        <v>5</v>
      </c>
      <c r="H78" s="14">
        <f>COUNTIF(경기기록Sheet!$V:$V,B78)</f>
        <v>0</v>
      </c>
      <c r="I78" s="14">
        <f>SUM(D78:H78)</f>
        <v>6</v>
      </c>
      <c r="J78" s="15"/>
    </row>
    <row r="79" spans="1:10" x14ac:dyDescent="0.25">
      <c r="A79" s="2">
        <f>종합Sheet!A79</f>
        <v>76</v>
      </c>
      <c r="B79" s="2" t="str">
        <f>종합Sheet!B79</f>
        <v>이상민</v>
      </c>
      <c r="C79" s="2">
        <f>((D79+E79+G79+H79)*0.2)+(F79*0.3)</f>
        <v>1.2000000000000002</v>
      </c>
      <c r="D79" s="14">
        <f>COUNTIF(경기기록Sheet!$E:$H,B79)</f>
        <v>2</v>
      </c>
      <c r="E79" s="14">
        <f>COUNTIF(경기기록Sheet!$I:$L,B79)</f>
        <v>1</v>
      </c>
      <c r="F79" s="14">
        <f>COUNTIF(경기기록Sheet!$M:$P,B79)</f>
        <v>0</v>
      </c>
      <c r="G79" s="14">
        <f>COUNTIF(경기기록Sheet!$Q:$U,B79)</f>
        <v>3</v>
      </c>
      <c r="H79" s="14">
        <f>COUNTIF(경기기록Sheet!$V:$V,B79)</f>
        <v>0</v>
      </c>
      <c r="I79" s="14">
        <f>SUM(D79:H79)</f>
        <v>6</v>
      </c>
      <c r="J79" s="15"/>
    </row>
    <row r="80" spans="1:10" x14ac:dyDescent="0.25">
      <c r="A80" s="2">
        <f>종합Sheet!A80</f>
        <v>77</v>
      </c>
      <c r="B80" s="2" t="str">
        <f>종합Sheet!B80</f>
        <v>이상현</v>
      </c>
      <c r="C80" s="2">
        <f>((D80+E80+G80+H80)*0.2)+(F80*0.3)</f>
        <v>4</v>
      </c>
      <c r="D80" s="14">
        <f>COUNTIF(경기기록Sheet!$E:$H,B80)</f>
        <v>2</v>
      </c>
      <c r="E80" s="14">
        <f>COUNTIF(경기기록Sheet!$I:$L,B80)</f>
        <v>5</v>
      </c>
      <c r="F80" s="14">
        <f>COUNTIF(경기기록Sheet!$M:$P,B80)</f>
        <v>8</v>
      </c>
      <c r="G80" s="14">
        <f>COUNTIF(경기기록Sheet!$Q:$U,B80)</f>
        <v>1</v>
      </c>
      <c r="H80" s="14">
        <f>COUNTIF(경기기록Sheet!$V:$V,B80)</f>
        <v>0</v>
      </c>
      <c r="I80" s="14">
        <f>SUM(D80:H80)</f>
        <v>16</v>
      </c>
      <c r="J80" s="15"/>
    </row>
    <row r="81" spans="1:10" x14ac:dyDescent="0.25">
      <c r="A81" s="2">
        <f>종합Sheet!A81</f>
        <v>78</v>
      </c>
      <c r="B81" s="2" t="str">
        <f>종합Sheet!B81</f>
        <v>이새샘</v>
      </c>
      <c r="C81" s="2">
        <f>((D81+E81+G81+H81)*0.2)+(F81*0.3)</f>
        <v>3</v>
      </c>
      <c r="D81" s="14">
        <f>COUNTIF(경기기록Sheet!$E:$H,B81)</f>
        <v>0</v>
      </c>
      <c r="E81" s="14">
        <f>COUNTIF(경기기록Sheet!$I:$L,B81)</f>
        <v>2</v>
      </c>
      <c r="F81" s="14">
        <f>COUNTIF(경기기록Sheet!$M:$P,B81)</f>
        <v>0</v>
      </c>
      <c r="G81" s="14">
        <f>COUNTIF(경기기록Sheet!$Q:$U,B81)</f>
        <v>11</v>
      </c>
      <c r="H81" s="14">
        <f>COUNTIF(경기기록Sheet!$V:$V,B81)</f>
        <v>2</v>
      </c>
      <c r="I81" s="14">
        <f>SUM(D81:H81)</f>
        <v>15</v>
      </c>
      <c r="J81" s="15"/>
    </row>
    <row r="82" spans="1:10" x14ac:dyDescent="0.25">
      <c r="A82" s="2">
        <f>종합Sheet!A82</f>
        <v>79</v>
      </c>
      <c r="B82" s="2" t="str">
        <f>종합Sheet!B82</f>
        <v>이성관</v>
      </c>
      <c r="C82" s="2">
        <f>((D82+E82+G82+H82)*0.2)+(F82*0.3)</f>
        <v>2.2000000000000002</v>
      </c>
      <c r="D82" s="14">
        <f>COUNTIF(경기기록Sheet!$E:$H,B82)</f>
        <v>0</v>
      </c>
      <c r="E82" s="14">
        <f>COUNTIF(경기기록Sheet!$I:$L,B82)</f>
        <v>0</v>
      </c>
      <c r="F82" s="14">
        <f>COUNTIF(경기기록Sheet!$M:$P,B82)</f>
        <v>0</v>
      </c>
      <c r="G82" s="14">
        <f>COUNTIF(경기기록Sheet!$Q:$U,B82)</f>
        <v>10</v>
      </c>
      <c r="H82" s="14">
        <f>COUNTIF(경기기록Sheet!$V:$V,B82)</f>
        <v>1</v>
      </c>
      <c r="I82" s="14">
        <f>SUM(D82:H82)</f>
        <v>11</v>
      </c>
      <c r="J82" s="15"/>
    </row>
    <row r="83" spans="1:10" x14ac:dyDescent="0.25">
      <c r="A83" s="2">
        <f>종합Sheet!A83</f>
        <v>80</v>
      </c>
      <c r="B83" s="2" t="str">
        <f>종합Sheet!B83</f>
        <v>이승윤</v>
      </c>
      <c r="C83" s="2">
        <f>((D83+E83+G83+H83)*0.2)+(F83*0.3)</f>
        <v>3.2</v>
      </c>
      <c r="D83" s="14">
        <f>COUNTIF(경기기록Sheet!$E:$H,B83)</f>
        <v>1</v>
      </c>
      <c r="E83" s="14">
        <f>COUNTIF(경기기록Sheet!$I:$L,B83)</f>
        <v>2</v>
      </c>
      <c r="F83" s="14">
        <f>COUNTIF(경기기록Sheet!$M:$P,B83)</f>
        <v>0</v>
      </c>
      <c r="G83" s="14">
        <f>COUNTIF(경기기록Sheet!$Q:$U,B83)</f>
        <v>13</v>
      </c>
      <c r="H83" s="14">
        <f>COUNTIF(경기기록Sheet!$V:$V,B83)</f>
        <v>0</v>
      </c>
      <c r="I83" s="14">
        <f>SUM(D83:H83)</f>
        <v>16</v>
      </c>
      <c r="J83" s="15"/>
    </row>
    <row r="84" spans="1:10" x14ac:dyDescent="0.25">
      <c r="A84" s="2">
        <f>종합Sheet!A84</f>
        <v>81</v>
      </c>
      <c r="B84" s="2" t="str">
        <f>종합Sheet!B84</f>
        <v>이연길</v>
      </c>
      <c r="C84" s="2">
        <f>((D84+E84+G84+H84)*0.2)+(F84*0.3)</f>
        <v>0.4</v>
      </c>
      <c r="D84" s="14">
        <f>COUNTIF(경기기록Sheet!$E:$H,B84)</f>
        <v>1</v>
      </c>
      <c r="E84" s="14">
        <f>COUNTIF(경기기록Sheet!$I:$L,B84)</f>
        <v>1</v>
      </c>
      <c r="F84" s="14">
        <f>COUNTIF(경기기록Sheet!$M:$P,B84)</f>
        <v>0</v>
      </c>
      <c r="G84" s="14">
        <f>COUNTIF(경기기록Sheet!$Q:$U,B84)</f>
        <v>0</v>
      </c>
      <c r="H84" s="14">
        <f>COUNTIF(경기기록Sheet!$V:$V,B84)</f>
        <v>0</v>
      </c>
      <c r="I84" s="14">
        <f>SUM(D84:H84)</f>
        <v>2</v>
      </c>
      <c r="J84" s="15"/>
    </row>
    <row r="85" spans="1:10" x14ac:dyDescent="0.25">
      <c r="A85" s="2">
        <f>종합Sheet!A85</f>
        <v>82</v>
      </c>
      <c r="B85" s="2" t="str">
        <f>종합Sheet!B85</f>
        <v>이영준</v>
      </c>
      <c r="C85" s="2">
        <f>((D85+E85+G85+H85)*0.2)+(F85*0.3)</f>
        <v>0.90000000000000013</v>
      </c>
      <c r="D85" s="14">
        <f>COUNTIF(경기기록Sheet!$E:$H,B85)</f>
        <v>1</v>
      </c>
      <c r="E85" s="14">
        <f>COUNTIF(경기기록Sheet!$I:$L,B85)</f>
        <v>0</v>
      </c>
      <c r="F85" s="14">
        <f>COUNTIF(경기기록Sheet!$M:$P,B85)</f>
        <v>1</v>
      </c>
      <c r="G85" s="14">
        <f>COUNTIF(경기기록Sheet!$Q:$U,B85)</f>
        <v>2</v>
      </c>
      <c r="H85" s="14">
        <f>COUNTIF(경기기록Sheet!$V:$V,B85)</f>
        <v>0</v>
      </c>
      <c r="I85" s="14">
        <f>SUM(D85:H85)</f>
        <v>4</v>
      </c>
      <c r="J85" s="15"/>
    </row>
    <row r="86" spans="1:10" x14ac:dyDescent="0.25">
      <c r="A86" s="2">
        <f>종합Sheet!A86</f>
        <v>83</v>
      </c>
      <c r="B86" s="2" t="str">
        <f>종합Sheet!B86</f>
        <v>이정범</v>
      </c>
      <c r="C86" s="2">
        <f>((D86+E86+G86+H86)*0.2)+(F86*0.3)</f>
        <v>1.4000000000000001</v>
      </c>
      <c r="D86" s="14">
        <f>COUNTIF(경기기록Sheet!$E:$H,B86)</f>
        <v>0</v>
      </c>
      <c r="E86" s="14">
        <f>COUNTIF(경기기록Sheet!$I:$L,B86)</f>
        <v>0</v>
      </c>
      <c r="F86" s="14">
        <f>COUNTIF(경기기록Sheet!$M:$P,B86)</f>
        <v>0</v>
      </c>
      <c r="G86" s="14">
        <f>COUNTIF(경기기록Sheet!$Q:$U,B86)</f>
        <v>6</v>
      </c>
      <c r="H86" s="14">
        <f>COUNTIF(경기기록Sheet!$V:$V,B86)</f>
        <v>1</v>
      </c>
      <c r="I86" s="14">
        <f>SUM(D86:H86)</f>
        <v>7</v>
      </c>
      <c r="J86" s="15"/>
    </row>
    <row r="87" spans="1:10" x14ac:dyDescent="0.25">
      <c r="A87" s="2">
        <f>종합Sheet!A87</f>
        <v>84</v>
      </c>
      <c r="B87" s="2" t="str">
        <f>종합Sheet!B87</f>
        <v>이종수</v>
      </c>
      <c r="C87" s="2">
        <f>((D87+E87+G87+H87)*0.2)+(F87*0.3)</f>
        <v>0</v>
      </c>
      <c r="D87" s="14">
        <f>COUNTIF(경기기록Sheet!$E:$H,B87)</f>
        <v>0</v>
      </c>
      <c r="E87" s="14">
        <f>COUNTIF(경기기록Sheet!$I:$L,B87)</f>
        <v>0</v>
      </c>
      <c r="F87" s="14">
        <f>COUNTIF(경기기록Sheet!$M:$P,B87)</f>
        <v>0</v>
      </c>
      <c r="G87" s="14">
        <f>COUNTIF(경기기록Sheet!$Q:$U,B87)</f>
        <v>0</v>
      </c>
      <c r="H87" s="14">
        <f>COUNTIF(경기기록Sheet!$V:$V,B87)</f>
        <v>0</v>
      </c>
      <c r="I87" s="14">
        <f>SUM(D87:H87)</f>
        <v>0</v>
      </c>
      <c r="J87" s="15"/>
    </row>
    <row r="88" spans="1:10" x14ac:dyDescent="0.25">
      <c r="A88" s="2">
        <f>종합Sheet!A88</f>
        <v>85</v>
      </c>
      <c r="B88" s="2" t="str">
        <f>종합Sheet!B88</f>
        <v>이찬솔</v>
      </c>
      <c r="C88" s="2">
        <f>((D88+E88+G88+H88)*0.2)+(F88*0.3)</f>
        <v>1</v>
      </c>
      <c r="D88" s="14">
        <f>COUNTIF(경기기록Sheet!$E:$H,B88)</f>
        <v>0</v>
      </c>
      <c r="E88" s="14">
        <f>COUNTIF(경기기록Sheet!$I:$L,B88)</f>
        <v>2</v>
      </c>
      <c r="F88" s="14">
        <f>COUNTIF(경기기록Sheet!$M:$P,B88)</f>
        <v>0</v>
      </c>
      <c r="G88" s="14">
        <f>COUNTIF(경기기록Sheet!$Q:$U,B88)</f>
        <v>2</v>
      </c>
      <c r="H88" s="14">
        <f>COUNTIF(경기기록Sheet!$V:$V,B88)</f>
        <v>1</v>
      </c>
      <c r="I88" s="14">
        <f>SUM(D88:H88)</f>
        <v>5</v>
      </c>
      <c r="J88" s="15"/>
    </row>
    <row r="89" spans="1:10" x14ac:dyDescent="0.25">
      <c r="A89" s="2">
        <f>종합Sheet!A89</f>
        <v>86</v>
      </c>
      <c r="B89" s="2" t="str">
        <f>종합Sheet!B89</f>
        <v>이찬영</v>
      </c>
      <c r="C89" s="2">
        <f>((D89+E89+G89+H89)*0.2)+(F89*0.3)</f>
        <v>0.4</v>
      </c>
      <c r="D89" s="14">
        <f>COUNTIF(경기기록Sheet!$E:$H,B89)</f>
        <v>0</v>
      </c>
      <c r="E89" s="14">
        <f>COUNTIF(경기기록Sheet!$I:$L,B89)</f>
        <v>0</v>
      </c>
      <c r="F89" s="14">
        <f>COUNTIF(경기기록Sheet!$M:$P,B89)</f>
        <v>0</v>
      </c>
      <c r="G89" s="14">
        <f>COUNTIF(경기기록Sheet!$Q:$U,B89)</f>
        <v>2</v>
      </c>
      <c r="H89" s="14">
        <f>COUNTIF(경기기록Sheet!$V:$V,B89)</f>
        <v>0</v>
      </c>
      <c r="I89" s="14">
        <f>SUM(D89:H89)</f>
        <v>2</v>
      </c>
      <c r="J89" s="15"/>
    </row>
    <row r="90" spans="1:10" x14ac:dyDescent="0.25">
      <c r="A90" s="2">
        <f>종합Sheet!A90</f>
        <v>87</v>
      </c>
      <c r="B90" s="2" t="str">
        <f>종합Sheet!B90</f>
        <v>이태한</v>
      </c>
      <c r="C90" s="2">
        <f>((D90+E90+G90+H90)*0.2)+(F90*0.3)</f>
        <v>0</v>
      </c>
      <c r="D90" s="14">
        <f>COUNTIF(경기기록Sheet!$E:$H,B90)</f>
        <v>0</v>
      </c>
      <c r="E90" s="14">
        <f>COUNTIF(경기기록Sheet!$I:$L,B90)</f>
        <v>0</v>
      </c>
      <c r="F90" s="14">
        <f>COUNTIF(경기기록Sheet!$M:$P,B90)</f>
        <v>0</v>
      </c>
      <c r="G90" s="14">
        <f>COUNTIF(경기기록Sheet!$Q:$U,B90)</f>
        <v>0</v>
      </c>
      <c r="H90" s="14">
        <f>COUNTIF(경기기록Sheet!$V:$V,B90)</f>
        <v>0</v>
      </c>
      <c r="I90" s="14">
        <f>SUM(D90:H90)</f>
        <v>0</v>
      </c>
      <c r="J90" s="15"/>
    </row>
    <row r="91" spans="1:10" x14ac:dyDescent="0.25">
      <c r="A91" s="2">
        <f>종합Sheet!A91</f>
        <v>88</v>
      </c>
      <c r="B91" s="2" t="str">
        <f>종합Sheet!B91</f>
        <v>이현택</v>
      </c>
      <c r="C91" s="2">
        <f>((D91+E91+G91+H91)*0.2)+(F91*0.3)</f>
        <v>0</v>
      </c>
      <c r="D91" s="14">
        <f>COUNTIF(경기기록Sheet!$E:$H,B91)</f>
        <v>0</v>
      </c>
      <c r="E91" s="14">
        <f>COUNTIF(경기기록Sheet!$I:$L,B91)</f>
        <v>0</v>
      </c>
      <c r="F91" s="14">
        <f>COUNTIF(경기기록Sheet!$M:$P,B91)</f>
        <v>0</v>
      </c>
      <c r="G91" s="14">
        <f>COUNTIF(경기기록Sheet!$Q:$U,B91)</f>
        <v>0</v>
      </c>
      <c r="H91" s="14">
        <f>COUNTIF(경기기록Sheet!$V:$V,B91)</f>
        <v>0</v>
      </c>
      <c r="I91" s="14">
        <f>SUM(D91:H91)</f>
        <v>0</v>
      </c>
      <c r="J91" s="15"/>
    </row>
    <row r="92" spans="1:10" x14ac:dyDescent="0.25">
      <c r="A92" s="2">
        <f>종합Sheet!A92</f>
        <v>89</v>
      </c>
      <c r="B92" s="2" t="str">
        <f>종합Sheet!B92</f>
        <v>이호행</v>
      </c>
      <c r="C92" s="2">
        <f>((D92+E92+G92+H92)*0.2)+(F92*0.3)</f>
        <v>0.8</v>
      </c>
      <c r="D92" s="14">
        <f>COUNTIF(경기기록Sheet!$E:$H,B92)</f>
        <v>0</v>
      </c>
      <c r="E92" s="14">
        <f>COUNTIF(경기기록Sheet!$I:$L,B92)</f>
        <v>0</v>
      </c>
      <c r="F92" s="14">
        <f>COUNTIF(경기기록Sheet!$M:$P,B92)</f>
        <v>0</v>
      </c>
      <c r="G92" s="14">
        <f>COUNTIF(경기기록Sheet!$Q:$U,B92)</f>
        <v>4</v>
      </c>
      <c r="H92" s="14">
        <f>COUNTIF(경기기록Sheet!$V:$V,B92)</f>
        <v>0</v>
      </c>
      <c r="I92" s="14">
        <f>SUM(D92:H92)</f>
        <v>4</v>
      </c>
      <c r="J92" s="15"/>
    </row>
    <row r="93" spans="1:10" x14ac:dyDescent="0.25">
      <c r="A93" s="2">
        <f>종합Sheet!A93</f>
        <v>90</v>
      </c>
      <c r="B93" s="2" t="str">
        <f>종합Sheet!B93</f>
        <v>임수철</v>
      </c>
      <c r="C93" s="2">
        <f>((D93+E93+G93+H93)*0.2)+(F93*0.3)</f>
        <v>0</v>
      </c>
      <c r="D93" s="14">
        <f>COUNTIF(경기기록Sheet!$E:$H,B93)</f>
        <v>0</v>
      </c>
      <c r="E93" s="14">
        <f>COUNTIF(경기기록Sheet!$I:$L,B93)</f>
        <v>0</v>
      </c>
      <c r="F93" s="14">
        <f>COUNTIF(경기기록Sheet!$M:$P,B93)</f>
        <v>0</v>
      </c>
      <c r="G93" s="14">
        <f>COUNTIF(경기기록Sheet!$Q:$U,B93)</f>
        <v>0</v>
      </c>
      <c r="H93" s="14">
        <f>COUNTIF(경기기록Sheet!$V:$V,B93)</f>
        <v>0</v>
      </c>
      <c r="I93" s="14">
        <f>SUM(D93:H93)</f>
        <v>0</v>
      </c>
      <c r="J93" s="15"/>
    </row>
    <row r="94" spans="1:10" x14ac:dyDescent="0.25">
      <c r="A94" s="2">
        <f>종합Sheet!A94</f>
        <v>91</v>
      </c>
      <c r="B94" s="2" t="str">
        <f>종합Sheet!B94</f>
        <v>임태환</v>
      </c>
      <c r="C94" s="2">
        <f>((D94+E94+G94+H94)*0.2)+(F94*0.3)</f>
        <v>4.5</v>
      </c>
      <c r="D94" s="14">
        <f>COUNTIF(경기기록Sheet!$E:$H,B94)</f>
        <v>15</v>
      </c>
      <c r="E94" s="14">
        <f>COUNTIF(경기기록Sheet!$I:$L,B94)</f>
        <v>2</v>
      </c>
      <c r="F94" s="14">
        <f>COUNTIF(경기기록Sheet!$M:$P,B94)</f>
        <v>3</v>
      </c>
      <c r="G94" s="14">
        <f>COUNTIF(경기기록Sheet!$Q:$U,B94)</f>
        <v>0</v>
      </c>
      <c r="H94" s="14">
        <f>COUNTIF(경기기록Sheet!$V:$V,B94)</f>
        <v>1</v>
      </c>
      <c r="I94" s="14">
        <f>SUM(D94:H94)</f>
        <v>21</v>
      </c>
      <c r="J94" s="15"/>
    </row>
    <row r="95" spans="1:10" x14ac:dyDescent="0.25">
      <c r="A95" s="2">
        <f>종합Sheet!A95</f>
        <v>92</v>
      </c>
      <c r="B95" s="2" t="str">
        <f>종합Sheet!B95</f>
        <v>장희도</v>
      </c>
      <c r="C95" s="2">
        <f>((D95+E95+G95+H95)*0.2)+(F95*0.3)</f>
        <v>0</v>
      </c>
      <c r="D95" s="14">
        <f>COUNTIF(경기기록Sheet!$E:$H,B95)</f>
        <v>0</v>
      </c>
      <c r="E95" s="14">
        <f>COUNTIF(경기기록Sheet!$I:$L,B95)</f>
        <v>0</v>
      </c>
      <c r="F95" s="14">
        <f>COUNTIF(경기기록Sheet!$M:$P,B95)</f>
        <v>0</v>
      </c>
      <c r="G95" s="14">
        <f>COUNTIF(경기기록Sheet!$Q:$U,B95)</f>
        <v>0</v>
      </c>
      <c r="H95" s="14">
        <f>COUNTIF(경기기록Sheet!$V:$V,B95)</f>
        <v>0</v>
      </c>
      <c r="I95" s="14">
        <f>SUM(D95:H95)</f>
        <v>0</v>
      </c>
      <c r="J95" s="15"/>
    </row>
    <row r="96" spans="1:10" x14ac:dyDescent="0.25">
      <c r="A96" s="2">
        <f>종합Sheet!A96</f>
        <v>93</v>
      </c>
      <c r="B96" s="2" t="str">
        <f>종합Sheet!B96</f>
        <v>장희준</v>
      </c>
      <c r="C96" s="2">
        <f>((D96+E96+G96+H96)*0.2)+(F96*0.3)</f>
        <v>0</v>
      </c>
      <c r="D96" s="14">
        <f>COUNTIF(경기기록Sheet!$E:$H,B96)</f>
        <v>0</v>
      </c>
      <c r="E96" s="14">
        <f>COUNTIF(경기기록Sheet!$I:$L,B96)</f>
        <v>0</v>
      </c>
      <c r="F96" s="14">
        <f>COUNTIF(경기기록Sheet!$M:$P,B96)</f>
        <v>0</v>
      </c>
      <c r="G96" s="14">
        <f>COUNTIF(경기기록Sheet!$Q:$U,B96)</f>
        <v>0</v>
      </c>
      <c r="H96" s="14">
        <f>COUNTIF(경기기록Sheet!$V:$V,B96)</f>
        <v>0</v>
      </c>
      <c r="I96" s="14">
        <f>SUM(D96:H96)</f>
        <v>0</v>
      </c>
      <c r="J96" s="15"/>
    </row>
    <row r="97" spans="1:10" x14ac:dyDescent="0.25">
      <c r="A97" s="2">
        <f>종합Sheet!A97</f>
        <v>94</v>
      </c>
      <c r="B97" s="2" t="str">
        <f>종합Sheet!B97</f>
        <v>전나현</v>
      </c>
      <c r="C97" s="2">
        <f>((D97+E97+G97+H97)*0.2)+(F97*0.3)</f>
        <v>2.7</v>
      </c>
      <c r="D97" s="14">
        <f>COUNTIF(경기기록Sheet!$E:$H,B97)</f>
        <v>2</v>
      </c>
      <c r="E97" s="14">
        <f>COUNTIF(경기기록Sheet!$I:$L,B97)</f>
        <v>4</v>
      </c>
      <c r="F97" s="14">
        <f>COUNTIF(경기기록Sheet!$M:$P,B97)</f>
        <v>5</v>
      </c>
      <c r="G97" s="14">
        <f>COUNTIF(경기기록Sheet!$Q:$U,B97)</f>
        <v>0</v>
      </c>
      <c r="H97" s="14">
        <f>COUNTIF(경기기록Sheet!$V:$V,B97)</f>
        <v>0</v>
      </c>
      <c r="I97" s="14">
        <f>SUM(D97:H97)</f>
        <v>11</v>
      </c>
      <c r="J97" s="15"/>
    </row>
    <row r="98" spans="1:10" x14ac:dyDescent="0.25">
      <c r="A98" s="2">
        <f>종합Sheet!A98</f>
        <v>95</v>
      </c>
      <c r="B98" s="2" t="str">
        <f>종합Sheet!B98</f>
        <v>전성환</v>
      </c>
      <c r="C98" s="2">
        <f>((D98+E98+G98+H98)*0.2)+(F98*0.3)</f>
        <v>0.2</v>
      </c>
      <c r="D98" s="14">
        <f>COUNTIF(경기기록Sheet!$E:$H,B98)</f>
        <v>1</v>
      </c>
      <c r="E98" s="14">
        <f>COUNTIF(경기기록Sheet!$I:$L,B98)</f>
        <v>0</v>
      </c>
      <c r="F98" s="14">
        <f>COUNTIF(경기기록Sheet!$M:$P,B98)</f>
        <v>0</v>
      </c>
      <c r="G98" s="14">
        <f>COUNTIF(경기기록Sheet!$Q:$U,B98)</f>
        <v>0</v>
      </c>
      <c r="H98" s="14">
        <f>COUNTIF(경기기록Sheet!$V:$V,B98)</f>
        <v>0</v>
      </c>
      <c r="I98" s="14">
        <f>SUM(D98:H98)</f>
        <v>1</v>
      </c>
      <c r="J98" s="15"/>
    </row>
    <row r="99" spans="1:10" x14ac:dyDescent="0.25">
      <c r="A99" s="2">
        <f>종합Sheet!A99</f>
        <v>96</v>
      </c>
      <c r="B99" s="2" t="str">
        <f>종합Sheet!B99</f>
        <v>전하늘</v>
      </c>
      <c r="C99" s="2">
        <f>((D99+E99+G99+H99)*0.2)+(F99*0.3)</f>
        <v>0.90000000000000013</v>
      </c>
      <c r="D99" s="14">
        <f>COUNTIF(경기기록Sheet!$E:$H,B99)</f>
        <v>0</v>
      </c>
      <c r="E99" s="14">
        <f>COUNTIF(경기기록Sheet!$I:$L,B99)</f>
        <v>1</v>
      </c>
      <c r="F99" s="14">
        <f>COUNTIF(경기기록Sheet!$M:$P,B99)</f>
        <v>1</v>
      </c>
      <c r="G99" s="14">
        <f>COUNTIF(경기기록Sheet!$Q:$U,B99)</f>
        <v>2</v>
      </c>
      <c r="H99" s="14">
        <f>COUNTIF(경기기록Sheet!$V:$V,B99)</f>
        <v>0</v>
      </c>
      <c r="I99" s="14">
        <f>SUM(D99:H99)</f>
        <v>4</v>
      </c>
      <c r="J99" s="15"/>
    </row>
    <row r="100" spans="1:10" x14ac:dyDescent="0.25">
      <c r="A100" s="2">
        <f>종합Sheet!A100</f>
        <v>97</v>
      </c>
      <c r="B100" s="2" t="str">
        <f>종합Sheet!B100</f>
        <v>정민수</v>
      </c>
      <c r="C100" s="2">
        <f>((D100+E100+G100+H100)*0.2)+(F100*0.3)</f>
        <v>5.8000000000000007</v>
      </c>
      <c r="D100" s="14">
        <f>COUNTIF(경기기록Sheet!$E:$H,B100)</f>
        <v>2</v>
      </c>
      <c r="E100" s="14">
        <f>COUNTIF(경기기록Sheet!$I:$L,B100)</f>
        <v>4</v>
      </c>
      <c r="F100" s="14">
        <f>COUNTIF(경기기록Sheet!$M:$P,B100)</f>
        <v>0</v>
      </c>
      <c r="G100" s="14">
        <f>COUNTIF(경기기록Sheet!$Q:$U,B100)</f>
        <v>23</v>
      </c>
      <c r="H100" s="14">
        <f>COUNTIF(경기기록Sheet!$V:$V,B100)</f>
        <v>0</v>
      </c>
      <c r="I100" s="14">
        <f>SUM(D100:H100)</f>
        <v>29</v>
      </c>
      <c r="J100" s="15"/>
    </row>
    <row r="101" spans="1:10" x14ac:dyDescent="0.25">
      <c r="A101" s="2">
        <f>종합Sheet!A101</f>
        <v>98</v>
      </c>
      <c r="B101" s="2" t="str">
        <f>종합Sheet!B101</f>
        <v>정재명</v>
      </c>
      <c r="C101" s="2">
        <f>((D101+E101+G101+H101)*0.2)+(F101*0.3)</f>
        <v>4.4000000000000004</v>
      </c>
      <c r="D101" s="14">
        <f>COUNTIF(경기기록Sheet!$E:$H,B101)</f>
        <v>17</v>
      </c>
      <c r="E101" s="14">
        <f>COUNTIF(경기기록Sheet!$I:$L,B101)</f>
        <v>5</v>
      </c>
      <c r="F101" s="14">
        <f>COUNTIF(경기기록Sheet!$M:$P,B101)</f>
        <v>0</v>
      </c>
      <c r="G101" s="14">
        <f>COUNTIF(경기기록Sheet!$Q:$U,B101)</f>
        <v>0</v>
      </c>
      <c r="H101" s="14">
        <f>COUNTIF(경기기록Sheet!$V:$V,B101)</f>
        <v>0</v>
      </c>
      <c r="I101" s="14">
        <f>SUM(D101:H101)</f>
        <v>22</v>
      </c>
      <c r="J101" s="15"/>
    </row>
    <row r="102" spans="1:10" x14ac:dyDescent="0.25">
      <c r="A102" s="2">
        <f>종합Sheet!A102</f>
        <v>99</v>
      </c>
      <c r="B102" s="2" t="str">
        <f>종합Sheet!B102</f>
        <v>정현서</v>
      </c>
      <c r="C102" s="2">
        <f>((D102+E102+G102+H102)*0.2)+(F102*0.3)</f>
        <v>1.7</v>
      </c>
      <c r="D102" s="14">
        <f>COUNTIF(경기기록Sheet!$E:$H,B102)</f>
        <v>2</v>
      </c>
      <c r="E102" s="14">
        <f>COUNTIF(경기기록Sheet!$I:$L,B102)</f>
        <v>2</v>
      </c>
      <c r="F102" s="14">
        <f>COUNTIF(경기기록Sheet!$M:$P,B102)</f>
        <v>3</v>
      </c>
      <c r="G102" s="14">
        <f>COUNTIF(경기기록Sheet!$Q:$U,B102)</f>
        <v>0</v>
      </c>
      <c r="H102" s="14">
        <f>COUNTIF(경기기록Sheet!$V:$V,B102)</f>
        <v>0</v>
      </c>
      <c r="I102" s="14">
        <f>SUM(D102:H102)</f>
        <v>7</v>
      </c>
      <c r="J102" s="15"/>
    </row>
    <row r="103" spans="1:10" x14ac:dyDescent="0.25">
      <c r="A103" s="2">
        <f>종합Sheet!A103</f>
        <v>100</v>
      </c>
      <c r="B103" s="2" t="str">
        <f>종합Sheet!B103</f>
        <v>조진한</v>
      </c>
      <c r="C103" s="2">
        <f>((D103+E103+G103+H103)*0.2)+(F103*0.3)</f>
        <v>7</v>
      </c>
      <c r="D103" s="14">
        <f>COUNTIF(경기기록Sheet!$E:$H,B103)</f>
        <v>8</v>
      </c>
      <c r="E103" s="14">
        <f>COUNTIF(경기기록Sheet!$I:$L,B103)</f>
        <v>3</v>
      </c>
      <c r="F103" s="14">
        <f>COUNTIF(경기기록Sheet!$M:$P,B103)</f>
        <v>16</v>
      </c>
      <c r="G103" s="14">
        <f>COUNTIF(경기기록Sheet!$Q:$U,B103)</f>
        <v>0</v>
      </c>
      <c r="H103" s="14">
        <f>COUNTIF(경기기록Sheet!$V:$V,B103)</f>
        <v>0</v>
      </c>
      <c r="I103" s="14">
        <f>SUM(D103:H103)</f>
        <v>27</v>
      </c>
      <c r="J103" s="15"/>
    </row>
    <row r="104" spans="1:10" x14ac:dyDescent="0.25">
      <c r="A104" s="2">
        <f>종합Sheet!A104</f>
        <v>101</v>
      </c>
      <c r="B104" s="2" t="str">
        <f>종합Sheet!B104</f>
        <v>조현우</v>
      </c>
      <c r="C104" s="2">
        <f>((D104+E104+G104+H104)*0.2)+(F104*0.3)</f>
        <v>3.2</v>
      </c>
      <c r="D104" s="14">
        <f>COUNTIF(경기기록Sheet!$E:$H,B104)</f>
        <v>0</v>
      </c>
      <c r="E104" s="14">
        <f>COUNTIF(경기기록Sheet!$I:$L,B104)</f>
        <v>0</v>
      </c>
      <c r="F104" s="14">
        <f>COUNTIF(경기기록Sheet!$M:$P,B104)</f>
        <v>0</v>
      </c>
      <c r="G104" s="14">
        <f>COUNTIF(경기기록Sheet!$Q:$U,B104)</f>
        <v>16</v>
      </c>
      <c r="H104" s="14">
        <f>COUNTIF(경기기록Sheet!$V:$V,B104)</f>
        <v>0</v>
      </c>
      <c r="I104" s="14">
        <f>SUM(D104:H104)</f>
        <v>16</v>
      </c>
      <c r="J104" s="15"/>
    </row>
    <row r="105" spans="1:10" x14ac:dyDescent="0.25">
      <c r="A105" s="2">
        <f>종합Sheet!A105</f>
        <v>102</v>
      </c>
      <c r="B105" s="2" t="str">
        <f>종합Sheet!B105</f>
        <v>차승원</v>
      </c>
      <c r="C105" s="2">
        <f>((D105+E105+G105+H105)*0.2)+(F105*0.3)</f>
        <v>1</v>
      </c>
      <c r="D105" s="14">
        <f>COUNTIF(경기기록Sheet!$E:$H,B105)</f>
        <v>0</v>
      </c>
      <c r="E105" s="14">
        <f>COUNTIF(경기기록Sheet!$I:$L,B105)</f>
        <v>1</v>
      </c>
      <c r="F105" s="14">
        <f>COUNTIF(경기기록Sheet!$M:$P,B105)</f>
        <v>0</v>
      </c>
      <c r="G105" s="14">
        <f>COUNTIF(경기기록Sheet!$Q:$U,B105)</f>
        <v>4</v>
      </c>
      <c r="H105" s="14">
        <f>COUNTIF(경기기록Sheet!$V:$V,B105)</f>
        <v>0</v>
      </c>
      <c r="I105" s="14">
        <f>SUM(D105:H105)</f>
        <v>5</v>
      </c>
    </row>
    <row r="106" spans="1:10" x14ac:dyDescent="0.25">
      <c r="A106" s="2">
        <f>종합Sheet!A106</f>
        <v>103</v>
      </c>
      <c r="B106" s="2" t="str">
        <f>종합Sheet!B106</f>
        <v>최강인</v>
      </c>
      <c r="C106" s="2">
        <f>((D106+E106+G106+H106)*0.2)+(F106*0.3)</f>
        <v>0.5</v>
      </c>
      <c r="D106" s="14">
        <f>COUNTIF(경기기록Sheet!$E:$H,B106)</f>
        <v>1</v>
      </c>
      <c r="E106" s="14">
        <f>COUNTIF(경기기록Sheet!$I:$L,B106)</f>
        <v>0</v>
      </c>
      <c r="F106" s="14">
        <f>COUNTIF(경기기록Sheet!$M:$P,B106)</f>
        <v>1</v>
      </c>
      <c r="G106" s="14">
        <f>COUNTIF(경기기록Sheet!$Q:$U,B106)</f>
        <v>0</v>
      </c>
      <c r="H106" s="14">
        <f>COUNTIF(경기기록Sheet!$V:$V,B106)</f>
        <v>0</v>
      </c>
      <c r="I106" s="14">
        <f>SUM(D106:H106)</f>
        <v>2</v>
      </c>
    </row>
    <row r="107" spans="1:10" x14ac:dyDescent="0.25">
      <c r="A107" s="2">
        <f>종합Sheet!A107</f>
        <v>104</v>
      </c>
      <c r="B107" s="2" t="str">
        <f>종합Sheet!B107</f>
        <v>최령창</v>
      </c>
      <c r="C107" s="2">
        <f>((D107+E107+G107+H107)*0.2)+(F107*0.3)</f>
        <v>4.6000000000000005</v>
      </c>
      <c r="D107" s="14">
        <f>COUNTIF(경기기록Sheet!$E:$H,B107)</f>
        <v>2</v>
      </c>
      <c r="E107" s="14">
        <f>COUNTIF(경기기록Sheet!$I:$L,B107)</f>
        <v>3</v>
      </c>
      <c r="F107" s="14">
        <f>COUNTIF(경기기록Sheet!$M:$P,B107)</f>
        <v>0</v>
      </c>
      <c r="G107" s="14">
        <f>COUNTIF(경기기록Sheet!$Q:$U,B107)</f>
        <v>16</v>
      </c>
      <c r="H107" s="14">
        <f>COUNTIF(경기기록Sheet!$V:$V,B107)</f>
        <v>2</v>
      </c>
      <c r="I107" s="14">
        <f>SUM(D107:H107)</f>
        <v>23</v>
      </c>
    </row>
    <row r="108" spans="1:10" x14ac:dyDescent="0.25">
      <c r="A108" s="2">
        <f>종합Sheet!A108</f>
        <v>105</v>
      </c>
      <c r="B108" s="2" t="str">
        <f>종합Sheet!B108</f>
        <v>최승훈</v>
      </c>
      <c r="C108" s="2">
        <f>((D108+E108+G108+H108)*0.2)+(F108*0.3)</f>
        <v>0</v>
      </c>
      <c r="D108" s="14">
        <f>COUNTIF(경기기록Sheet!$E:$H,B108)</f>
        <v>0</v>
      </c>
      <c r="E108" s="14">
        <f>COUNTIF(경기기록Sheet!$I:$L,B108)</f>
        <v>0</v>
      </c>
      <c r="F108" s="14">
        <f>COUNTIF(경기기록Sheet!$M:$P,B108)</f>
        <v>0</v>
      </c>
      <c r="G108" s="14">
        <f>COUNTIF(경기기록Sheet!$Q:$U,B108)</f>
        <v>0</v>
      </c>
      <c r="H108" s="14">
        <f>COUNTIF(경기기록Sheet!$V:$V,B108)</f>
        <v>0</v>
      </c>
      <c r="I108" s="14">
        <f>SUM(D108:H108)</f>
        <v>0</v>
      </c>
    </row>
    <row r="109" spans="1:10" x14ac:dyDescent="0.25">
      <c r="A109" s="2">
        <f>종합Sheet!A109</f>
        <v>106</v>
      </c>
      <c r="B109" s="2" t="str">
        <f>종합Sheet!B109</f>
        <v>한상규</v>
      </c>
      <c r="C109" s="2">
        <f>((D109+E109+G109+H109)*0.2)+(F109*0.3)</f>
        <v>3.2</v>
      </c>
      <c r="D109" s="14">
        <f>COUNTIF(경기기록Sheet!$E:$H,B109)</f>
        <v>1</v>
      </c>
      <c r="E109" s="14">
        <f>COUNTIF(경기기록Sheet!$I:$L,B109)</f>
        <v>0</v>
      </c>
      <c r="F109" s="14">
        <f>COUNTIF(경기기록Sheet!$M:$P,B109)</f>
        <v>0</v>
      </c>
      <c r="G109" s="14">
        <f>COUNTIF(경기기록Sheet!$Q:$U,B109)</f>
        <v>15</v>
      </c>
      <c r="H109" s="14">
        <f>COUNTIF(경기기록Sheet!$V:$V,B109)</f>
        <v>0</v>
      </c>
      <c r="I109" s="14">
        <f>SUM(D109:H109)</f>
        <v>16</v>
      </c>
    </row>
    <row r="110" spans="1:10" x14ac:dyDescent="0.25">
      <c r="A110" s="2">
        <f>종합Sheet!A110</f>
        <v>107</v>
      </c>
      <c r="B110" s="2" t="str">
        <f>종합Sheet!B110</f>
        <v>한의현</v>
      </c>
      <c r="C110" s="2">
        <f>((D110+E110+G110+H110)*0.2)+(F110*0.3)</f>
        <v>2.2000000000000002</v>
      </c>
      <c r="D110" s="14">
        <f>COUNTIF(경기기록Sheet!$E:$H,B110)</f>
        <v>0</v>
      </c>
      <c r="E110" s="14">
        <f>COUNTIF(경기기록Sheet!$I:$L,B110)</f>
        <v>2</v>
      </c>
      <c r="F110" s="14">
        <f>COUNTIF(경기기록Sheet!$M:$P,B110)</f>
        <v>0</v>
      </c>
      <c r="G110" s="14">
        <f>COUNTIF(경기기록Sheet!$Q:$U,B110)</f>
        <v>7</v>
      </c>
      <c r="H110" s="14">
        <f>COUNTIF(경기기록Sheet!$V:$V,B110)</f>
        <v>2</v>
      </c>
      <c r="I110" s="14">
        <f>SUM(D110:H110)</f>
        <v>11</v>
      </c>
    </row>
    <row r="111" spans="1:10" x14ac:dyDescent="0.25">
      <c r="A111" s="2">
        <f>종합Sheet!A111</f>
        <v>108</v>
      </c>
      <c r="B111" s="2" t="str">
        <f>종합Sheet!B111</f>
        <v>한중희</v>
      </c>
      <c r="C111" s="2">
        <f>((D111+E111+G111+H111)*0.2)+(F111*0.3)</f>
        <v>1.8</v>
      </c>
      <c r="D111" s="14">
        <f>COUNTIF(경기기록Sheet!$E:$H,B111)</f>
        <v>0</v>
      </c>
      <c r="E111" s="14">
        <f>COUNTIF(경기기록Sheet!$I:$L,B111)</f>
        <v>0</v>
      </c>
      <c r="F111" s="14">
        <f>COUNTIF(경기기록Sheet!$M:$P,B111)</f>
        <v>0</v>
      </c>
      <c r="G111" s="14">
        <f>COUNTIF(경기기록Sheet!$Q:$U,B111)</f>
        <v>8</v>
      </c>
      <c r="H111" s="14">
        <f>COUNTIF(경기기록Sheet!$V:$V,B111)</f>
        <v>1</v>
      </c>
      <c r="I111" s="14">
        <f>SUM(D111:H111)</f>
        <v>9</v>
      </c>
    </row>
    <row r="112" spans="1:10" x14ac:dyDescent="0.25">
      <c r="A112" s="2">
        <f>종합Sheet!A112</f>
        <v>109</v>
      </c>
      <c r="B112" s="2" t="str">
        <f>종합Sheet!B112</f>
        <v>허동혁</v>
      </c>
      <c r="C112" s="2">
        <f>((D112+E112+G112+H112)*0.2)+(F112*0.3)</f>
        <v>2.6</v>
      </c>
      <c r="D112" s="14">
        <f>COUNTIF(경기기록Sheet!$E:$H,B112)</f>
        <v>6</v>
      </c>
      <c r="E112" s="14">
        <f>COUNTIF(경기기록Sheet!$I:$L,B112)</f>
        <v>3</v>
      </c>
      <c r="F112" s="14">
        <f>COUNTIF(경기기록Sheet!$M:$P,B112)</f>
        <v>2</v>
      </c>
      <c r="G112" s="14">
        <f>COUNTIF(경기기록Sheet!$Q:$U,B112)</f>
        <v>0</v>
      </c>
      <c r="H112" s="14">
        <f>COUNTIF(경기기록Sheet!$V:$V,B112)</f>
        <v>1</v>
      </c>
      <c r="I112" s="14">
        <f>SUM(D112:H112)</f>
        <v>12</v>
      </c>
    </row>
    <row r="113" spans="1:9" x14ac:dyDescent="0.25">
      <c r="A113" s="2">
        <f>종합Sheet!A113</f>
        <v>110</v>
      </c>
      <c r="B113" s="2" t="str">
        <f>종합Sheet!B113</f>
        <v>홍석준</v>
      </c>
      <c r="C113" s="2">
        <f>((D113+E113+G113+H113)*0.2)+(F113*0.3)</f>
        <v>1.6</v>
      </c>
      <c r="D113" s="14">
        <f>COUNTIF(경기기록Sheet!$E:$H,B113)</f>
        <v>2</v>
      </c>
      <c r="E113" s="14">
        <f>COUNTIF(경기기록Sheet!$I:$L,B113)</f>
        <v>1</v>
      </c>
      <c r="F113" s="14">
        <f>COUNTIF(경기기록Sheet!$M:$P,B113)</f>
        <v>2</v>
      </c>
      <c r="G113" s="14">
        <f>COUNTIF(경기기록Sheet!$Q:$U,B113)</f>
        <v>1</v>
      </c>
      <c r="H113" s="14">
        <f>COUNTIF(경기기록Sheet!$V:$V,B113)</f>
        <v>1</v>
      </c>
      <c r="I113" s="14">
        <f>SUM(D113:H113)</f>
        <v>7</v>
      </c>
    </row>
    <row r="114" spans="1:9" x14ac:dyDescent="0.25">
      <c r="A114" s="2">
        <f>종합Sheet!A114</f>
        <v>111</v>
      </c>
      <c r="B114" s="2" t="str">
        <f>종합Sheet!B114</f>
        <v>홍현석</v>
      </c>
      <c r="C114" s="2">
        <f>((D114+E114+G114+H114)*0.2)+(F114*0.3)</f>
        <v>0.2</v>
      </c>
      <c r="D114" s="14">
        <f>COUNTIF(경기기록Sheet!$E:$H,B114)</f>
        <v>0</v>
      </c>
      <c r="E114" s="14">
        <f>COUNTIF(경기기록Sheet!$I:$L,B114)</f>
        <v>0</v>
      </c>
      <c r="F114" s="14">
        <f>COUNTIF(경기기록Sheet!$M:$P,B114)</f>
        <v>0</v>
      </c>
      <c r="G114" s="14">
        <f>COUNTIF(경기기록Sheet!$Q:$U,B114)</f>
        <v>1</v>
      </c>
      <c r="H114" s="14">
        <f>COUNTIF(경기기록Sheet!$V:$V,B114)</f>
        <v>0</v>
      </c>
      <c r="I114" s="14">
        <f>SUM(D114:H114)</f>
        <v>1</v>
      </c>
    </row>
    <row r="115" spans="1:9" x14ac:dyDescent="0.25">
      <c r="A115" s="2">
        <f>종합Sheet!A115</f>
        <v>112</v>
      </c>
      <c r="B115" s="2" t="str">
        <f>종합Sheet!B115</f>
        <v>황건호</v>
      </c>
      <c r="C115" s="2">
        <f>((D115+E115+G115+H115)*0.2)+(F115*0.3)</f>
        <v>2.5</v>
      </c>
      <c r="D115" s="14">
        <f>COUNTIF(경기기록Sheet!$E:$H,B115)</f>
        <v>4</v>
      </c>
      <c r="E115" s="14">
        <f>COUNTIF(경기기록Sheet!$I:$L,B115)</f>
        <v>1</v>
      </c>
      <c r="F115" s="14">
        <f>COUNTIF(경기기록Sheet!$M:$P,B115)</f>
        <v>5</v>
      </c>
      <c r="G115" s="14">
        <f>COUNTIF(경기기록Sheet!$Q:$U,B115)</f>
        <v>0</v>
      </c>
      <c r="H115" s="14">
        <f>COUNTIF(경기기록Sheet!$V:$V,B115)</f>
        <v>0</v>
      </c>
      <c r="I115" s="14">
        <f>SUM(D115:H115)</f>
        <v>10</v>
      </c>
    </row>
    <row r="116" spans="1:9" x14ac:dyDescent="0.25">
      <c r="A116" s="2">
        <f>종합Sheet!A116</f>
        <v>113</v>
      </c>
      <c r="B116" s="2" t="str">
        <f>종합Sheet!B116</f>
        <v>황석원</v>
      </c>
      <c r="C116" s="2">
        <f>((D116+E116+G116+H116)*0.2)+(F116*0.3)</f>
        <v>3.8000000000000003</v>
      </c>
      <c r="D116" s="14">
        <f>COUNTIF(경기기록Sheet!$E:$H,B116)</f>
        <v>2</v>
      </c>
      <c r="E116" s="14">
        <f>COUNTIF(경기기록Sheet!$I:$L,B116)</f>
        <v>0</v>
      </c>
      <c r="F116" s="14">
        <f>COUNTIF(경기기록Sheet!$M:$P,B116)</f>
        <v>2</v>
      </c>
      <c r="G116" s="14">
        <f>COUNTIF(경기기록Sheet!$Q:$U,B116)</f>
        <v>13</v>
      </c>
      <c r="H116" s="14">
        <f>COUNTIF(경기기록Sheet!$V:$V,B116)</f>
        <v>1</v>
      </c>
      <c r="I116" s="14">
        <f>SUM(D116:H116)</f>
        <v>18</v>
      </c>
    </row>
    <row r="117" spans="1:9" x14ac:dyDescent="0.25">
      <c r="A117" s="2">
        <f>종합Sheet!A117</f>
        <v>114</v>
      </c>
      <c r="B117" s="2" t="str">
        <f>종합Sheet!B117</f>
        <v>황재순</v>
      </c>
      <c r="C117" s="2">
        <f>((D117+E117+G117+H117)*0.2)+(F117*0.3)</f>
        <v>0.4</v>
      </c>
      <c r="D117" s="14">
        <f>COUNTIF(경기기록Sheet!$E:$H,B117)</f>
        <v>0</v>
      </c>
      <c r="E117" s="14">
        <f>COUNTIF(경기기록Sheet!$I:$L,B117)</f>
        <v>0</v>
      </c>
      <c r="F117" s="14">
        <f>COUNTIF(경기기록Sheet!$M:$P,B117)</f>
        <v>0</v>
      </c>
      <c r="G117" s="14">
        <f>COUNTIF(경기기록Sheet!$Q:$U,B117)</f>
        <v>2</v>
      </c>
      <c r="H117" s="14">
        <f>COUNTIF(경기기록Sheet!$V:$V,B117)</f>
        <v>0</v>
      </c>
      <c r="I117" s="14">
        <f>SUM(D117:H117)</f>
        <v>2</v>
      </c>
    </row>
    <row r="118" spans="1:9" x14ac:dyDescent="0.25">
      <c r="A118" s="2">
        <f>종합Sheet!A118</f>
        <v>115</v>
      </c>
      <c r="B118" s="2" t="str">
        <f>종합Sheet!B118</f>
        <v>황철우</v>
      </c>
      <c r="C118" s="2">
        <f>((D118+E118+G118+H118)*0.2)+(F118*0.3)</f>
        <v>0.4</v>
      </c>
      <c r="D118" s="14">
        <f>COUNTIF(경기기록Sheet!$E:$H,B118)</f>
        <v>2</v>
      </c>
      <c r="E118" s="14">
        <f>COUNTIF(경기기록Sheet!$I:$L,B118)</f>
        <v>0</v>
      </c>
      <c r="F118" s="14">
        <f>COUNTIF(경기기록Sheet!$M:$P,B118)</f>
        <v>0</v>
      </c>
      <c r="G118" s="14">
        <f>COUNTIF(경기기록Sheet!$Q:$U,B118)</f>
        <v>0</v>
      </c>
      <c r="H118" s="14">
        <f>COUNTIF(경기기록Sheet!$V:$V,B118)</f>
        <v>0</v>
      </c>
      <c r="I118" s="14">
        <f>SUM(D118:H118)</f>
        <v>2</v>
      </c>
    </row>
    <row r="119" spans="1:9" x14ac:dyDescent="0.25">
      <c r="A119" s="2">
        <f>종합Sheet!A119</f>
        <v>116</v>
      </c>
      <c r="B119" s="2" t="str">
        <f>종합Sheet!B119</f>
        <v>김민성</v>
      </c>
      <c r="C119" s="2">
        <f>((D119+E119+G119+H119)*0.2)+(F119*0.3)</f>
        <v>0</v>
      </c>
      <c r="D119" s="14">
        <f>COUNTIF(경기기록Sheet!$E:$H,B119)</f>
        <v>0</v>
      </c>
      <c r="E119" s="14">
        <f>COUNTIF(경기기록Sheet!$I:$L,B119)</f>
        <v>0</v>
      </c>
      <c r="F119" s="14">
        <f>COUNTIF(경기기록Sheet!$M:$P,B119)</f>
        <v>0</v>
      </c>
      <c r="G119" s="14">
        <f>COUNTIF(경기기록Sheet!$Q:$U,B119)</f>
        <v>0</v>
      </c>
      <c r="H119" s="14">
        <f>COUNTIF(경기기록Sheet!$V:$V,B119)</f>
        <v>0</v>
      </c>
      <c r="I119" s="14">
        <f>SUM(D119:H119)</f>
        <v>0</v>
      </c>
    </row>
    <row r="120" spans="1:9" x14ac:dyDescent="0.25">
      <c r="A120" s="2">
        <f>종합Sheet!A120</f>
        <v>117</v>
      </c>
      <c r="B120" s="2" t="str">
        <f>종합Sheet!B120</f>
        <v>송명섭</v>
      </c>
      <c r="C120" s="2">
        <f>((D120+E120+G120+H120)*0.2)+(F120*0.3)</f>
        <v>0.2</v>
      </c>
      <c r="D120" s="14">
        <f>COUNTIF(경기기록Sheet!$E:$H,B120)</f>
        <v>1</v>
      </c>
      <c r="E120" s="14">
        <f>COUNTIF(경기기록Sheet!$I:$L,B120)</f>
        <v>0</v>
      </c>
      <c r="F120" s="14">
        <f>COUNTIF(경기기록Sheet!$M:$P,B120)</f>
        <v>0</v>
      </c>
      <c r="G120" s="14">
        <f>COUNTIF(경기기록Sheet!$Q:$U,B120)</f>
        <v>0</v>
      </c>
      <c r="H120" s="14">
        <f>COUNTIF(경기기록Sheet!$V:$V,B120)</f>
        <v>0</v>
      </c>
      <c r="I120" s="14">
        <f>SUM(D120:H120)</f>
        <v>1</v>
      </c>
    </row>
    <row r="121" spans="1:9" x14ac:dyDescent="0.25">
      <c r="A121" s="2">
        <f>종합Sheet!A121</f>
        <v>118</v>
      </c>
      <c r="B121" s="2" t="str">
        <f>종합Sheet!B121</f>
        <v>최경영</v>
      </c>
      <c r="C121" s="2">
        <f>((D121+E121+G121+H121)*0.2)+(F121*0.3)</f>
        <v>4.8000000000000007</v>
      </c>
      <c r="D121" s="14">
        <f>COUNTIF(경기기록Sheet!$E:$H,B121)</f>
        <v>2</v>
      </c>
      <c r="E121" s="14">
        <f>COUNTIF(경기기록Sheet!$I:$L,B121)</f>
        <v>2</v>
      </c>
      <c r="F121" s="14">
        <f>COUNTIF(경기기록Sheet!$M:$P,B121)</f>
        <v>0</v>
      </c>
      <c r="G121" s="14">
        <f>COUNTIF(경기기록Sheet!$Q:$U,B121)</f>
        <v>4</v>
      </c>
      <c r="H121" s="14">
        <f>COUNTIF(경기기록Sheet!$V:$V,B121)</f>
        <v>16</v>
      </c>
      <c r="I121" s="14">
        <f>SUM(D121:H121)</f>
        <v>24</v>
      </c>
    </row>
    <row r="122" spans="1:9" x14ac:dyDescent="0.25">
      <c r="A122" s="2">
        <f>종합Sheet!A122</f>
        <v>119</v>
      </c>
      <c r="B122" s="2" t="str">
        <f>종합Sheet!B122</f>
        <v>박지수</v>
      </c>
      <c r="C122" s="2">
        <f>((D122+E122+G122+H122)*0.2)+(F122*0.3)</f>
        <v>1.6</v>
      </c>
      <c r="D122" s="14">
        <f>COUNTIF(경기기록Sheet!$E:$H,B122)</f>
        <v>1</v>
      </c>
      <c r="E122" s="14">
        <f>COUNTIF(경기기록Sheet!$I:$L,B122)</f>
        <v>1</v>
      </c>
      <c r="F122" s="14">
        <f>COUNTIF(경기기록Sheet!$M:$P,B122)</f>
        <v>0</v>
      </c>
      <c r="G122" s="14">
        <f>COUNTIF(경기기록Sheet!$Q:$U,B122)</f>
        <v>6</v>
      </c>
      <c r="H122" s="14">
        <f>COUNTIF(경기기록Sheet!$V:$V,B122)</f>
        <v>0</v>
      </c>
      <c r="I122" s="14">
        <f>SUM(D122:H122)</f>
        <v>8</v>
      </c>
    </row>
  </sheetData>
  <phoneticPr fontId="2" type="noConversion"/>
  <conditionalFormatting sqref="D4:D122">
    <cfRule type="top10" dxfId="9" priority="974" rank="7"/>
  </conditionalFormatting>
  <conditionalFormatting sqref="E4:E122">
    <cfRule type="top10" dxfId="8" priority="975" rank="7"/>
  </conditionalFormatting>
  <conditionalFormatting sqref="F4:F122">
    <cfRule type="top10" dxfId="7" priority="976" rank="7"/>
  </conditionalFormatting>
  <conditionalFormatting sqref="G4:G122">
    <cfRule type="top10" dxfId="6" priority="977" rank="7"/>
  </conditionalFormatting>
  <conditionalFormatting sqref="H4:H122">
    <cfRule type="top10" dxfId="5" priority="978" rank="3"/>
    <cfRule type="top10" priority="979" rank="5"/>
  </conditionalFormatting>
  <conditionalFormatting sqref="I4:I122">
    <cfRule type="top10" dxfId="4" priority="980" rank="10"/>
  </conditionalFormatting>
  <pageMargins left="0.39347222447395325" right="0.39347222447395325" top="0.19666667282581329" bottom="0.19666667282581329" header="0.19666667282581329" footer="0.19666667282581329"/>
  <pageSetup paperSize="9" scale="9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18"/>
  <sheetViews>
    <sheetView workbookViewId="0">
      <selection activeCell="M20" sqref="M20"/>
    </sheetView>
  </sheetViews>
  <sheetFormatPr defaultRowHeight="15.6" x14ac:dyDescent="0.25"/>
  <cols>
    <col min="1" max="2" width="8.796875" style="1"/>
    <col min="3" max="3" width="25.3984375" style="1" bestFit="1" customWidth="1"/>
    <col min="4" max="4" width="26.8984375" style="1" bestFit="1" customWidth="1"/>
    <col min="5" max="5" width="8.69921875" style="1" customWidth="1"/>
    <col min="6" max="6" width="4.69921875" style="1" customWidth="1"/>
    <col min="7" max="7" width="8.69921875" style="1" customWidth="1"/>
    <col min="8" max="8" width="4.69921875" style="1" customWidth="1"/>
    <col min="9" max="9" width="8.69921875" style="1" customWidth="1"/>
    <col min="10" max="10" width="4.69921875" style="1" customWidth="1"/>
    <col min="11" max="11" width="8.69921875" style="1" customWidth="1"/>
    <col min="12" max="12" width="4.69921875" style="1" customWidth="1"/>
    <col min="13" max="13" width="8.69921875" style="1" customWidth="1"/>
    <col min="14" max="14" width="4.69921875" style="1" customWidth="1"/>
    <col min="15" max="16" width="8.796875" style="1"/>
    <col min="17" max="17" width="10.5" style="1" bestFit="1" customWidth="1"/>
    <col min="18" max="18" width="11.69921875" style="1" bestFit="1" customWidth="1"/>
    <col min="19" max="27" width="8.796875" style="1"/>
  </cols>
  <sheetData>
    <row r="2" spans="1:18" ht="16.2" thickBot="1" x14ac:dyDescent="0.3"/>
    <row r="3" spans="1:18" x14ac:dyDescent="0.25">
      <c r="A3" s="2"/>
      <c r="B3" s="2" t="s">
        <v>145</v>
      </c>
      <c r="C3" s="2" t="s">
        <v>146</v>
      </c>
      <c r="D3" s="2" t="s">
        <v>152</v>
      </c>
      <c r="E3" s="2" t="s">
        <v>184</v>
      </c>
      <c r="F3" s="2"/>
      <c r="G3" s="2" t="s">
        <v>185</v>
      </c>
      <c r="H3" s="2"/>
      <c r="I3" s="2" t="s">
        <v>186</v>
      </c>
      <c r="J3" s="2"/>
      <c r="K3" s="2" t="s">
        <v>187</v>
      </c>
      <c r="L3" s="2"/>
      <c r="M3" s="2" t="s">
        <v>188</v>
      </c>
      <c r="N3" s="2"/>
      <c r="P3" s="39" t="s">
        <v>273</v>
      </c>
      <c r="Q3" s="40" t="s">
        <v>252</v>
      </c>
      <c r="R3" s="41" t="s">
        <v>272</v>
      </c>
    </row>
    <row r="4" spans="1:18" x14ac:dyDescent="0.25">
      <c r="A4" s="2">
        <v>1</v>
      </c>
      <c r="B4" s="2" t="s">
        <v>151</v>
      </c>
      <c r="C4" s="2" t="s">
        <v>183</v>
      </c>
      <c r="D4" s="2" t="s">
        <v>180</v>
      </c>
      <c r="E4" s="26" t="s">
        <v>105</v>
      </c>
      <c r="F4" s="26">
        <v>42</v>
      </c>
      <c r="G4" s="26" t="s">
        <v>124</v>
      </c>
      <c r="H4" s="26">
        <v>36</v>
      </c>
      <c r="I4" s="29" t="s">
        <v>118</v>
      </c>
      <c r="J4" s="29">
        <v>27</v>
      </c>
      <c r="K4" s="29" t="s">
        <v>109</v>
      </c>
      <c r="L4" s="29">
        <v>27</v>
      </c>
      <c r="M4" s="2" t="s">
        <v>102</v>
      </c>
      <c r="N4" s="2">
        <v>26</v>
      </c>
      <c r="P4" s="42">
        <v>1</v>
      </c>
      <c r="Q4" s="2" t="s">
        <v>254</v>
      </c>
      <c r="R4" s="43" t="s">
        <v>267</v>
      </c>
    </row>
    <row r="5" spans="1:18" x14ac:dyDescent="0.25">
      <c r="A5" s="2">
        <v>2</v>
      </c>
      <c r="B5" s="2" t="s">
        <v>140</v>
      </c>
      <c r="C5" s="2" t="s">
        <v>147</v>
      </c>
      <c r="D5" s="2" t="s">
        <v>190</v>
      </c>
      <c r="E5" s="29" t="s">
        <v>109</v>
      </c>
      <c r="F5" s="29">
        <v>20</v>
      </c>
      <c r="G5" s="2" t="s">
        <v>102</v>
      </c>
      <c r="H5" s="2">
        <v>17</v>
      </c>
      <c r="I5" s="2" t="s">
        <v>121</v>
      </c>
      <c r="J5" s="2">
        <v>13</v>
      </c>
      <c r="K5" s="2" t="s">
        <v>134</v>
      </c>
      <c r="L5" s="2">
        <v>12</v>
      </c>
      <c r="M5" s="2" t="s">
        <v>130</v>
      </c>
      <c r="N5" s="2">
        <v>10</v>
      </c>
      <c r="P5" s="42">
        <v>2</v>
      </c>
      <c r="Q5" s="2" t="s">
        <v>255</v>
      </c>
      <c r="R5" s="43" t="s">
        <v>268</v>
      </c>
    </row>
    <row r="6" spans="1:18" x14ac:dyDescent="0.25">
      <c r="A6" s="2">
        <v>3</v>
      </c>
      <c r="B6" s="2" t="s">
        <v>141</v>
      </c>
      <c r="C6" s="2" t="s">
        <v>148</v>
      </c>
      <c r="D6" s="2" t="s">
        <v>190</v>
      </c>
      <c r="E6" s="29" t="s">
        <v>90</v>
      </c>
      <c r="F6" s="29">
        <v>14</v>
      </c>
      <c r="G6" s="2" t="s">
        <v>100</v>
      </c>
      <c r="H6" s="2">
        <v>11</v>
      </c>
      <c r="I6" s="2" t="s">
        <v>109</v>
      </c>
      <c r="J6" s="2">
        <v>11</v>
      </c>
      <c r="K6" s="2" t="s">
        <v>102</v>
      </c>
      <c r="L6" s="2">
        <v>8</v>
      </c>
      <c r="M6" s="2" t="s">
        <v>134</v>
      </c>
      <c r="N6" s="2">
        <v>8</v>
      </c>
      <c r="P6" s="42">
        <v>3</v>
      </c>
      <c r="Q6" s="2" t="s">
        <v>256</v>
      </c>
      <c r="R6" s="43" t="s">
        <v>266</v>
      </c>
    </row>
    <row r="7" spans="1:18" x14ac:dyDescent="0.25">
      <c r="A7" s="2">
        <v>4</v>
      </c>
      <c r="B7" s="2" t="s">
        <v>143</v>
      </c>
      <c r="C7" s="2" t="s">
        <v>149</v>
      </c>
      <c r="D7" s="2" t="s">
        <v>190</v>
      </c>
      <c r="E7" s="29" t="s">
        <v>107</v>
      </c>
      <c r="F7" s="29">
        <v>24</v>
      </c>
      <c r="G7" s="2" t="s">
        <v>102</v>
      </c>
      <c r="H7" s="2">
        <v>21</v>
      </c>
      <c r="I7" s="2" t="s">
        <v>101</v>
      </c>
      <c r="J7" s="2">
        <v>19</v>
      </c>
      <c r="K7" s="2" t="s">
        <v>134</v>
      </c>
      <c r="L7" s="2">
        <v>19</v>
      </c>
      <c r="M7" s="2" t="s">
        <v>103</v>
      </c>
      <c r="N7" s="2">
        <v>17</v>
      </c>
      <c r="P7" s="42">
        <v>4</v>
      </c>
      <c r="Q7" s="2" t="s">
        <v>257</v>
      </c>
      <c r="R7" s="43" t="s">
        <v>269</v>
      </c>
    </row>
    <row r="8" spans="1:18" x14ac:dyDescent="0.25">
      <c r="A8" s="2">
        <v>5</v>
      </c>
      <c r="B8" s="2" t="s">
        <v>142</v>
      </c>
      <c r="C8" s="2" t="s">
        <v>150</v>
      </c>
      <c r="D8" s="2" t="s">
        <v>191</v>
      </c>
      <c r="E8" s="29" t="s">
        <v>124</v>
      </c>
      <c r="F8" s="29">
        <v>50</v>
      </c>
      <c r="G8" s="29" t="s">
        <v>118</v>
      </c>
      <c r="H8" s="29">
        <v>40</v>
      </c>
      <c r="I8" s="2" t="s">
        <v>115</v>
      </c>
      <c r="J8" s="2">
        <v>34</v>
      </c>
      <c r="K8" s="2" t="s">
        <v>104</v>
      </c>
      <c r="L8" s="2">
        <v>25</v>
      </c>
      <c r="M8" s="2" t="s">
        <v>133</v>
      </c>
      <c r="N8" s="2">
        <v>24</v>
      </c>
      <c r="P8" s="42">
        <v>5</v>
      </c>
      <c r="Q8" s="2" t="s">
        <v>253</v>
      </c>
      <c r="R8" s="43" t="s">
        <v>269</v>
      </c>
    </row>
    <row r="9" spans="1:18" x14ac:dyDescent="0.25">
      <c r="A9" s="2">
        <v>6</v>
      </c>
      <c r="B9" s="2" t="s">
        <v>144</v>
      </c>
      <c r="C9" s="2" t="s">
        <v>150</v>
      </c>
      <c r="D9" s="2" t="s">
        <v>190</v>
      </c>
      <c r="E9" s="29" t="s">
        <v>108</v>
      </c>
      <c r="F9" s="29">
        <v>34</v>
      </c>
      <c r="G9" s="2" t="s">
        <v>161</v>
      </c>
      <c r="H9" s="2">
        <v>15</v>
      </c>
      <c r="I9" s="2" t="s">
        <v>189</v>
      </c>
      <c r="J9" s="2">
        <v>8</v>
      </c>
      <c r="K9" s="2"/>
      <c r="L9" s="2"/>
      <c r="M9" s="2"/>
      <c r="N9" s="2"/>
      <c r="P9" s="42">
        <v>6</v>
      </c>
      <c r="Q9" s="2" t="s">
        <v>258</v>
      </c>
      <c r="R9" s="43" t="s">
        <v>270</v>
      </c>
    </row>
    <row r="10" spans="1:18" x14ac:dyDescent="0.25">
      <c r="A10" s="82">
        <v>7</v>
      </c>
      <c r="B10" s="82" t="s">
        <v>156</v>
      </c>
      <c r="C10" s="82" t="s">
        <v>157</v>
      </c>
      <c r="D10" s="82" t="s">
        <v>192</v>
      </c>
      <c r="E10" s="26" t="s">
        <v>124</v>
      </c>
      <c r="F10" s="26">
        <v>47.7</v>
      </c>
      <c r="G10" s="26" t="s">
        <v>105</v>
      </c>
      <c r="H10" s="26">
        <v>45.2</v>
      </c>
      <c r="I10" s="29" t="s">
        <v>102</v>
      </c>
      <c r="J10" s="29">
        <v>38.299999999999997</v>
      </c>
      <c r="K10" s="26" t="s">
        <v>118</v>
      </c>
      <c r="L10" s="26">
        <v>36.4</v>
      </c>
      <c r="M10" s="29" t="s">
        <v>100</v>
      </c>
      <c r="N10" s="29">
        <v>34.200000000000003</v>
      </c>
      <c r="P10" s="42">
        <v>7</v>
      </c>
      <c r="Q10" s="2" t="s">
        <v>259</v>
      </c>
      <c r="R10" s="43"/>
    </row>
    <row r="11" spans="1:18" x14ac:dyDescent="0.25">
      <c r="A11" s="83"/>
      <c r="B11" s="83"/>
      <c r="C11" s="83"/>
      <c r="D11" s="83"/>
      <c r="E11" s="26" t="s">
        <v>109</v>
      </c>
      <c r="F11" s="26">
        <v>34.200000000000003</v>
      </c>
      <c r="G11" s="29" t="s">
        <v>134</v>
      </c>
      <c r="H11" s="29">
        <v>33.5</v>
      </c>
      <c r="I11" s="29" t="s">
        <v>101</v>
      </c>
      <c r="J11" s="29">
        <v>33.299999999999997</v>
      </c>
      <c r="K11" s="26" t="s">
        <v>108</v>
      </c>
      <c r="L11" s="26">
        <v>32.6</v>
      </c>
      <c r="M11" s="29" t="s">
        <v>115</v>
      </c>
      <c r="N11" s="29">
        <v>31.6</v>
      </c>
      <c r="P11" s="42">
        <v>8</v>
      </c>
      <c r="Q11" s="2" t="s">
        <v>260</v>
      </c>
      <c r="R11" s="43"/>
    </row>
    <row r="12" spans="1:18" x14ac:dyDescent="0.25">
      <c r="A12" s="2">
        <v>8</v>
      </c>
      <c r="B12" s="2" t="s">
        <v>153</v>
      </c>
      <c r="C12" s="2" t="s">
        <v>159</v>
      </c>
      <c r="D12" s="2" t="s">
        <v>160</v>
      </c>
      <c r="E12" s="26" t="s">
        <v>109</v>
      </c>
      <c r="F12" s="26">
        <v>27</v>
      </c>
      <c r="G12" s="26" t="s">
        <v>118</v>
      </c>
      <c r="H12" s="26">
        <v>27</v>
      </c>
      <c r="I12" s="29" t="s">
        <v>113</v>
      </c>
      <c r="J12" s="29">
        <v>24</v>
      </c>
      <c r="K12" s="2" t="s">
        <v>135</v>
      </c>
      <c r="L12" s="2">
        <v>23</v>
      </c>
      <c r="M12" s="2" t="s">
        <v>130</v>
      </c>
      <c r="N12" s="2">
        <v>23</v>
      </c>
      <c r="P12" s="42">
        <v>9</v>
      </c>
      <c r="Q12" s="2" t="s">
        <v>261</v>
      </c>
      <c r="R12" s="43"/>
    </row>
    <row r="13" spans="1:18" x14ac:dyDescent="0.25">
      <c r="A13" s="2">
        <v>9</v>
      </c>
      <c r="B13" s="2" t="s">
        <v>154</v>
      </c>
      <c r="C13" s="2" t="s">
        <v>158</v>
      </c>
      <c r="D13" s="2" t="s">
        <v>160</v>
      </c>
      <c r="E13" s="26" t="s">
        <v>109</v>
      </c>
      <c r="F13" s="26">
        <v>27</v>
      </c>
      <c r="G13" s="26" t="s">
        <v>118</v>
      </c>
      <c r="H13" s="26">
        <v>27</v>
      </c>
      <c r="I13" s="26" t="s">
        <v>113</v>
      </c>
      <c r="J13" s="26">
        <v>24</v>
      </c>
      <c r="K13" s="26" t="s">
        <v>91</v>
      </c>
      <c r="L13" s="26">
        <v>22</v>
      </c>
      <c r="M13" s="29" t="s">
        <v>106</v>
      </c>
      <c r="N13" s="29">
        <v>21</v>
      </c>
      <c r="P13" s="42">
        <v>10</v>
      </c>
      <c r="Q13" s="2" t="s">
        <v>243</v>
      </c>
      <c r="R13" s="43"/>
    </row>
    <row r="14" spans="1:18" x14ac:dyDescent="0.25">
      <c r="A14" s="2">
        <v>10</v>
      </c>
      <c r="B14" s="2" t="s">
        <v>155</v>
      </c>
      <c r="C14" s="2" t="s">
        <v>175</v>
      </c>
      <c r="D14" s="2" t="s">
        <v>160</v>
      </c>
      <c r="E14" s="29" t="s">
        <v>135</v>
      </c>
      <c r="F14" s="29">
        <v>23</v>
      </c>
      <c r="G14" s="29" t="s">
        <v>130</v>
      </c>
      <c r="H14" s="29">
        <v>23</v>
      </c>
      <c r="I14" s="26" t="s">
        <v>134</v>
      </c>
      <c r="J14" s="26">
        <v>22</v>
      </c>
      <c r="K14" s="2" t="s">
        <v>125</v>
      </c>
      <c r="L14" s="2">
        <v>20</v>
      </c>
      <c r="M14" s="2" t="s">
        <v>133</v>
      </c>
      <c r="N14" s="2">
        <v>19</v>
      </c>
      <c r="P14" s="42">
        <v>11</v>
      </c>
      <c r="Q14" s="2" t="s">
        <v>262</v>
      </c>
      <c r="R14" s="43"/>
    </row>
    <row r="15" spans="1:18" x14ac:dyDescent="0.25">
      <c r="A15" s="2">
        <v>11</v>
      </c>
      <c r="B15" s="2" t="s">
        <v>176</v>
      </c>
      <c r="C15" s="2" t="s">
        <v>177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P15" s="42">
        <v>12</v>
      </c>
      <c r="Q15" s="2" t="s">
        <v>263</v>
      </c>
      <c r="R15" s="43" t="s">
        <v>271</v>
      </c>
    </row>
    <row r="16" spans="1:18" x14ac:dyDescent="0.25">
      <c r="P16" s="42">
        <v>13</v>
      </c>
      <c r="Q16" s="2" t="s">
        <v>264</v>
      </c>
      <c r="R16" s="43" t="s">
        <v>271</v>
      </c>
    </row>
    <row r="17" spans="1:18" x14ac:dyDescent="0.25">
      <c r="A17" s="30" t="s">
        <v>193</v>
      </c>
      <c r="P17" s="42">
        <v>14</v>
      </c>
      <c r="Q17" s="2" t="s">
        <v>242</v>
      </c>
      <c r="R17" s="43" t="s">
        <v>271</v>
      </c>
    </row>
    <row r="18" spans="1:18" ht="16.2" thickBot="1" x14ac:dyDescent="0.3">
      <c r="A18" s="30" t="s">
        <v>194</v>
      </c>
      <c r="P18" s="44">
        <v>15</v>
      </c>
      <c r="Q18" s="45" t="s">
        <v>265</v>
      </c>
      <c r="R18" s="46" t="s">
        <v>271</v>
      </c>
    </row>
  </sheetData>
  <mergeCells count="4">
    <mergeCell ref="A10:A11"/>
    <mergeCell ref="B10:B11"/>
    <mergeCell ref="C10:C11"/>
    <mergeCell ref="D10:D1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A1E7-878E-4BD1-AA56-2AF3E69AA6A2}">
  <dimension ref="A2:V19"/>
  <sheetViews>
    <sheetView showGridLines="0" topLeftCell="D1" workbookViewId="0">
      <selection activeCell="S20" sqref="S20"/>
    </sheetView>
  </sheetViews>
  <sheetFormatPr defaultRowHeight="15.6" x14ac:dyDescent="0.25"/>
  <cols>
    <col min="1" max="1" width="12.5" style="1" bestFit="1" customWidth="1"/>
    <col min="2" max="3" width="8.796875" style="1"/>
    <col min="4" max="4" width="10.09765625" style="1" bestFit="1" customWidth="1"/>
    <col min="5" max="5" width="3.19921875" style="37" bestFit="1" customWidth="1"/>
    <col min="6" max="6" width="8.796875" style="1"/>
    <col min="7" max="8" width="10.69921875" style="1" customWidth="1"/>
    <col min="9" max="9" width="8.796875" style="37"/>
    <col min="10" max="10" width="10.09765625" style="1" bestFit="1" customWidth="1"/>
    <col min="11" max="11" width="3.19921875" style="37" bestFit="1" customWidth="1"/>
    <col min="12" max="12" width="8.796875" style="1"/>
    <col min="13" max="13" width="8.796875" style="37"/>
    <col min="14" max="15" width="8.796875" style="1"/>
    <col min="16" max="16" width="10.09765625" style="1" bestFit="1" customWidth="1"/>
    <col min="17" max="17" width="3.19921875" style="37" bestFit="1" customWidth="1"/>
    <col min="18" max="18" width="8.796875" style="1"/>
    <col min="19" max="19" width="8.796875" style="37"/>
    <col min="20" max="20" width="8.796875" style="1"/>
    <col min="21" max="22" width="8.796875" style="37"/>
  </cols>
  <sheetData>
    <row r="2" spans="1:22" x14ac:dyDescent="0.25">
      <c r="D2" s="92" t="s">
        <v>184</v>
      </c>
      <c r="E2" s="92"/>
      <c r="F2" s="92"/>
      <c r="G2" s="92"/>
      <c r="H2" s="92"/>
      <c r="J2" s="84" t="s">
        <v>185</v>
      </c>
      <c r="K2" s="84"/>
      <c r="L2" s="84"/>
      <c r="M2" s="84"/>
      <c r="N2" s="84"/>
      <c r="P2" s="84" t="s">
        <v>186</v>
      </c>
      <c r="Q2" s="84"/>
      <c r="R2" s="84"/>
      <c r="S2" s="84"/>
      <c r="T2" s="84"/>
      <c r="U2" s="84"/>
      <c r="V2" s="84"/>
    </row>
    <row r="3" spans="1:22" x14ac:dyDescent="0.25">
      <c r="A3" s="1" t="s">
        <v>248</v>
      </c>
      <c r="B3" s="1" t="s">
        <v>226</v>
      </c>
      <c r="D3" s="92" t="s">
        <v>248</v>
      </c>
      <c r="E3" s="92"/>
      <c r="F3" s="47" t="s">
        <v>226</v>
      </c>
      <c r="G3" s="47" t="s">
        <v>275</v>
      </c>
      <c r="H3" s="47"/>
      <c r="J3" s="84" t="s">
        <v>248</v>
      </c>
      <c r="K3" s="84"/>
      <c r="L3" s="50" t="s">
        <v>226</v>
      </c>
      <c r="M3" s="50" t="s">
        <v>276</v>
      </c>
      <c r="N3" s="50" t="s">
        <v>277</v>
      </c>
      <c r="P3" s="84" t="s">
        <v>248</v>
      </c>
      <c r="Q3" s="84"/>
      <c r="R3" s="50" t="s">
        <v>226</v>
      </c>
      <c r="S3" s="50" t="s">
        <v>276</v>
      </c>
      <c r="T3" s="50" t="s">
        <v>277</v>
      </c>
      <c r="U3" s="50" t="s">
        <v>277</v>
      </c>
      <c r="V3" s="50" t="s">
        <v>277</v>
      </c>
    </row>
    <row r="4" spans="1:22" ht="15.6" customHeight="1" x14ac:dyDescent="0.25">
      <c r="A4" s="1" t="s">
        <v>151</v>
      </c>
      <c r="B4" s="1" t="s">
        <v>130</v>
      </c>
      <c r="D4" s="85" t="s">
        <v>245</v>
      </c>
      <c r="E4" s="48">
        <v>1</v>
      </c>
      <c r="F4" s="47" t="s">
        <v>278</v>
      </c>
      <c r="G4" s="47"/>
      <c r="H4" s="47"/>
      <c r="J4" s="88" t="s">
        <v>250</v>
      </c>
      <c r="K4" s="51">
        <v>1</v>
      </c>
      <c r="L4" s="50" t="s">
        <v>50</v>
      </c>
      <c r="M4" s="51">
        <v>39</v>
      </c>
      <c r="N4" s="50" t="str">
        <f>IF(1=COUNTIF($F$5:$F$15,L4),"수상","미수상")</f>
        <v>미수상</v>
      </c>
      <c r="P4" s="91" t="s">
        <v>251</v>
      </c>
      <c r="Q4" s="51">
        <v>1</v>
      </c>
      <c r="R4" s="50" t="s">
        <v>220</v>
      </c>
      <c r="S4" s="51">
        <v>30</v>
      </c>
      <c r="T4" s="50" t="str">
        <f>IF(1=COUNTIF($F$4:$F$14,R4),"수상","미수상")</f>
        <v>수상</v>
      </c>
      <c r="U4" s="50" t="str">
        <f>IF(1=COUNTIF($L$4:$L$14,R4),"수상","미수상")</f>
        <v>수상</v>
      </c>
      <c r="V4" s="50"/>
    </row>
    <row r="5" spans="1:22" x14ac:dyDescent="0.25">
      <c r="A5" s="1" t="s">
        <v>249</v>
      </c>
      <c r="B5" s="1" t="s">
        <v>97</v>
      </c>
      <c r="D5" s="86"/>
      <c r="E5" s="48">
        <v>2</v>
      </c>
      <c r="F5" s="49" t="s">
        <v>279</v>
      </c>
      <c r="G5" s="47" t="s">
        <v>151</v>
      </c>
      <c r="H5" s="47" t="s">
        <v>246</v>
      </c>
      <c r="J5" s="89"/>
      <c r="K5" s="51">
        <v>2</v>
      </c>
      <c r="L5" s="50" t="s">
        <v>220</v>
      </c>
      <c r="M5" s="51">
        <v>30</v>
      </c>
      <c r="N5" s="50" t="str">
        <f t="shared" ref="N5:N19" si="0">IF(1=COUNTIF($F$5:$F$15,L5),"수상","미수상")</f>
        <v>수상</v>
      </c>
      <c r="P5" s="91"/>
      <c r="Q5" s="51">
        <v>2</v>
      </c>
      <c r="R5" s="50" t="s">
        <v>228</v>
      </c>
      <c r="S5" s="51">
        <v>26</v>
      </c>
      <c r="T5" s="50" t="str">
        <f t="shared" ref="T5:T16" si="1">IF(1=COUNTIF($F$4:$F$14,R5),"수상","미수상")</f>
        <v>미수상</v>
      </c>
      <c r="U5" s="50" t="str">
        <f t="shared" ref="U5:U16" si="2">IF(1=COUNTIF($L$4:$L$14,R5),"수상","미수상")</f>
        <v>수상</v>
      </c>
      <c r="V5" s="50"/>
    </row>
    <row r="6" spans="1:22" x14ac:dyDescent="0.25">
      <c r="A6" s="1" t="s">
        <v>244</v>
      </c>
      <c r="B6" s="1" t="s">
        <v>134</v>
      </c>
      <c r="D6" s="86"/>
      <c r="E6" s="48">
        <v>3</v>
      </c>
      <c r="F6" s="49" t="s">
        <v>280</v>
      </c>
      <c r="G6" s="47" t="s">
        <v>247</v>
      </c>
      <c r="H6" s="47"/>
      <c r="J6" s="89"/>
      <c r="K6" s="51">
        <v>3</v>
      </c>
      <c r="L6" s="50" t="s">
        <v>224</v>
      </c>
      <c r="M6" s="51">
        <v>30</v>
      </c>
      <c r="N6" s="50" t="str">
        <f t="shared" si="0"/>
        <v>수상</v>
      </c>
      <c r="P6" s="91"/>
      <c r="Q6" s="51">
        <v>3</v>
      </c>
      <c r="R6" s="50" t="s">
        <v>241</v>
      </c>
      <c r="S6" s="51">
        <v>25</v>
      </c>
      <c r="T6" s="50" t="str">
        <f t="shared" si="1"/>
        <v>미수상</v>
      </c>
      <c r="U6" s="50" t="str">
        <f t="shared" si="2"/>
        <v>수상</v>
      </c>
      <c r="V6" s="50"/>
    </row>
    <row r="7" spans="1:22" x14ac:dyDescent="0.25">
      <c r="A7" s="1" t="s">
        <v>235</v>
      </c>
      <c r="B7" s="38" t="s">
        <v>134</v>
      </c>
      <c r="D7" s="86"/>
      <c r="E7" s="48">
        <v>4</v>
      </c>
      <c r="F7" s="49" t="s">
        <v>281</v>
      </c>
      <c r="G7" s="47" t="s">
        <v>247</v>
      </c>
      <c r="H7" s="47"/>
      <c r="J7" s="89"/>
      <c r="K7" s="51">
        <v>4</v>
      </c>
      <c r="L7" s="50" t="s">
        <v>42</v>
      </c>
      <c r="M7" s="51">
        <v>29</v>
      </c>
      <c r="N7" s="50" t="str">
        <f t="shared" si="0"/>
        <v>수상</v>
      </c>
      <c r="P7" s="91"/>
      <c r="Q7" s="51">
        <v>4</v>
      </c>
      <c r="R7" s="50" t="s">
        <v>231</v>
      </c>
      <c r="S7" s="51">
        <v>25</v>
      </c>
      <c r="T7" s="50" t="str">
        <f t="shared" si="1"/>
        <v>미수상</v>
      </c>
      <c r="U7" s="50" t="str">
        <f t="shared" si="2"/>
        <v>수상</v>
      </c>
      <c r="V7" s="50"/>
    </row>
    <row r="8" spans="1:22" x14ac:dyDescent="0.25">
      <c r="A8" s="1" t="s">
        <v>246</v>
      </c>
      <c r="B8" s="1" t="s">
        <v>97</v>
      </c>
      <c r="D8" s="86"/>
      <c r="E8" s="48">
        <v>5</v>
      </c>
      <c r="F8" s="49" t="s">
        <v>282</v>
      </c>
      <c r="G8" s="47"/>
      <c r="H8" s="47"/>
      <c r="J8" s="89"/>
      <c r="K8" s="51">
        <v>5</v>
      </c>
      <c r="L8" s="50" t="s">
        <v>55</v>
      </c>
      <c r="M8" s="51">
        <v>28</v>
      </c>
      <c r="N8" s="50" t="str">
        <f t="shared" si="0"/>
        <v>수상</v>
      </c>
      <c r="P8" s="91"/>
      <c r="Q8" s="51">
        <v>5</v>
      </c>
      <c r="R8" s="50" t="s">
        <v>221</v>
      </c>
      <c r="S8" s="51">
        <v>22</v>
      </c>
      <c r="T8" s="50" t="str">
        <f t="shared" si="1"/>
        <v>수상</v>
      </c>
      <c r="U8" s="50" t="str">
        <f t="shared" si="2"/>
        <v>미수상</v>
      </c>
      <c r="V8" s="50"/>
    </row>
    <row r="9" spans="1:22" x14ac:dyDescent="0.25">
      <c r="A9" s="1" t="s">
        <v>247</v>
      </c>
      <c r="B9" s="1" t="s">
        <v>118</v>
      </c>
      <c r="D9" s="86"/>
      <c r="E9" s="48">
        <v>6</v>
      </c>
      <c r="F9" s="49" t="s">
        <v>283</v>
      </c>
      <c r="G9" s="47"/>
      <c r="H9" s="47"/>
      <c r="J9" s="89"/>
      <c r="K9" s="51">
        <v>6</v>
      </c>
      <c r="L9" s="50" t="s">
        <v>223</v>
      </c>
      <c r="M9" s="51">
        <v>27</v>
      </c>
      <c r="N9" s="50" t="str">
        <f t="shared" si="0"/>
        <v>수상</v>
      </c>
      <c r="P9" s="91"/>
      <c r="Q9" s="51">
        <v>6</v>
      </c>
      <c r="R9" s="50" t="s">
        <v>286</v>
      </c>
      <c r="S9" s="51">
        <v>19</v>
      </c>
      <c r="T9" s="50" t="str">
        <f t="shared" si="1"/>
        <v>수상</v>
      </c>
      <c r="U9" s="50" t="str">
        <f t="shared" si="2"/>
        <v>미수상</v>
      </c>
      <c r="V9" s="50"/>
    </row>
    <row r="10" spans="1:22" x14ac:dyDescent="0.25">
      <c r="A10" s="1" t="s">
        <v>247</v>
      </c>
      <c r="B10" s="1" t="s">
        <v>108</v>
      </c>
      <c r="D10" s="86"/>
      <c r="E10" s="48">
        <v>7</v>
      </c>
      <c r="F10" s="49" t="s">
        <v>284</v>
      </c>
      <c r="G10" s="47" t="s">
        <v>151</v>
      </c>
      <c r="H10" s="47"/>
      <c r="J10" s="89"/>
      <c r="K10" s="51">
        <v>7</v>
      </c>
      <c r="L10" s="50" t="s">
        <v>232</v>
      </c>
      <c r="M10" s="51">
        <v>27</v>
      </c>
      <c r="N10" s="50" t="str">
        <f t="shared" si="0"/>
        <v>수상</v>
      </c>
      <c r="P10" s="91"/>
      <c r="Q10" s="51">
        <v>7</v>
      </c>
      <c r="R10" s="52" t="s">
        <v>293</v>
      </c>
      <c r="S10" s="51">
        <v>19</v>
      </c>
      <c r="T10" s="50" t="str">
        <f t="shared" si="1"/>
        <v>미수상</v>
      </c>
      <c r="U10" s="50" t="str">
        <f t="shared" si="2"/>
        <v>미수상</v>
      </c>
      <c r="V10" s="50"/>
    </row>
    <row r="11" spans="1:22" x14ac:dyDescent="0.25">
      <c r="D11" s="86"/>
      <c r="E11" s="48">
        <v>8</v>
      </c>
      <c r="F11" s="49" t="s">
        <v>285</v>
      </c>
      <c r="G11" s="47"/>
      <c r="H11" s="47"/>
      <c r="J11" s="89"/>
      <c r="K11" s="51">
        <v>8</v>
      </c>
      <c r="L11" s="50" t="s">
        <v>53</v>
      </c>
      <c r="M11" s="51">
        <v>26</v>
      </c>
      <c r="N11" s="50" t="str">
        <f t="shared" si="0"/>
        <v>수상</v>
      </c>
      <c r="P11" s="91"/>
      <c r="Q11" s="51">
        <v>8</v>
      </c>
      <c r="R11" s="52" t="s">
        <v>229</v>
      </c>
      <c r="S11" s="51">
        <v>19</v>
      </c>
      <c r="T11" s="50" t="str">
        <f t="shared" si="1"/>
        <v>미수상</v>
      </c>
      <c r="U11" s="50" t="str">
        <f t="shared" si="2"/>
        <v>미수상</v>
      </c>
      <c r="V11" s="50"/>
    </row>
    <row r="12" spans="1:22" x14ac:dyDescent="0.25">
      <c r="D12" s="86"/>
      <c r="E12" s="48">
        <v>9</v>
      </c>
      <c r="F12" s="49" t="s">
        <v>286</v>
      </c>
      <c r="G12" s="47" t="s">
        <v>244</v>
      </c>
      <c r="H12" s="47" t="s">
        <v>235</v>
      </c>
      <c r="J12" s="89"/>
      <c r="K12" s="51">
        <v>9</v>
      </c>
      <c r="L12" s="50" t="s">
        <v>228</v>
      </c>
      <c r="M12" s="51">
        <v>26</v>
      </c>
      <c r="N12" s="50" t="str">
        <f t="shared" si="0"/>
        <v>수상</v>
      </c>
      <c r="P12" s="91"/>
      <c r="Q12" s="51">
        <v>9</v>
      </c>
      <c r="R12" s="52" t="s">
        <v>212</v>
      </c>
      <c r="S12" s="51">
        <v>17</v>
      </c>
      <c r="T12" s="50" t="str">
        <f t="shared" si="1"/>
        <v>미수상</v>
      </c>
      <c r="U12" s="50" t="str">
        <f t="shared" si="2"/>
        <v>미수상</v>
      </c>
      <c r="V12" s="50"/>
    </row>
    <row r="13" spans="1:22" x14ac:dyDescent="0.25">
      <c r="D13" s="86"/>
      <c r="E13" s="48">
        <v>10</v>
      </c>
      <c r="F13" s="49" t="s">
        <v>287</v>
      </c>
      <c r="G13" s="47"/>
      <c r="H13" s="47"/>
      <c r="J13" s="89"/>
      <c r="K13" s="51">
        <v>10</v>
      </c>
      <c r="L13" s="52" t="s">
        <v>241</v>
      </c>
      <c r="M13" s="51">
        <v>25</v>
      </c>
      <c r="N13" s="50" t="str">
        <f t="shared" si="0"/>
        <v>미수상</v>
      </c>
      <c r="P13" s="91"/>
      <c r="Q13" s="51">
        <v>10</v>
      </c>
      <c r="R13" s="52" t="s">
        <v>230</v>
      </c>
      <c r="S13" s="51">
        <v>17</v>
      </c>
      <c r="T13" s="50" t="str">
        <f t="shared" si="1"/>
        <v>미수상</v>
      </c>
      <c r="U13" s="50" t="str">
        <f t="shared" si="2"/>
        <v>미수상</v>
      </c>
      <c r="V13" s="50"/>
    </row>
    <row r="14" spans="1:22" x14ac:dyDescent="0.25">
      <c r="D14" s="86"/>
      <c r="E14" s="48">
        <v>11</v>
      </c>
      <c r="F14" s="49" t="s">
        <v>288</v>
      </c>
      <c r="G14" s="47"/>
      <c r="H14" s="47"/>
      <c r="J14" s="89"/>
      <c r="K14" s="51">
        <v>11</v>
      </c>
      <c r="L14" s="52" t="s">
        <v>231</v>
      </c>
      <c r="M14" s="51">
        <v>25</v>
      </c>
      <c r="N14" s="50" t="str">
        <f t="shared" si="0"/>
        <v>미수상</v>
      </c>
      <c r="P14" s="91"/>
      <c r="Q14" s="51">
        <v>11</v>
      </c>
      <c r="R14" s="50" t="s">
        <v>227</v>
      </c>
      <c r="S14" s="51">
        <v>16</v>
      </c>
      <c r="T14" s="50" t="str">
        <f t="shared" si="1"/>
        <v>미수상</v>
      </c>
      <c r="U14" s="50" t="str">
        <f t="shared" si="2"/>
        <v>미수상</v>
      </c>
      <c r="V14" s="50"/>
    </row>
    <row r="15" spans="1:22" x14ac:dyDescent="0.25">
      <c r="D15" s="86"/>
      <c r="E15" s="48">
        <v>12</v>
      </c>
      <c r="F15" s="49" t="s">
        <v>289</v>
      </c>
      <c r="G15" s="47"/>
      <c r="H15" s="47"/>
      <c r="J15" s="89"/>
      <c r="K15" s="51">
        <v>12</v>
      </c>
      <c r="L15" s="52" t="s">
        <v>62</v>
      </c>
      <c r="M15" s="51">
        <v>25</v>
      </c>
      <c r="N15" s="50" t="str">
        <f t="shared" si="0"/>
        <v>미수상</v>
      </c>
      <c r="P15" s="91"/>
      <c r="Q15" s="51">
        <v>12</v>
      </c>
      <c r="R15" s="50" t="s">
        <v>274</v>
      </c>
      <c r="S15" s="51">
        <v>14</v>
      </c>
      <c r="T15" s="50" t="str">
        <f t="shared" si="1"/>
        <v>미수상</v>
      </c>
      <c r="U15" s="50" t="str">
        <f t="shared" si="2"/>
        <v>미수상</v>
      </c>
      <c r="V15" s="50"/>
    </row>
    <row r="16" spans="1:22" x14ac:dyDescent="0.25">
      <c r="D16" s="86"/>
      <c r="E16" s="48">
        <v>13</v>
      </c>
      <c r="F16" s="47" t="s">
        <v>290</v>
      </c>
      <c r="G16" s="47"/>
      <c r="H16" s="47"/>
      <c r="J16" s="89"/>
      <c r="K16" s="51">
        <v>13</v>
      </c>
      <c r="L16" s="50" t="s">
        <v>39</v>
      </c>
      <c r="M16" s="51">
        <v>24</v>
      </c>
      <c r="N16" s="50" t="str">
        <f t="shared" si="0"/>
        <v>수상</v>
      </c>
      <c r="P16" s="91"/>
      <c r="Q16" s="51">
        <v>13</v>
      </c>
      <c r="R16" s="50" t="s">
        <v>294</v>
      </c>
      <c r="S16" s="51">
        <v>13</v>
      </c>
      <c r="T16" s="50" t="str">
        <f t="shared" si="1"/>
        <v>미수상</v>
      </c>
      <c r="U16" s="50" t="str">
        <f t="shared" si="2"/>
        <v>미수상</v>
      </c>
      <c r="V16" s="50"/>
    </row>
    <row r="17" spans="4:14" x14ac:dyDescent="0.25">
      <c r="D17" s="86"/>
      <c r="E17" s="48">
        <v>14</v>
      </c>
      <c r="F17" s="47" t="s">
        <v>291</v>
      </c>
      <c r="G17" s="47"/>
      <c r="H17" s="47"/>
      <c r="J17" s="89"/>
      <c r="K17" s="51">
        <v>14</v>
      </c>
      <c r="L17" s="52" t="s">
        <v>64</v>
      </c>
      <c r="M17" s="51">
        <v>24</v>
      </c>
      <c r="N17" s="50" t="str">
        <f t="shared" si="0"/>
        <v>미수상</v>
      </c>
    </row>
    <row r="18" spans="4:14" x14ac:dyDescent="0.25">
      <c r="D18" s="87"/>
      <c r="E18" s="48">
        <v>15</v>
      </c>
      <c r="F18" s="47" t="s">
        <v>292</v>
      </c>
      <c r="G18" s="47"/>
      <c r="H18" s="47"/>
      <c r="J18" s="89"/>
      <c r="K18" s="51">
        <v>15</v>
      </c>
      <c r="L18" s="52" t="s">
        <v>34</v>
      </c>
      <c r="M18" s="51">
        <v>24</v>
      </c>
      <c r="N18" s="50" t="str">
        <f t="shared" si="0"/>
        <v>미수상</v>
      </c>
    </row>
    <row r="19" spans="4:14" x14ac:dyDescent="0.25">
      <c r="J19" s="90"/>
      <c r="K19" s="51">
        <v>16</v>
      </c>
      <c r="L19" s="50"/>
      <c r="M19" s="51"/>
      <c r="N19" s="50" t="str">
        <f t="shared" si="0"/>
        <v>미수상</v>
      </c>
    </row>
  </sheetData>
  <mergeCells count="9">
    <mergeCell ref="P3:Q3"/>
    <mergeCell ref="D4:D18"/>
    <mergeCell ref="J4:J19"/>
    <mergeCell ref="P4:P16"/>
    <mergeCell ref="D2:H2"/>
    <mergeCell ref="J2:N2"/>
    <mergeCell ref="J3:K3"/>
    <mergeCell ref="D3:E3"/>
    <mergeCell ref="P2:V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8DBD-49BC-431D-8A71-74E2FC7A3D82}">
  <dimension ref="A2:U30"/>
  <sheetViews>
    <sheetView showGridLines="0" workbookViewId="0">
      <selection activeCell="N16" sqref="N16"/>
    </sheetView>
  </sheetViews>
  <sheetFormatPr defaultRowHeight="15.6" x14ac:dyDescent="0.25"/>
  <cols>
    <col min="1" max="1" width="8.796875" style="1"/>
    <col min="2" max="2" width="10.09765625" style="1" bestFit="1" customWidth="1"/>
    <col min="3" max="3" width="3.19921875" style="37" bestFit="1" customWidth="1"/>
    <col min="4" max="4" width="8.796875" style="1"/>
    <col min="5" max="7" width="10.69921875" style="1" customWidth="1"/>
    <col min="8" max="8" width="8.796875" style="37"/>
    <col min="9" max="9" width="10.09765625" style="53" bestFit="1" customWidth="1"/>
    <col min="10" max="10" width="3.19921875" style="67" bestFit="1" customWidth="1"/>
    <col min="11" max="11" width="8.796875" style="53"/>
    <col min="12" max="12" width="10.69921875" style="53" customWidth="1"/>
    <col min="14" max="14" width="10.09765625" style="1" bestFit="1" customWidth="1"/>
    <col min="15" max="15" width="3.19921875" style="37" bestFit="1" customWidth="1"/>
    <col min="16" max="16" width="8.796875" style="1"/>
    <col min="17" max="19" width="10.69921875" style="1" customWidth="1"/>
  </cols>
  <sheetData>
    <row r="2" spans="2:19" x14ac:dyDescent="0.25">
      <c r="B2" s="92" t="s">
        <v>248</v>
      </c>
      <c r="C2" s="92"/>
      <c r="D2" s="47" t="s">
        <v>276</v>
      </c>
      <c r="E2" s="47" t="s">
        <v>328</v>
      </c>
      <c r="F2" s="47" t="s">
        <v>327</v>
      </c>
      <c r="G2" s="47" t="s">
        <v>328</v>
      </c>
      <c r="I2" s="94" t="s">
        <v>248</v>
      </c>
      <c r="J2" s="94"/>
      <c r="K2" s="65" t="s">
        <v>276</v>
      </c>
      <c r="L2" s="65" t="s">
        <v>328</v>
      </c>
      <c r="N2" s="92" t="s">
        <v>248</v>
      </c>
      <c r="O2" s="92"/>
      <c r="P2" s="47" t="s">
        <v>276</v>
      </c>
      <c r="Q2" s="47" t="s">
        <v>328</v>
      </c>
      <c r="R2" s="47" t="s">
        <v>327</v>
      </c>
      <c r="S2" s="47" t="s">
        <v>328</v>
      </c>
    </row>
    <row r="3" spans="2:19" x14ac:dyDescent="0.25">
      <c r="B3" s="93" t="s">
        <v>334</v>
      </c>
      <c r="C3" s="72">
        <v>1</v>
      </c>
      <c r="D3" s="70" t="s">
        <v>298</v>
      </c>
      <c r="E3" s="70">
        <f>VLOOKUP(D3,종합Sheet!$B$3:$I$121,8,0)</f>
        <v>17</v>
      </c>
      <c r="F3" s="70" t="s">
        <v>298</v>
      </c>
      <c r="G3" s="61">
        <f>VLOOKUP(F3,종합Sheet!$B$3:$I$121,7,0)</f>
        <v>20.6</v>
      </c>
      <c r="I3" s="95" t="s">
        <v>329</v>
      </c>
      <c r="J3" s="68">
        <v>1</v>
      </c>
      <c r="K3" s="69" t="s">
        <v>299</v>
      </c>
      <c r="L3" s="69">
        <v>16</v>
      </c>
      <c r="N3" s="85" t="s">
        <v>251</v>
      </c>
      <c r="O3" s="48">
        <v>1</v>
      </c>
      <c r="P3" s="62" t="s">
        <v>298</v>
      </c>
      <c r="Q3" s="62">
        <f>VLOOKUP(P3,종합Sheet!$B$3:$I$121,8,0)</f>
        <v>17</v>
      </c>
      <c r="R3" s="62" t="s">
        <v>298</v>
      </c>
      <c r="S3" s="63">
        <f>VLOOKUP(R3,종합Sheet!$B$3:$I$121,7,0)</f>
        <v>20.6</v>
      </c>
    </row>
    <row r="4" spans="2:19" x14ac:dyDescent="0.25">
      <c r="B4" s="86"/>
      <c r="C4" s="48">
        <v>2</v>
      </c>
      <c r="D4" s="62" t="s">
        <v>50</v>
      </c>
      <c r="E4" s="62">
        <f>VLOOKUP(D4,종합Sheet!$B$3:$I$121,8,0)</f>
        <v>26</v>
      </c>
      <c r="F4" s="70" t="s">
        <v>224</v>
      </c>
      <c r="G4" s="61">
        <f>VLOOKUP(F4,종합Sheet!$B$3:$I$121,7,0)</f>
        <v>9.5</v>
      </c>
      <c r="I4" s="96"/>
      <c r="J4" s="66">
        <v>2</v>
      </c>
      <c r="K4" s="65" t="s">
        <v>223</v>
      </c>
      <c r="L4" s="65">
        <v>15</v>
      </c>
      <c r="N4" s="86"/>
      <c r="O4" s="48">
        <v>2</v>
      </c>
      <c r="P4" s="62" t="s">
        <v>221</v>
      </c>
      <c r="Q4" s="62">
        <f>VLOOKUP(P4,종합Sheet!$B$3:$I$121,8,0)</f>
        <v>27</v>
      </c>
      <c r="R4" s="62" t="s">
        <v>221</v>
      </c>
      <c r="S4" s="63">
        <f>VLOOKUP(R4,종합Sheet!$B$3:$I$121,7,0)</f>
        <v>37.700000000000003</v>
      </c>
    </row>
    <row r="5" spans="2:19" x14ac:dyDescent="0.25">
      <c r="B5" s="86"/>
      <c r="C5" s="48">
        <v>3</v>
      </c>
      <c r="D5" s="47" t="s">
        <v>221</v>
      </c>
      <c r="E5" s="47">
        <f>VLOOKUP(D5,종합Sheet!$B$3:$I$121,8,0)</f>
        <v>27</v>
      </c>
      <c r="F5" s="70" t="s">
        <v>221</v>
      </c>
      <c r="G5" s="61">
        <f>VLOOKUP(F5,종합Sheet!$B$3:$I$121,7,0)</f>
        <v>37.700000000000003</v>
      </c>
      <c r="I5" s="96"/>
      <c r="J5" s="66">
        <v>3</v>
      </c>
      <c r="K5" s="65" t="s">
        <v>241</v>
      </c>
      <c r="L5" s="65">
        <v>12</v>
      </c>
      <c r="N5" s="86"/>
      <c r="O5" s="48">
        <v>3</v>
      </c>
      <c r="P5" s="62" t="s">
        <v>304</v>
      </c>
      <c r="Q5" s="62">
        <f>VLOOKUP(P5,종합Sheet!$B$3:$I$121,8,0)</f>
        <v>25</v>
      </c>
      <c r="R5" s="62" t="s">
        <v>304</v>
      </c>
      <c r="S5" s="63">
        <f>VLOOKUP(R5,종합Sheet!$B$3:$I$121,7,0)</f>
        <v>32</v>
      </c>
    </row>
    <row r="6" spans="2:19" x14ac:dyDescent="0.25">
      <c r="B6" s="86"/>
      <c r="C6" s="48">
        <v>4</v>
      </c>
      <c r="D6" s="47" t="s">
        <v>304</v>
      </c>
      <c r="E6" s="47">
        <f>VLOOKUP(D6,종합Sheet!$B$3:$I$121,8,0)</f>
        <v>25</v>
      </c>
      <c r="F6" s="70" t="s">
        <v>232</v>
      </c>
      <c r="G6" s="61">
        <f>VLOOKUP(F6,종합Sheet!$B$3:$I$121,7,0)</f>
        <v>22.6</v>
      </c>
      <c r="I6" s="96"/>
      <c r="J6" s="66">
        <v>4</v>
      </c>
      <c r="K6" s="65" t="s">
        <v>309</v>
      </c>
      <c r="L6" s="65">
        <v>12</v>
      </c>
      <c r="N6" s="86"/>
      <c r="O6" s="48">
        <v>4</v>
      </c>
      <c r="P6" s="69" t="s">
        <v>230</v>
      </c>
      <c r="Q6" s="69">
        <f>VLOOKUP(P6,종합Sheet!$B$3:$I$121,8,0)</f>
        <v>18</v>
      </c>
      <c r="R6" s="65" t="s">
        <v>230</v>
      </c>
      <c r="S6" s="71">
        <f>VLOOKUP(R6,종합Sheet!$B$3:$I$121,7,0)</f>
        <v>23.8</v>
      </c>
    </row>
    <row r="7" spans="2:19" x14ac:dyDescent="0.25">
      <c r="B7" s="86"/>
      <c r="C7" s="48">
        <v>5</v>
      </c>
      <c r="D7" s="47" t="s">
        <v>232</v>
      </c>
      <c r="E7" s="47">
        <f>VLOOKUP(D7,종합Sheet!$B$3:$I$121,8,0)</f>
        <v>19</v>
      </c>
      <c r="F7" s="70" t="s">
        <v>304</v>
      </c>
      <c r="G7" s="61">
        <f>VLOOKUP(F7,종합Sheet!$B$3:$I$121,7,0)</f>
        <v>32</v>
      </c>
      <c r="I7" s="98"/>
      <c r="J7" s="66">
        <v>5</v>
      </c>
      <c r="K7" s="65" t="s">
        <v>228</v>
      </c>
      <c r="L7" s="65">
        <v>11</v>
      </c>
      <c r="N7" s="86"/>
      <c r="O7" s="48">
        <v>5</v>
      </c>
      <c r="P7" s="69" t="s">
        <v>321</v>
      </c>
      <c r="Q7" s="69">
        <f>VLOOKUP(P7,종합Sheet!$B$3:$I$121,8,0)</f>
        <v>16</v>
      </c>
      <c r="R7" s="65" t="s">
        <v>321</v>
      </c>
      <c r="S7" s="71">
        <f>VLOOKUP(R7,종합Sheet!$B$3:$I$121,7,0)</f>
        <v>21</v>
      </c>
    </row>
    <row r="8" spans="2:19" x14ac:dyDescent="0.25">
      <c r="B8" s="86"/>
      <c r="C8" s="48">
        <v>6</v>
      </c>
      <c r="D8" s="47" t="s">
        <v>224</v>
      </c>
      <c r="E8" s="47">
        <f>VLOOKUP(D8,종합Sheet!$B$3:$I$121,8,0)</f>
        <v>8</v>
      </c>
      <c r="F8" s="62" t="s">
        <v>50</v>
      </c>
      <c r="G8" s="63">
        <f>VLOOKUP(F8,종합Sheet!$B$3:$I$121,7,0)</f>
        <v>28.6</v>
      </c>
      <c r="N8" s="86"/>
      <c r="O8" s="48">
        <v>6</v>
      </c>
      <c r="P8" s="69" t="s">
        <v>316</v>
      </c>
      <c r="Q8" s="69">
        <f>VLOOKUP(P8,종합Sheet!$B$3:$I$121,8,0)</f>
        <v>10</v>
      </c>
      <c r="R8" s="65" t="s">
        <v>316</v>
      </c>
      <c r="S8" s="71">
        <f>VLOOKUP(R8,종합Sheet!$B$3:$I$121,7,0)</f>
        <v>12</v>
      </c>
    </row>
    <row r="9" spans="2:19" x14ac:dyDescent="0.25">
      <c r="B9" s="86"/>
      <c r="C9" s="48">
        <v>7</v>
      </c>
      <c r="D9" s="65" t="s">
        <v>48</v>
      </c>
      <c r="E9" s="65">
        <f>VLOOKUP(D9,종합Sheet!$B$3:$I$121,8,0)</f>
        <v>8</v>
      </c>
      <c r="F9" s="70" t="s">
        <v>7</v>
      </c>
      <c r="G9" s="61">
        <f>VLOOKUP(F9,종합Sheet!$B$3:$I$121,7,0)</f>
        <v>18</v>
      </c>
      <c r="I9" s="94" t="s">
        <v>248</v>
      </c>
      <c r="J9" s="94"/>
      <c r="K9" s="65" t="s">
        <v>276</v>
      </c>
      <c r="L9" s="65" t="s">
        <v>328</v>
      </c>
      <c r="N9" s="86"/>
      <c r="O9" s="48">
        <v>7</v>
      </c>
      <c r="P9" s="69" t="s">
        <v>308</v>
      </c>
      <c r="Q9" s="69">
        <f>VLOOKUP(P9,종합Sheet!$B$3:$I$121,8,0)</f>
        <v>13</v>
      </c>
      <c r="R9" s="65" t="s">
        <v>309</v>
      </c>
      <c r="S9" s="71">
        <f>VLOOKUP(R9,종합Sheet!$B$3:$I$121,7,0)</f>
        <v>1.2</v>
      </c>
    </row>
    <row r="10" spans="2:19" x14ac:dyDescent="0.25">
      <c r="B10" s="86"/>
      <c r="C10" s="48">
        <v>8</v>
      </c>
      <c r="D10" s="64" t="s">
        <v>55</v>
      </c>
      <c r="E10" s="64">
        <f>VLOOKUP(D10,종합Sheet!$B$3:$I$121,8,0)</f>
        <v>11</v>
      </c>
      <c r="F10" s="70" t="s">
        <v>53</v>
      </c>
      <c r="G10" s="61">
        <f>VLOOKUP(F10,종합Sheet!$B$3:$I$121,7,0)</f>
        <v>19.600000000000001</v>
      </c>
      <c r="I10" s="95" t="s">
        <v>330</v>
      </c>
      <c r="J10" s="66">
        <v>1</v>
      </c>
      <c r="K10" s="69" t="s">
        <v>224</v>
      </c>
      <c r="L10" s="69">
        <v>11</v>
      </c>
      <c r="N10" s="86"/>
      <c r="O10" s="48">
        <v>8</v>
      </c>
      <c r="P10" s="65" t="s">
        <v>309</v>
      </c>
      <c r="Q10" s="65">
        <f>VLOOKUP(P10,종합Sheet!$B$3:$I$121,8,0)</f>
        <v>1</v>
      </c>
      <c r="R10" s="65" t="s">
        <v>308</v>
      </c>
      <c r="S10" s="71">
        <f>VLOOKUP(R10,종합Sheet!$B$3:$I$121,7,0)</f>
        <v>16.2</v>
      </c>
    </row>
    <row r="11" spans="2:19" x14ac:dyDescent="0.25">
      <c r="B11" s="86"/>
      <c r="C11" s="48">
        <v>9</v>
      </c>
      <c r="D11" s="65" t="s">
        <v>7</v>
      </c>
      <c r="E11" s="65">
        <f>VLOOKUP(D11,종합Sheet!$B$3:$I$121,8,0)</f>
        <v>14</v>
      </c>
      <c r="F11" s="70" t="s">
        <v>48</v>
      </c>
      <c r="G11" s="61">
        <f>VLOOKUP(F11,종합Sheet!$B$3:$I$121,7,0)</f>
        <v>9</v>
      </c>
      <c r="I11" s="96"/>
      <c r="J11" s="66">
        <v>2</v>
      </c>
      <c r="K11" s="65" t="s">
        <v>7</v>
      </c>
      <c r="L11" s="65">
        <v>10</v>
      </c>
      <c r="N11" s="86"/>
      <c r="O11" s="48">
        <v>9</v>
      </c>
      <c r="P11" s="65" t="s">
        <v>314</v>
      </c>
      <c r="Q11" s="65">
        <f>VLOOKUP(P11,종합Sheet!$B$3:$I$121,8,0)</f>
        <v>6</v>
      </c>
      <c r="R11" s="65" t="s">
        <v>314</v>
      </c>
      <c r="S11" s="71">
        <f>VLOOKUP(R11,종합Sheet!$B$3:$I$121,7,0)</f>
        <v>8.6</v>
      </c>
    </row>
    <row r="12" spans="2:19" x14ac:dyDescent="0.25">
      <c r="B12" s="86"/>
      <c r="C12" s="48">
        <v>10</v>
      </c>
      <c r="D12" s="65" t="s">
        <v>223</v>
      </c>
      <c r="E12" s="65">
        <f>VLOOKUP(D12,종합Sheet!$B$3:$I$121,8,0)</f>
        <v>16</v>
      </c>
      <c r="F12" s="70" t="s">
        <v>223</v>
      </c>
      <c r="G12" s="61">
        <f>VLOOKUP(F12,종합Sheet!$B$3:$I$121,7,0)</f>
        <v>21.6</v>
      </c>
      <c r="I12" s="96"/>
      <c r="J12" s="66">
        <v>3</v>
      </c>
      <c r="K12" s="65" t="s">
        <v>223</v>
      </c>
      <c r="L12" s="65">
        <v>8</v>
      </c>
      <c r="N12" s="101"/>
      <c r="O12" s="48">
        <v>10</v>
      </c>
      <c r="P12" s="65" t="s">
        <v>333</v>
      </c>
      <c r="Q12" s="65" t="e">
        <f>VLOOKUP(P12,종합Sheet!$B$3:$I$121,8,0)</f>
        <v>#N/A</v>
      </c>
      <c r="R12" s="65" t="s">
        <v>333</v>
      </c>
      <c r="S12" s="71" t="e">
        <f>VLOOKUP(R12,종합Sheet!$B$3:$I$121,7,0)</f>
        <v>#N/A</v>
      </c>
    </row>
    <row r="13" spans="2:19" x14ac:dyDescent="0.25">
      <c r="B13" s="86"/>
      <c r="C13" s="48">
        <v>11</v>
      </c>
      <c r="D13" s="65" t="s">
        <v>53</v>
      </c>
      <c r="E13" s="65">
        <f>VLOOKUP(D13,종합Sheet!$B$3:$I$121,8,0)</f>
        <v>15</v>
      </c>
      <c r="F13" s="70" t="s">
        <v>241</v>
      </c>
      <c r="G13" s="61">
        <f>VLOOKUP(F13,종합Sheet!$B$3:$I$121,7,0)</f>
        <v>17.399999999999999</v>
      </c>
      <c r="I13" s="96"/>
      <c r="J13" s="66">
        <v>4</v>
      </c>
      <c r="K13" s="65" t="s">
        <v>241</v>
      </c>
      <c r="L13" s="65">
        <v>7</v>
      </c>
      <c r="N13"/>
      <c r="O13"/>
      <c r="P13"/>
      <c r="Q13"/>
      <c r="R13"/>
      <c r="S13"/>
    </row>
    <row r="14" spans="2:19" x14ac:dyDescent="0.25">
      <c r="B14" s="86"/>
      <c r="C14" s="48">
        <v>12</v>
      </c>
      <c r="D14" s="65" t="s">
        <v>228</v>
      </c>
      <c r="E14" s="65">
        <f>VLOOKUP(D14,종합Sheet!$B$3:$I$121,8,0)</f>
        <v>27</v>
      </c>
      <c r="F14" s="70" t="s">
        <v>228</v>
      </c>
      <c r="G14" s="61">
        <f>VLOOKUP(F14,종합Sheet!$B$3:$I$121,7,0)</f>
        <v>32.6</v>
      </c>
      <c r="I14" s="98"/>
      <c r="J14" s="66">
        <v>5</v>
      </c>
      <c r="K14" s="65" t="s">
        <v>313</v>
      </c>
      <c r="L14" s="65">
        <v>6</v>
      </c>
      <c r="N14"/>
      <c r="O14"/>
      <c r="P14"/>
      <c r="Q14"/>
      <c r="R14"/>
      <c r="S14"/>
    </row>
    <row r="15" spans="2:19" x14ac:dyDescent="0.25">
      <c r="B15" s="86"/>
      <c r="C15" s="48">
        <v>13</v>
      </c>
      <c r="D15" s="65" t="s">
        <v>241</v>
      </c>
      <c r="E15" s="65">
        <f>VLOOKUP(D15,종합Sheet!$B$3:$I$121,8,0)</f>
        <v>15</v>
      </c>
      <c r="F15" s="62" t="s">
        <v>299</v>
      </c>
      <c r="G15" s="63">
        <f>VLOOKUP(F15,종합Sheet!$B$3:$I$121,7,0)</f>
        <v>13.8</v>
      </c>
      <c r="N15"/>
      <c r="O15"/>
      <c r="P15"/>
      <c r="Q15"/>
      <c r="R15"/>
      <c r="S15"/>
    </row>
    <row r="16" spans="2:19" s="1" customFormat="1" x14ac:dyDescent="0.25">
      <c r="B16" s="86"/>
      <c r="C16" s="48">
        <v>14</v>
      </c>
      <c r="D16" s="65" t="s">
        <v>230</v>
      </c>
      <c r="E16" s="65">
        <f>VLOOKUP(D16,종합Sheet!$B$3:$I$121,8,0)</f>
        <v>18</v>
      </c>
      <c r="F16" s="62" t="s">
        <v>230</v>
      </c>
      <c r="G16" s="63">
        <f>VLOOKUP(F16,종합Sheet!$B$3:$I$121,7,0)</f>
        <v>23.8</v>
      </c>
      <c r="H16" s="37"/>
      <c r="I16" s="94" t="s">
        <v>248</v>
      </c>
      <c r="J16" s="94"/>
      <c r="K16" s="65" t="s">
        <v>276</v>
      </c>
      <c r="L16" s="65" t="s">
        <v>328</v>
      </c>
      <c r="M16"/>
      <c r="N16"/>
      <c r="O16"/>
    </row>
    <row r="17" spans="2:21" s="1" customFormat="1" ht="15.6" customHeight="1" x14ac:dyDescent="0.25">
      <c r="B17" s="87"/>
      <c r="C17" s="48">
        <v>15</v>
      </c>
      <c r="D17" s="62"/>
      <c r="E17" s="62"/>
      <c r="F17" s="62" t="s">
        <v>229</v>
      </c>
      <c r="G17" s="63">
        <f>VLOOKUP(F17,종합Sheet!$B$3:$I$121,7,0)</f>
        <v>15.2</v>
      </c>
      <c r="H17" s="37"/>
      <c r="I17" s="95" t="s">
        <v>331</v>
      </c>
      <c r="J17" s="66">
        <v>1</v>
      </c>
      <c r="K17" s="69" t="s">
        <v>53</v>
      </c>
      <c r="L17" s="69">
        <v>19</v>
      </c>
      <c r="M17"/>
      <c r="N17"/>
      <c r="O17"/>
    </row>
    <row r="18" spans="2:21" s="1" customFormat="1" x14ac:dyDescent="0.25">
      <c r="C18" s="37"/>
      <c r="H18" s="37"/>
      <c r="I18" s="96"/>
      <c r="J18" s="66">
        <v>2</v>
      </c>
      <c r="K18" s="65" t="s">
        <v>298</v>
      </c>
      <c r="L18" s="65">
        <v>18</v>
      </c>
      <c r="M18"/>
      <c r="O18" s="37"/>
      <c r="T18"/>
      <c r="U18"/>
    </row>
    <row r="19" spans="2:21" x14ac:dyDescent="0.25">
      <c r="B19" s="94" t="s">
        <v>248</v>
      </c>
      <c r="C19" s="94"/>
      <c r="D19" s="65" t="s">
        <v>276</v>
      </c>
      <c r="E19" s="65"/>
      <c r="I19" s="96"/>
      <c r="J19" s="66">
        <v>3</v>
      </c>
      <c r="K19" s="65" t="s">
        <v>64</v>
      </c>
      <c r="L19" s="65">
        <v>17</v>
      </c>
    </row>
    <row r="20" spans="2:21" ht="15.6" customHeight="1" x14ac:dyDescent="0.25">
      <c r="B20" s="95" t="s">
        <v>335</v>
      </c>
      <c r="C20" s="68">
        <v>1</v>
      </c>
      <c r="D20" s="69" t="s">
        <v>211</v>
      </c>
      <c r="E20" s="69" t="s">
        <v>336</v>
      </c>
      <c r="I20" s="96"/>
      <c r="J20" s="66">
        <v>4</v>
      </c>
      <c r="K20" s="65" t="s">
        <v>224</v>
      </c>
      <c r="L20" s="65">
        <v>17</v>
      </c>
    </row>
    <row r="21" spans="2:21" x14ac:dyDescent="0.25">
      <c r="B21" s="96"/>
      <c r="C21" s="66">
        <v>2</v>
      </c>
      <c r="D21" s="65" t="s">
        <v>93</v>
      </c>
      <c r="E21" s="65" t="s">
        <v>337</v>
      </c>
      <c r="I21" s="98"/>
      <c r="J21" s="66">
        <v>5</v>
      </c>
      <c r="K21" s="65" t="s">
        <v>316</v>
      </c>
      <c r="L21" s="65">
        <v>16</v>
      </c>
    </row>
    <row r="22" spans="2:21" x14ac:dyDescent="0.25">
      <c r="B22" s="97"/>
      <c r="C22" s="66">
        <v>3</v>
      </c>
      <c r="D22" s="65" t="s">
        <v>338</v>
      </c>
      <c r="E22" s="65" t="s">
        <v>339</v>
      </c>
    </row>
    <row r="23" spans="2:21" x14ac:dyDescent="0.25">
      <c r="I23" s="99" t="s">
        <v>248</v>
      </c>
      <c r="J23" s="100"/>
      <c r="K23" s="65" t="s">
        <v>276</v>
      </c>
      <c r="L23" s="65" t="s">
        <v>328</v>
      </c>
    </row>
    <row r="24" spans="2:21" x14ac:dyDescent="0.25">
      <c r="I24" s="95" t="s">
        <v>332</v>
      </c>
      <c r="J24" s="66">
        <v>1</v>
      </c>
      <c r="K24" s="69" t="s">
        <v>232</v>
      </c>
      <c r="L24" s="69">
        <v>38</v>
      </c>
    </row>
    <row r="25" spans="2:21" x14ac:dyDescent="0.25">
      <c r="I25" s="96"/>
      <c r="J25" s="66">
        <v>2</v>
      </c>
      <c r="K25" s="69" t="s">
        <v>229</v>
      </c>
      <c r="L25" s="69">
        <v>34</v>
      </c>
    </row>
    <row r="26" spans="2:21" x14ac:dyDescent="0.25">
      <c r="I26" s="96"/>
      <c r="J26" s="66">
        <v>3</v>
      </c>
      <c r="K26" s="65" t="s">
        <v>75</v>
      </c>
      <c r="L26" s="65">
        <v>30</v>
      </c>
    </row>
    <row r="27" spans="2:21" x14ac:dyDescent="0.25">
      <c r="I27" s="96"/>
      <c r="J27" s="66">
        <v>4</v>
      </c>
      <c r="K27" s="65" t="s">
        <v>320</v>
      </c>
      <c r="L27" s="65">
        <v>29</v>
      </c>
    </row>
    <row r="28" spans="2:21" x14ac:dyDescent="0.25">
      <c r="I28" s="96"/>
      <c r="J28" s="66">
        <v>5</v>
      </c>
      <c r="K28" s="65" t="s">
        <v>321</v>
      </c>
      <c r="L28" s="65">
        <v>28</v>
      </c>
    </row>
    <row r="29" spans="2:21" x14ac:dyDescent="0.25">
      <c r="I29" s="96"/>
      <c r="J29" s="66">
        <v>6</v>
      </c>
      <c r="K29" s="65" t="s">
        <v>302</v>
      </c>
      <c r="L29" s="65">
        <v>28</v>
      </c>
    </row>
    <row r="30" spans="2:21" x14ac:dyDescent="0.25">
      <c r="I30" s="98"/>
      <c r="J30" s="66">
        <v>7</v>
      </c>
      <c r="K30" s="65" t="s">
        <v>48</v>
      </c>
      <c r="L30" s="65">
        <v>25</v>
      </c>
    </row>
  </sheetData>
  <mergeCells count="14">
    <mergeCell ref="I23:J23"/>
    <mergeCell ref="I24:I30"/>
    <mergeCell ref="N2:O2"/>
    <mergeCell ref="N3:N12"/>
    <mergeCell ref="I2:J2"/>
    <mergeCell ref="I3:I7"/>
    <mergeCell ref="I9:J9"/>
    <mergeCell ref="I10:I14"/>
    <mergeCell ref="B3:B17"/>
    <mergeCell ref="B2:C2"/>
    <mergeCell ref="B19:C19"/>
    <mergeCell ref="B20:B22"/>
    <mergeCell ref="I16:J16"/>
    <mergeCell ref="I17:I2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8BFD-764F-41C8-B837-9777BCD4F9AD}">
  <sheetPr>
    <pageSetUpPr fitToPage="1"/>
  </sheetPr>
  <dimension ref="A1:CT37"/>
  <sheetViews>
    <sheetView showGridLines="0" zoomScaleNormal="125" workbookViewId="0">
      <pane xSplit="9" topLeftCell="J1" activePane="topRight" state="frozen"/>
      <selection pane="topRight" activeCell="O37" sqref="O37"/>
    </sheetView>
  </sheetViews>
  <sheetFormatPr defaultColWidth="8.8984375" defaultRowHeight="15.6" x14ac:dyDescent="0.25"/>
  <cols>
    <col min="1" max="1" width="4.19921875" style="1" bestFit="1" customWidth="1"/>
    <col min="2" max="2" width="6.296875" style="1" customWidth="1"/>
    <col min="3" max="3" width="10" style="1" customWidth="1"/>
    <col min="4" max="6" width="5.8984375" style="1" customWidth="1"/>
    <col min="7" max="7" width="4.3984375" style="1" customWidth="1"/>
    <col min="8" max="8" width="8.8984375" style="1" customWidth="1"/>
    <col min="9" max="9" width="8.19921875" style="1" customWidth="1"/>
    <col min="10" max="30" width="5.19921875" style="1" customWidth="1"/>
    <col min="31" max="33" width="5.19921875" style="3" customWidth="1"/>
    <col min="34" max="56" width="5.19921875" style="1" customWidth="1"/>
    <col min="57" max="82" width="4.796875" style="1" customWidth="1"/>
    <col min="83" max="90" width="8.8984375" style="1"/>
    <col min="91" max="98" width="8.8984375" style="3"/>
  </cols>
  <sheetData>
    <row r="1" spans="1:82" x14ac:dyDescent="0.25">
      <c r="I1" s="18" t="s">
        <v>207</v>
      </c>
      <c r="J1" s="19" t="s">
        <v>206</v>
      </c>
      <c r="K1" s="1" t="s">
        <v>13</v>
      </c>
      <c r="L1" s="1" t="s">
        <v>22</v>
      </c>
      <c r="M1" s="1" t="s">
        <v>15</v>
      </c>
      <c r="N1" s="1" t="s">
        <v>26</v>
      </c>
      <c r="O1" s="1" t="s">
        <v>60</v>
      </c>
      <c r="P1" s="1" t="s">
        <v>11</v>
      </c>
      <c r="Q1" s="1" t="s">
        <v>51</v>
      </c>
      <c r="R1" s="1" t="s">
        <v>12</v>
      </c>
      <c r="S1" s="1" t="s">
        <v>57</v>
      </c>
      <c r="T1" s="1" t="s">
        <v>18</v>
      </c>
      <c r="U1" s="1" t="s">
        <v>56</v>
      </c>
      <c r="V1" s="1" t="s">
        <v>21</v>
      </c>
      <c r="W1" s="1" t="s">
        <v>59</v>
      </c>
      <c r="X1" s="1" t="s">
        <v>23</v>
      </c>
      <c r="Y1" s="1" t="s">
        <v>17</v>
      </c>
      <c r="Z1" s="1" t="s">
        <v>29</v>
      </c>
      <c r="AA1" s="1" t="s">
        <v>63</v>
      </c>
      <c r="AB1" s="1" t="s">
        <v>31</v>
      </c>
      <c r="AC1" s="1" t="s">
        <v>54</v>
      </c>
      <c r="AD1" s="1" t="s">
        <v>10</v>
      </c>
      <c r="AE1" s="1" t="s">
        <v>30</v>
      </c>
      <c r="AF1" s="1" t="s">
        <v>19</v>
      </c>
      <c r="AG1" s="1" t="s">
        <v>66</v>
      </c>
      <c r="AH1" s="1" t="s">
        <v>58</v>
      </c>
      <c r="AI1" s="1" t="s">
        <v>61</v>
      </c>
      <c r="AJ1" s="1" t="s">
        <v>35</v>
      </c>
      <c r="AK1" s="1" t="s">
        <v>24</v>
      </c>
      <c r="AL1" s="1" t="s">
        <v>52</v>
      </c>
      <c r="AM1" s="1" t="s">
        <v>16</v>
      </c>
      <c r="AN1" s="1" t="s">
        <v>68</v>
      </c>
      <c r="AO1" s="1" t="s">
        <v>33</v>
      </c>
      <c r="AP1" s="1" t="s">
        <v>28</v>
      </c>
      <c r="AQ1" s="1" t="s">
        <v>72</v>
      </c>
      <c r="AR1" s="1" t="s">
        <v>25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179</v>
      </c>
      <c r="BD1" s="1" t="s">
        <v>182</v>
      </c>
      <c r="BE1" s="1" t="s">
        <v>197</v>
      </c>
      <c r="BF1" s="1" t="s">
        <v>198</v>
      </c>
      <c r="BG1" s="1" t="s">
        <v>199</v>
      </c>
    </row>
    <row r="2" spans="1:82" x14ac:dyDescent="0.25">
      <c r="D2" s="1">
        <f>COUNTIF(D4:D55,"지급")</f>
        <v>26</v>
      </c>
      <c r="E2" s="1">
        <f>COUNTIF(E4:E55,"지급")</f>
        <v>0</v>
      </c>
      <c r="H2" s="18">
        <f>SUM(J2:AR2)/COUNTA(J2:BB2)</f>
        <v>2.1333333333333333</v>
      </c>
      <c r="I2" s="18" t="s">
        <v>83</v>
      </c>
      <c r="J2" s="1">
        <f t="shared" ref="J2:AO2" si="0">COUNTA(J4:J67)</f>
        <v>15</v>
      </c>
      <c r="K2" s="1">
        <f t="shared" si="0"/>
        <v>19</v>
      </c>
      <c r="L2" s="1">
        <f t="shared" si="0"/>
        <v>17</v>
      </c>
      <c r="M2" s="1">
        <f t="shared" si="0"/>
        <v>15</v>
      </c>
      <c r="N2" s="1">
        <f t="shared" si="0"/>
        <v>14</v>
      </c>
      <c r="O2" s="1">
        <f t="shared" si="0"/>
        <v>16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  <c r="AL2" s="1">
        <f t="shared" si="0"/>
        <v>0</v>
      </c>
      <c r="AM2" s="1">
        <f t="shared" si="0"/>
        <v>0</v>
      </c>
      <c r="AN2" s="1">
        <f t="shared" si="0"/>
        <v>0</v>
      </c>
      <c r="AO2" s="1">
        <f t="shared" si="0"/>
        <v>0</v>
      </c>
      <c r="AP2" s="1">
        <f t="shared" ref="AP2:BG2" si="1">COUNTA(AP4:AP67)</f>
        <v>0</v>
      </c>
      <c r="AQ2" s="1">
        <f t="shared" si="1"/>
        <v>0</v>
      </c>
      <c r="AR2" s="1">
        <f t="shared" si="1"/>
        <v>0</v>
      </c>
      <c r="AS2" s="1">
        <f t="shared" si="1"/>
        <v>0</v>
      </c>
      <c r="AT2" s="1">
        <f t="shared" si="1"/>
        <v>0</v>
      </c>
      <c r="AU2" s="1">
        <f t="shared" si="1"/>
        <v>0</v>
      </c>
      <c r="AV2" s="1">
        <f t="shared" si="1"/>
        <v>0</v>
      </c>
      <c r="AW2" s="1">
        <f t="shared" si="1"/>
        <v>0</v>
      </c>
      <c r="AX2" s="1">
        <f t="shared" si="1"/>
        <v>0</v>
      </c>
      <c r="AY2" s="1">
        <f t="shared" si="1"/>
        <v>0</v>
      </c>
      <c r="AZ2" s="1">
        <f t="shared" si="1"/>
        <v>0</v>
      </c>
      <c r="BA2" s="1">
        <f t="shared" si="1"/>
        <v>0</v>
      </c>
      <c r="BB2" s="1">
        <f t="shared" si="1"/>
        <v>0</v>
      </c>
      <c r="BC2" s="1">
        <f t="shared" si="1"/>
        <v>0</v>
      </c>
      <c r="BD2" s="1">
        <f t="shared" si="1"/>
        <v>0</v>
      </c>
      <c r="BE2" s="1">
        <f t="shared" si="1"/>
        <v>0</v>
      </c>
      <c r="BF2" s="1">
        <f t="shared" si="1"/>
        <v>0</v>
      </c>
      <c r="BG2" s="1">
        <f t="shared" si="1"/>
        <v>0</v>
      </c>
    </row>
    <row r="3" spans="1:82" x14ac:dyDescent="0.25">
      <c r="A3" s="2" t="s">
        <v>4</v>
      </c>
      <c r="B3" s="2" t="s">
        <v>6</v>
      </c>
      <c r="C3" s="2" t="s">
        <v>196</v>
      </c>
      <c r="D3" s="2" t="s">
        <v>116</v>
      </c>
      <c r="E3" s="2" t="s">
        <v>126</v>
      </c>
      <c r="F3" s="2" t="s">
        <v>44</v>
      </c>
      <c r="G3" s="2" t="s">
        <v>86</v>
      </c>
      <c r="H3" s="2" t="s">
        <v>79</v>
      </c>
      <c r="I3" s="2" t="s">
        <v>77</v>
      </c>
      <c r="J3" s="4">
        <v>45321</v>
      </c>
      <c r="K3" s="4">
        <v>45350</v>
      </c>
      <c r="L3" s="4">
        <v>45397</v>
      </c>
      <c r="M3" s="4">
        <v>45427</v>
      </c>
      <c r="N3" s="4">
        <v>45427</v>
      </c>
      <c r="O3" s="4">
        <v>45467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5">
      <c r="A4" s="2">
        <v>1</v>
      </c>
      <c r="B4" s="2" t="s">
        <v>50</v>
      </c>
      <c r="C4" s="31" t="str">
        <f>VLOOKUP(B4,종합Sheet!$B$4:$F$133,2,0)</f>
        <v>Origin</v>
      </c>
      <c r="D4" s="2" t="str">
        <f>VLOOKUP(B4,종합Sheet!$B$4:$F$133,3,0)</f>
        <v>지급</v>
      </c>
      <c r="E4" s="2">
        <f>VLOOKUP(B4,종합Sheet!$B$4:$F$133,4,0)</f>
        <v>0</v>
      </c>
      <c r="F4" s="2" t="s">
        <v>37</v>
      </c>
      <c r="G4" s="2">
        <f t="shared" ref="G4:G37" si="2">RANK(H4,$H$4:$H$37,0)</f>
        <v>11</v>
      </c>
      <c r="H4" s="6">
        <f>I4+개인기록Sheet!C4</f>
        <v>5.6</v>
      </c>
      <c r="I4" s="6">
        <f t="shared" ref="I4:I28" si="3">(COUNTIF(J4:CD4,"출전")*1)</f>
        <v>3</v>
      </c>
      <c r="J4" s="2" t="s">
        <v>204</v>
      </c>
      <c r="K4" s="2" t="s">
        <v>204</v>
      </c>
      <c r="L4" s="2" t="s">
        <v>204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5">
      <c r="A5" s="2">
        <v>2</v>
      </c>
      <c r="B5" s="2" t="s">
        <v>39</v>
      </c>
      <c r="C5" s="31">
        <f>VLOOKUP(B5,종합Sheet!$B$4:$F$133,2,0)</f>
        <v>2021</v>
      </c>
      <c r="D5" s="2" t="str">
        <f>VLOOKUP(B5,종합Sheet!$B$4:$F$133,3,0)</f>
        <v>지급</v>
      </c>
      <c r="E5" s="2">
        <f>VLOOKUP(B5,종합Sheet!$B$4:$F$133,4,0)</f>
        <v>0</v>
      </c>
      <c r="F5" s="2" t="s">
        <v>37</v>
      </c>
      <c r="G5" s="2">
        <f t="shared" si="2"/>
        <v>9</v>
      </c>
      <c r="H5" s="6">
        <f>I5+개인기록Sheet!C5</f>
        <v>5.9</v>
      </c>
      <c r="I5" s="6">
        <f t="shared" si="3"/>
        <v>5</v>
      </c>
      <c r="J5" s="2" t="s">
        <v>204</v>
      </c>
      <c r="K5" s="2" t="s">
        <v>204</v>
      </c>
      <c r="L5" s="2" t="s">
        <v>204</v>
      </c>
      <c r="M5" s="2" t="s">
        <v>204</v>
      </c>
      <c r="N5" s="2"/>
      <c r="O5" s="2" t="s">
        <v>204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5">
      <c r="A6" s="2">
        <v>3</v>
      </c>
      <c r="B6" s="2" t="s">
        <v>8</v>
      </c>
      <c r="C6" s="31" t="str">
        <f>VLOOKUP(B6,종합Sheet!$B$4:$F$133,2,0)</f>
        <v>Origin</v>
      </c>
      <c r="D6" s="2" t="str">
        <f>VLOOKUP(B6,종합Sheet!$B$4:$F$133,3,0)</f>
        <v>발주</v>
      </c>
      <c r="E6" s="2">
        <f>VLOOKUP(B6,종합Sheet!$B$4:$F$133,4,0)</f>
        <v>0</v>
      </c>
      <c r="F6" s="2" t="s">
        <v>37</v>
      </c>
      <c r="G6" s="2">
        <f t="shared" si="2"/>
        <v>26</v>
      </c>
      <c r="H6" s="6">
        <f>I6+개인기록Sheet!C6</f>
        <v>2</v>
      </c>
      <c r="I6" s="6">
        <f t="shared" si="3"/>
        <v>2</v>
      </c>
      <c r="J6" s="2"/>
      <c r="K6" s="2" t="s">
        <v>204</v>
      </c>
      <c r="L6" s="2"/>
      <c r="M6" s="2"/>
      <c r="N6" s="2" t="s">
        <v>204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5">
      <c r="A7" s="2">
        <v>4</v>
      </c>
      <c r="B7" s="2" t="s">
        <v>48</v>
      </c>
      <c r="C7" s="31" t="str">
        <f>VLOOKUP(B7,종합Sheet!$B$4:$F$133,2,0)</f>
        <v>Origin</v>
      </c>
      <c r="D7" s="2" t="str">
        <f>VLOOKUP(B7,종합Sheet!$B$4:$F$133,3,0)</f>
        <v>지급</v>
      </c>
      <c r="E7" s="2">
        <f>VLOOKUP(B7,종합Sheet!$B$4:$F$133,4,0)</f>
        <v>0</v>
      </c>
      <c r="F7" s="2" t="s">
        <v>37</v>
      </c>
      <c r="G7" s="2">
        <f t="shared" si="2"/>
        <v>29</v>
      </c>
      <c r="H7" s="6">
        <f>I7+개인기록Sheet!C9</f>
        <v>1</v>
      </c>
      <c r="I7" s="6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5">
      <c r="A8" s="2">
        <v>5</v>
      </c>
      <c r="B8" s="2" t="s">
        <v>109</v>
      </c>
      <c r="C8" s="31">
        <f>VLOOKUP(B8,종합Sheet!$B$4:$F$133,2,0)</f>
        <v>2022</v>
      </c>
      <c r="D8" s="2" t="str">
        <f>VLOOKUP(B8,종합Sheet!$B$4:$F$133,3,0)</f>
        <v>지급</v>
      </c>
      <c r="E8" s="2">
        <f>VLOOKUP(B8,종합Sheet!$B$4:$F$133,4,0)</f>
        <v>0</v>
      </c>
      <c r="F8" s="2" t="s">
        <v>37</v>
      </c>
      <c r="G8" s="2">
        <f t="shared" si="2"/>
        <v>2</v>
      </c>
      <c r="H8" s="6">
        <f>I8+개인기록Sheet!C10</f>
        <v>8.6</v>
      </c>
      <c r="I8" s="6">
        <f t="shared" si="3"/>
        <v>5</v>
      </c>
      <c r="J8" s="2" t="s">
        <v>204</v>
      </c>
      <c r="K8" s="2" t="s">
        <v>204</v>
      </c>
      <c r="L8" s="2" t="s">
        <v>204</v>
      </c>
      <c r="M8" s="2" t="s">
        <v>204</v>
      </c>
      <c r="N8" s="2" t="s">
        <v>204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5">
      <c r="A9" s="2">
        <v>6</v>
      </c>
      <c r="B9" s="2" t="s">
        <v>111</v>
      </c>
      <c r="C9" s="31">
        <f>VLOOKUP(B9,종합Sheet!$B$4:$F$133,2,0)</f>
        <v>2022</v>
      </c>
      <c r="D9" s="2" t="str">
        <f>VLOOKUP(B9,종합Sheet!$B$4:$F$133,3,0)</f>
        <v>지급</v>
      </c>
      <c r="E9" s="2">
        <f>VLOOKUP(B9,종합Sheet!$B$4:$F$133,4,0)</f>
        <v>0</v>
      </c>
      <c r="F9" s="2" t="s">
        <v>37</v>
      </c>
      <c r="G9" s="2">
        <f t="shared" si="2"/>
        <v>20</v>
      </c>
      <c r="H9" s="6">
        <f>I9+개인기록Sheet!C15</f>
        <v>3.6</v>
      </c>
      <c r="I9" s="6">
        <f t="shared" si="3"/>
        <v>3</v>
      </c>
      <c r="J9" s="2" t="s">
        <v>204</v>
      </c>
      <c r="K9" s="2" t="s">
        <v>204</v>
      </c>
      <c r="L9" s="2" t="s">
        <v>204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5">
      <c r="A10" s="2">
        <v>7</v>
      </c>
      <c r="B10" s="2" t="s">
        <v>90</v>
      </c>
      <c r="C10" s="31" t="e">
        <f>VLOOKUP(B10,종합Sheet!$B$4:$F$133,2,0)</f>
        <v>#N/A</v>
      </c>
      <c r="D10" s="2" t="e">
        <f>VLOOKUP(B10,종합Sheet!$B$4:$F$133,3,0)</f>
        <v>#N/A</v>
      </c>
      <c r="E10" s="2" t="e">
        <f>VLOOKUP(B10,종합Sheet!$B$4:$F$133,4,0)</f>
        <v>#N/A</v>
      </c>
      <c r="F10" s="2" t="s">
        <v>37</v>
      </c>
      <c r="G10" s="2">
        <f t="shared" si="2"/>
        <v>7</v>
      </c>
      <c r="H10" s="6">
        <f>I10+개인기록Sheet!C16</f>
        <v>6.8</v>
      </c>
      <c r="I10" s="6">
        <f t="shared" si="3"/>
        <v>3</v>
      </c>
      <c r="J10" s="2"/>
      <c r="K10" s="2" t="s">
        <v>204</v>
      </c>
      <c r="L10" s="2" t="s">
        <v>204</v>
      </c>
      <c r="M10" s="2" t="s">
        <v>204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5">
      <c r="A11" s="2">
        <v>8</v>
      </c>
      <c r="B11" s="2" t="s">
        <v>133</v>
      </c>
      <c r="C11" s="31">
        <f>VLOOKUP(B11,종합Sheet!$B$4:$F$133,2,0)</f>
        <v>2023</v>
      </c>
      <c r="D11" s="2" t="str">
        <f>VLOOKUP(B11,종합Sheet!$B$4:$F$133,3,0)</f>
        <v>지급</v>
      </c>
      <c r="E11" s="2">
        <f>VLOOKUP(B11,종합Sheet!$B$4:$F$133,4,0)</f>
        <v>0</v>
      </c>
      <c r="F11" s="2" t="s">
        <v>37</v>
      </c>
      <c r="G11" s="2">
        <f t="shared" si="2"/>
        <v>5</v>
      </c>
      <c r="H11" s="6">
        <f>I11+개인기록Sheet!C17</f>
        <v>7.8000000000000007</v>
      </c>
      <c r="I11" s="6">
        <f t="shared" si="3"/>
        <v>4</v>
      </c>
      <c r="J11" s="2"/>
      <c r="K11" s="2" t="s">
        <v>204</v>
      </c>
      <c r="L11" s="2" t="s">
        <v>204</v>
      </c>
      <c r="M11" s="2"/>
      <c r="N11" s="2" t="s">
        <v>204</v>
      </c>
      <c r="O11" s="2" t="s">
        <v>204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5">
      <c r="A12" s="2">
        <v>9</v>
      </c>
      <c r="B12" s="2" t="s">
        <v>91</v>
      </c>
      <c r="C12" s="31" t="e">
        <f>VLOOKUP(B12,종합Sheet!$B$4:$F$133,2,0)</f>
        <v>#N/A</v>
      </c>
      <c r="D12" s="2" t="e">
        <f>VLOOKUP(B12,종합Sheet!$B$4:$F$133,3,0)</f>
        <v>#N/A</v>
      </c>
      <c r="E12" s="2" t="e">
        <f>VLOOKUP(B12,종합Sheet!$B$4:$F$133,4,0)</f>
        <v>#N/A</v>
      </c>
      <c r="F12" s="2" t="s">
        <v>37</v>
      </c>
      <c r="G12" s="2">
        <f t="shared" si="2"/>
        <v>24</v>
      </c>
      <c r="H12" s="6">
        <f>I12+개인기록Sheet!C18</f>
        <v>3</v>
      </c>
      <c r="I12" s="6">
        <f t="shared" si="3"/>
        <v>3</v>
      </c>
      <c r="J12" s="2"/>
      <c r="K12" s="2" t="s">
        <v>204</v>
      </c>
      <c r="L12" s="2" t="s">
        <v>204</v>
      </c>
      <c r="M12" s="2"/>
      <c r="N12" s="2"/>
      <c r="O12" s="2" t="s">
        <v>204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x14ac:dyDescent="0.25">
      <c r="A13" s="2">
        <v>10</v>
      </c>
      <c r="B13" s="2" t="s">
        <v>14</v>
      </c>
      <c r="C13" s="31" t="str">
        <f>VLOOKUP(B13,종합Sheet!$B$4:$F$133,2,0)</f>
        <v>Origin</v>
      </c>
      <c r="D13" s="2" t="str">
        <f>VLOOKUP(B13,종합Sheet!$B$4:$F$133,3,0)</f>
        <v>지급</v>
      </c>
      <c r="E13" s="2">
        <f>VLOOKUP(B13,종합Sheet!$B$4:$F$133,4,0)</f>
        <v>0</v>
      </c>
      <c r="F13" s="2" t="s">
        <v>37</v>
      </c>
      <c r="G13" s="2">
        <f t="shared" si="2"/>
        <v>26</v>
      </c>
      <c r="H13" s="6">
        <f>I13+개인기록Sheet!C22</f>
        <v>2</v>
      </c>
      <c r="I13" s="6">
        <f t="shared" si="3"/>
        <v>2</v>
      </c>
      <c r="J13" s="2"/>
      <c r="K13" s="2" t="s">
        <v>204</v>
      </c>
      <c r="L13" s="2"/>
      <c r="M13" s="2"/>
      <c r="N13" s="2" t="s">
        <v>204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5">
      <c r="A14" s="2">
        <v>11</v>
      </c>
      <c r="B14" s="2" t="s">
        <v>134</v>
      </c>
      <c r="C14" s="31">
        <f>VLOOKUP(B14,종합Sheet!$B$4:$F$133,2,0)</f>
        <v>2023</v>
      </c>
      <c r="D14" s="2" t="str">
        <f>VLOOKUP(B14,종합Sheet!$B$4:$F$133,3,0)</f>
        <v>지급</v>
      </c>
      <c r="E14" s="2">
        <f>VLOOKUP(B14,종합Sheet!$B$4:$F$133,4,0)</f>
        <v>0</v>
      </c>
      <c r="F14" s="2" t="s">
        <v>37</v>
      </c>
      <c r="G14" s="2">
        <f t="shared" si="2"/>
        <v>29</v>
      </c>
      <c r="H14" s="6">
        <f>I14+개인기록Sheet!C23</f>
        <v>1</v>
      </c>
      <c r="I14" s="6">
        <f t="shared" si="3"/>
        <v>1</v>
      </c>
      <c r="J14" s="2" t="s">
        <v>204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5">
      <c r="A15" s="2">
        <v>12</v>
      </c>
      <c r="B15" s="2" t="s">
        <v>201</v>
      </c>
      <c r="C15" s="31">
        <f>VLOOKUP(B15,종합Sheet!$B$4:$F$133,2,0)</f>
        <v>2024</v>
      </c>
      <c r="D15" s="2" t="str">
        <f>VLOOKUP(B15,종합Sheet!$B$4:$F$133,3,0)</f>
        <v>지급</v>
      </c>
      <c r="E15" s="2">
        <f>VLOOKUP(B15,종합Sheet!$B$4:$F$133,4,0)</f>
        <v>0</v>
      </c>
      <c r="F15" s="2"/>
      <c r="G15" s="2"/>
      <c r="H15" s="6"/>
      <c r="I15" s="6"/>
      <c r="J15" s="2"/>
      <c r="K15" s="2"/>
      <c r="L15" s="2"/>
      <c r="M15" s="2"/>
      <c r="N15" s="2"/>
      <c r="O15" s="2" t="s">
        <v>204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5">
      <c r="A16" s="2">
        <v>13</v>
      </c>
      <c r="B16" s="2" t="s">
        <v>64</v>
      </c>
      <c r="C16" s="31" t="str">
        <f>VLOOKUP(B16,종합Sheet!$B$4:$F$133,2,0)</f>
        <v>Origin</v>
      </c>
      <c r="D16" s="2" t="str">
        <f>VLOOKUP(B16,종합Sheet!$B$4:$F$133,3,0)</f>
        <v>지급</v>
      </c>
      <c r="E16" s="2">
        <f>VLOOKUP(B16,종합Sheet!$B$4:$F$133,4,0)</f>
        <v>0</v>
      </c>
      <c r="F16" s="2" t="s">
        <v>37</v>
      </c>
      <c r="G16" s="2">
        <f t="shared" si="2"/>
        <v>4</v>
      </c>
      <c r="H16" s="6">
        <f>I16+개인기록Sheet!C25</f>
        <v>7.9</v>
      </c>
      <c r="I16" s="6">
        <f t="shared" si="3"/>
        <v>5</v>
      </c>
      <c r="J16" s="2" t="s">
        <v>204</v>
      </c>
      <c r="K16" s="2" t="s">
        <v>204</v>
      </c>
      <c r="L16" s="2" t="s">
        <v>204</v>
      </c>
      <c r="M16" s="2"/>
      <c r="N16" s="2" t="s">
        <v>204</v>
      </c>
      <c r="O16" s="2" t="s">
        <v>204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5">
      <c r="A17" s="2">
        <v>14</v>
      </c>
      <c r="B17" s="2" t="s">
        <v>161</v>
      </c>
      <c r="C17" s="31">
        <f>VLOOKUP(B17,종합Sheet!$B$4:$F$133,2,0)</f>
        <v>2023</v>
      </c>
      <c r="D17" s="2">
        <f>VLOOKUP(B17,종합Sheet!$B$4:$F$133,3,0)</f>
        <v>0</v>
      </c>
      <c r="E17" s="2">
        <f>VLOOKUP(B17,종합Sheet!$B$4:$F$133,4,0)</f>
        <v>0</v>
      </c>
      <c r="F17" s="2" t="s">
        <v>37</v>
      </c>
      <c r="G17" s="2">
        <f t="shared" si="2"/>
        <v>1</v>
      </c>
      <c r="H17" s="6">
        <f>I17+개인기록Sheet!C26</f>
        <v>11.7</v>
      </c>
      <c r="I17" s="6">
        <f t="shared" si="3"/>
        <v>1</v>
      </c>
      <c r="J17" s="2"/>
      <c r="K17" s="2"/>
      <c r="L17" s="2"/>
      <c r="M17" s="2" t="s">
        <v>204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5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x14ac:dyDescent="0.25">
      <c r="A18" s="2">
        <v>15</v>
      </c>
      <c r="B18" s="2" t="s">
        <v>53</v>
      </c>
      <c r="C18" s="31" t="str">
        <f>VLOOKUP(B18,종합Sheet!$B$4:$F$133,2,0)</f>
        <v>Origin</v>
      </c>
      <c r="D18" s="2" t="str">
        <f>VLOOKUP(B18,종합Sheet!$B$4:$F$133,3,0)</f>
        <v>지급</v>
      </c>
      <c r="E18" s="2">
        <f>VLOOKUP(B18,종합Sheet!$B$4:$F$133,4,0)</f>
        <v>0</v>
      </c>
      <c r="F18" s="2" t="s">
        <v>37</v>
      </c>
      <c r="G18" s="2">
        <f t="shared" si="2"/>
        <v>13</v>
      </c>
      <c r="H18" s="6">
        <f>I18+개인기록Sheet!C29</f>
        <v>5</v>
      </c>
      <c r="I18" s="6">
        <f t="shared" si="3"/>
        <v>5</v>
      </c>
      <c r="J18" s="2" t="s">
        <v>204</v>
      </c>
      <c r="K18" s="2"/>
      <c r="L18" s="2" t="s">
        <v>204</v>
      </c>
      <c r="M18" s="2" t="s">
        <v>204</v>
      </c>
      <c r="N18" s="2" t="s">
        <v>204</v>
      </c>
      <c r="O18" s="2" t="s">
        <v>204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>
        <v>16</v>
      </c>
      <c r="B19" s="2" t="s">
        <v>55</v>
      </c>
      <c r="C19" s="31" t="str">
        <f>VLOOKUP(B19,종합Sheet!$B$4:$F$133,2,0)</f>
        <v>Origin</v>
      </c>
      <c r="D19" s="2" t="str">
        <f>VLOOKUP(B19,종합Sheet!$B$4:$F$133,3,0)</f>
        <v>지급</v>
      </c>
      <c r="E19" s="2">
        <f>VLOOKUP(B19,종합Sheet!$B$4:$F$133,4,0)</f>
        <v>0</v>
      </c>
      <c r="F19" s="2" t="s">
        <v>37</v>
      </c>
      <c r="G19" s="2">
        <f t="shared" si="2"/>
        <v>13</v>
      </c>
      <c r="H19" s="6">
        <f>I19+개인기록Sheet!C34</f>
        <v>5</v>
      </c>
      <c r="I19" s="6">
        <f t="shared" si="3"/>
        <v>5</v>
      </c>
      <c r="J19" s="2" t="s">
        <v>204</v>
      </c>
      <c r="K19" s="2" t="s">
        <v>204</v>
      </c>
      <c r="L19" s="2" t="s">
        <v>204</v>
      </c>
      <c r="M19" s="2" t="s">
        <v>204</v>
      </c>
      <c r="N19" s="2"/>
      <c r="O19" s="2" t="s">
        <v>204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5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2">
        <v>17</v>
      </c>
      <c r="B20" s="2" t="s">
        <v>106</v>
      </c>
      <c r="C20" s="31">
        <f>VLOOKUP(B20,종합Sheet!$B$4:$F$133,2,0)</f>
        <v>2022</v>
      </c>
      <c r="D20" s="2" t="str">
        <f>VLOOKUP(B20,종합Sheet!$B$4:$F$133,3,0)</f>
        <v>지급</v>
      </c>
      <c r="E20" s="2">
        <f>VLOOKUP(B20,종합Sheet!$B$4:$F$133,4,0)</f>
        <v>0</v>
      </c>
      <c r="F20" s="2" t="s">
        <v>37</v>
      </c>
      <c r="G20" s="2">
        <f t="shared" si="2"/>
        <v>26</v>
      </c>
      <c r="H20" s="6">
        <f>I20+개인기록Sheet!C40</f>
        <v>2</v>
      </c>
      <c r="I20" s="6">
        <f t="shared" si="3"/>
        <v>2</v>
      </c>
      <c r="J20" s="2" t="s">
        <v>204</v>
      </c>
      <c r="K20" s="2"/>
      <c r="L20" s="2"/>
      <c r="M20" s="2"/>
      <c r="N20" s="2"/>
      <c r="O20" s="2" t="s">
        <v>204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5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5">
      <c r="A21" s="2">
        <v>18</v>
      </c>
      <c r="B21" s="2" t="s">
        <v>118</v>
      </c>
      <c r="C21" s="31">
        <f>VLOOKUP(B21,종합Sheet!$B$4:$F$133,2,0)</f>
        <v>2022</v>
      </c>
      <c r="D21" s="2" t="str">
        <f>VLOOKUP(B21,종합Sheet!$B$4:$F$133,3,0)</f>
        <v>지급</v>
      </c>
      <c r="E21" s="2">
        <f>VLOOKUP(B21,종합Sheet!$B$4:$F$133,4,0)</f>
        <v>0</v>
      </c>
      <c r="F21" s="2" t="s">
        <v>37</v>
      </c>
      <c r="G21" s="2">
        <f t="shared" si="2"/>
        <v>10</v>
      </c>
      <c r="H21" s="6">
        <f>I21+개인기록Sheet!C44</f>
        <v>5.6000000000000005</v>
      </c>
      <c r="I21" s="6">
        <f t="shared" si="3"/>
        <v>2</v>
      </c>
      <c r="J21" s="2"/>
      <c r="K21" s="2"/>
      <c r="L21" s="2"/>
      <c r="M21" s="2" t="s">
        <v>204</v>
      </c>
      <c r="N21" s="2"/>
      <c r="O21" s="2" t="s">
        <v>204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5">
      <c r="A22" s="2">
        <v>19</v>
      </c>
      <c r="B22" s="2" t="s">
        <v>120</v>
      </c>
      <c r="C22" s="31">
        <f>VLOOKUP(B22,종합Sheet!$B$4:$F$133,2,0)</f>
        <v>2022</v>
      </c>
      <c r="D22" s="2">
        <f>VLOOKUP(B22,종합Sheet!$B$4:$F$133,3,0)</f>
        <v>3</v>
      </c>
      <c r="E22" s="2">
        <f>VLOOKUP(B22,종합Sheet!$B$4:$F$133,4,0)</f>
        <v>0</v>
      </c>
      <c r="F22" s="2"/>
      <c r="G22" s="2"/>
      <c r="H22" s="6"/>
      <c r="I22" s="6"/>
      <c r="J22" s="2"/>
      <c r="K22" s="2"/>
      <c r="L22" s="2"/>
      <c r="M22" s="2"/>
      <c r="N22" s="2"/>
      <c r="O22" s="2" t="s">
        <v>204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5">
      <c r="A23" s="2">
        <v>20</v>
      </c>
      <c r="B23" s="2" t="s">
        <v>135</v>
      </c>
      <c r="C23" s="31">
        <f>VLOOKUP(B23,종합Sheet!$B$4:$F$133,2,0)</f>
        <v>2023</v>
      </c>
      <c r="D23" s="2" t="str">
        <f>VLOOKUP(B23,종합Sheet!$B$4:$F$133,3,0)</f>
        <v>지급</v>
      </c>
      <c r="E23" s="2">
        <f>VLOOKUP(B23,종합Sheet!$B$4:$F$133,4,0)</f>
        <v>0</v>
      </c>
      <c r="F23" s="2" t="s">
        <v>37</v>
      </c>
      <c r="G23" s="2">
        <f t="shared" si="2"/>
        <v>18</v>
      </c>
      <c r="H23" s="6">
        <f>I23+개인기록Sheet!C49</f>
        <v>4</v>
      </c>
      <c r="I23" s="6">
        <f t="shared" si="3"/>
        <v>4</v>
      </c>
      <c r="J23" s="2"/>
      <c r="K23" s="2" t="s">
        <v>204</v>
      </c>
      <c r="L23" s="2" t="s">
        <v>204</v>
      </c>
      <c r="M23" s="2"/>
      <c r="N23" s="2" t="s">
        <v>204</v>
      </c>
      <c r="O23" s="2" t="s">
        <v>204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5">
      <c r="A24" s="2">
        <v>21</v>
      </c>
      <c r="B24" s="2" t="s">
        <v>110</v>
      </c>
      <c r="C24" s="31">
        <f>VLOOKUP(B24,종합Sheet!$B$4:$F$133,2,0)</f>
        <v>2022</v>
      </c>
      <c r="D24" s="2" t="str">
        <f>VLOOKUP(B24,종합Sheet!$B$4:$F$133,3,0)</f>
        <v>지급</v>
      </c>
      <c r="E24" s="2">
        <f>VLOOKUP(B24,종합Sheet!$B$4:$F$133,4,0)</f>
        <v>0</v>
      </c>
      <c r="F24" s="2" t="s">
        <v>37</v>
      </c>
      <c r="G24" s="2">
        <f t="shared" si="2"/>
        <v>23</v>
      </c>
      <c r="H24" s="6">
        <f>I24+개인기록Sheet!C57</f>
        <v>3.2</v>
      </c>
      <c r="I24" s="6">
        <f t="shared" si="3"/>
        <v>2</v>
      </c>
      <c r="J24" s="2"/>
      <c r="K24" s="2"/>
      <c r="L24" s="2"/>
      <c r="M24" s="2" t="s">
        <v>204</v>
      </c>
      <c r="N24" s="2" t="s">
        <v>204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5">
      <c r="A25" s="2">
        <v>22</v>
      </c>
      <c r="B25" s="2" t="s">
        <v>125</v>
      </c>
      <c r="C25" s="31">
        <f>VLOOKUP(B25,종합Sheet!$B$4:$F$133,2,0)</f>
        <v>2023</v>
      </c>
      <c r="D25" s="2" t="str">
        <f>VLOOKUP(B25,종합Sheet!$B$4:$F$133,3,0)</f>
        <v>지급</v>
      </c>
      <c r="E25" s="2">
        <f>VLOOKUP(B25,종합Sheet!$B$4:$F$133,4,0)</f>
        <v>0</v>
      </c>
      <c r="F25" s="2" t="s">
        <v>37</v>
      </c>
      <c r="G25" s="2">
        <f t="shared" si="2"/>
        <v>24</v>
      </c>
      <c r="H25" s="6">
        <f>I25+개인기록Sheet!C59</f>
        <v>3</v>
      </c>
      <c r="I25" s="6">
        <f t="shared" si="3"/>
        <v>3</v>
      </c>
      <c r="J25" s="2" t="s">
        <v>204</v>
      </c>
      <c r="K25" s="2"/>
      <c r="L25" s="2"/>
      <c r="M25" s="2"/>
      <c r="N25" s="2" t="s">
        <v>204</v>
      </c>
      <c r="O25" s="2" t="s">
        <v>204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5">
      <c r="A26" s="2">
        <v>23</v>
      </c>
      <c r="B26" s="2" t="s">
        <v>97</v>
      </c>
      <c r="C26" s="31">
        <f>VLOOKUP(B26,종합Sheet!$B$4:$F$133,2,0)</f>
        <v>2021</v>
      </c>
      <c r="D26" s="2" t="str">
        <f>VLOOKUP(B26,종합Sheet!$B$4:$F$133,3,0)</f>
        <v>지급</v>
      </c>
      <c r="E26" s="2">
        <f>VLOOKUP(B26,종합Sheet!$B$4:$F$133,4,0)</f>
        <v>0</v>
      </c>
      <c r="F26" s="2" t="s">
        <v>37</v>
      </c>
      <c r="G26" s="2">
        <f t="shared" si="2"/>
        <v>15</v>
      </c>
      <c r="H26" s="6">
        <f>I26+개인기록Sheet!C60</f>
        <v>4.8</v>
      </c>
      <c r="I26" s="6">
        <f t="shared" si="3"/>
        <v>4</v>
      </c>
      <c r="J26" s="2" t="s">
        <v>204</v>
      </c>
      <c r="K26" s="2" t="s">
        <v>204</v>
      </c>
      <c r="L26" s="2"/>
      <c r="M26" s="2" t="s">
        <v>204</v>
      </c>
      <c r="N26" s="2" t="s">
        <v>204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5">
      <c r="A27" s="2">
        <v>24</v>
      </c>
      <c r="B27" s="2" t="s">
        <v>46</v>
      </c>
      <c r="C27" s="31" t="e">
        <f>VLOOKUP(B27,종합Sheet!$B$4:$F$133,2,0)</f>
        <v>#N/A</v>
      </c>
      <c r="D27" s="2" t="e">
        <f>VLOOKUP(B27,종합Sheet!$B$4:$F$133,3,0)</f>
        <v>#N/A</v>
      </c>
      <c r="E27" s="2" t="e">
        <f>VLOOKUP(B27,종합Sheet!$B$4:$F$133,4,0)</f>
        <v>#N/A</v>
      </c>
      <c r="F27" s="2" t="s">
        <v>37</v>
      </c>
      <c r="G27" s="2">
        <f t="shared" si="2"/>
        <v>8</v>
      </c>
      <c r="H27" s="6">
        <f>I27+개인기록Sheet!C62</f>
        <v>6.7</v>
      </c>
      <c r="I27" s="6">
        <f t="shared" si="3"/>
        <v>3</v>
      </c>
      <c r="J27" s="2"/>
      <c r="K27" s="2"/>
      <c r="L27" s="2" t="s">
        <v>204</v>
      </c>
      <c r="M27" s="2" t="s">
        <v>204</v>
      </c>
      <c r="N27" s="2"/>
      <c r="O27" s="2" t="s">
        <v>204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5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5">
      <c r="A28" s="2">
        <v>25</v>
      </c>
      <c r="B28" s="2" t="s">
        <v>75</v>
      </c>
      <c r="C28" s="31" t="str">
        <f>VLOOKUP(B28,종합Sheet!$B$4:$F$133,2,0)</f>
        <v>Origin</v>
      </c>
      <c r="D28" s="2" t="str">
        <f>VLOOKUP(B28,종합Sheet!$B$4:$F$133,3,0)</f>
        <v>지급</v>
      </c>
      <c r="E28" s="2">
        <f>VLOOKUP(B28,종합Sheet!$B$4:$F$133,4,0)</f>
        <v>0</v>
      </c>
      <c r="F28" s="2" t="s">
        <v>37</v>
      </c>
      <c r="G28" s="2">
        <f t="shared" si="2"/>
        <v>22</v>
      </c>
      <c r="H28" s="6">
        <f>I28+개인기록Sheet!C63</f>
        <v>3.3</v>
      </c>
      <c r="I28" s="6">
        <f t="shared" si="3"/>
        <v>3</v>
      </c>
      <c r="J28" s="2"/>
      <c r="K28" s="2" t="s">
        <v>204</v>
      </c>
      <c r="L28" s="2"/>
      <c r="M28" s="2" t="s">
        <v>204</v>
      </c>
      <c r="N28" s="2" t="s">
        <v>204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5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>
        <v>26</v>
      </c>
      <c r="B29" s="2" t="s">
        <v>178</v>
      </c>
      <c r="C29" s="31">
        <f>VLOOKUP(B29,종합Sheet!$B$4:$F$133,2,0)</f>
        <v>2023</v>
      </c>
      <c r="D29" s="2" t="str">
        <f>VLOOKUP(B29,종합Sheet!$B$4:$F$133,3,0)</f>
        <v>지급</v>
      </c>
      <c r="E29" s="2">
        <f>VLOOKUP(B29,종합Sheet!$B$4:$F$133,4,0)</f>
        <v>0</v>
      </c>
      <c r="F29" s="2" t="s">
        <v>37</v>
      </c>
      <c r="G29" s="2">
        <f t="shared" ref="G29" si="4">RANK(H29,$H$4:$H$37,0)</f>
        <v>19</v>
      </c>
      <c r="H29" s="6">
        <f>I29+개인기록Sheet!C64</f>
        <v>3.9000000000000004</v>
      </c>
      <c r="I29" s="6">
        <f t="shared" ref="I29" si="5">(COUNTIF(J29:CD29,"출전")*1)</f>
        <v>1</v>
      </c>
      <c r="J29" s="2"/>
      <c r="K29" s="2"/>
      <c r="L29" s="2"/>
      <c r="M29" s="2"/>
      <c r="N29" s="2" t="s">
        <v>204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5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2">
        <v>27</v>
      </c>
      <c r="B30" s="2" t="s">
        <v>7</v>
      </c>
      <c r="C30" s="31" t="str">
        <f>VLOOKUP(B30,종합Sheet!$B$4:$F$133,2,0)</f>
        <v>Origin</v>
      </c>
      <c r="D30" s="2" t="str">
        <f>VLOOKUP(B30,종합Sheet!$B$4:$F$133,3,0)</f>
        <v>지급</v>
      </c>
      <c r="E30" s="2">
        <f>VLOOKUP(B30,종합Sheet!$B$4:$F$133,4,0)</f>
        <v>0</v>
      </c>
      <c r="F30" s="2" t="s">
        <v>37</v>
      </c>
      <c r="G30" s="2">
        <f t="shared" si="2"/>
        <v>21</v>
      </c>
      <c r="H30" s="6">
        <f>I30+개인기록Sheet!C69</f>
        <v>3.4</v>
      </c>
      <c r="I30" s="6">
        <f t="shared" ref="I30:I37" si="6">(COUNTIF(J30:CD30,"출전")*1)</f>
        <v>3</v>
      </c>
      <c r="J30" s="2"/>
      <c r="K30" s="2"/>
      <c r="L30" s="2" t="s">
        <v>204</v>
      </c>
      <c r="M30" s="2" t="s">
        <v>204</v>
      </c>
      <c r="N30" s="2" t="s">
        <v>204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5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5">
      <c r="A31" s="2">
        <v>28</v>
      </c>
      <c r="B31" s="2" t="s">
        <v>5</v>
      </c>
      <c r="C31" s="31" t="str">
        <f>VLOOKUP(B31,종합Sheet!$B$4:$F$133,2,0)</f>
        <v>Origin</v>
      </c>
      <c r="D31" s="2" t="str">
        <f>VLOOKUP(B31,종합Sheet!$B$4:$F$133,3,0)</f>
        <v>지급</v>
      </c>
      <c r="E31" s="2">
        <f>VLOOKUP(B31,종합Sheet!$B$4:$F$133,4,0)</f>
        <v>0</v>
      </c>
      <c r="F31" s="2" t="s">
        <v>37</v>
      </c>
      <c r="G31" s="2">
        <f t="shared" si="2"/>
        <v>29</v>
      </c>
      <c r="H31" s="6">
        <f>I31+개인기록Sheet!C72</f>
        <v>1</v>
      </c>
      <c r="I31" s="6">
        <f t="shared" si="6"/>
        <v>1</v>
      </c>
      <c r="J31" s="2"/>
      <c r="K31" s="2"/>
      <c r="L31" s="2"/>
      <c r="M31" s="2" t="s">
        <v>204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x14ac:dyDescent="0.25">
      <c r="A32" s="2">
        <v>29</v>
      </c>
      <c r="B32" s="2" t="s">
        <v>123</v>
      </c>
      <c r="C32" s="31" t="e">
        <f>VLOOKUP(B32,종합Sheet!$B$4:$F$133,2,0)</f>
        <v>#N/A</v>
      </c>
      <c r="D32" s="2" t="e">
        <f>VLOOKUP(B32,종합Sheet!$B$4:$F$133,3,0)</f>
        <v>#N/A</v>
      </c>
      <c r="E32" s="2" t="e">
        <f>VLOOKUP(B32,종합Sheet!$B$4:$F$133,4,0)</f>
        <v>#N/A</v>
      </c>
      <c r="F32" s="2" t="s">
        <v>37</v>
      </c>
      <c r="G32" s="2">
        <f t="shared" si="2"/>
        <v>12</v>
      </c>
      <c r="H32" s="6">
        <f>I32+개인기록Sheet!C79</f>
        <v>5.2</v>
      </c>
      <c r="I32" s="6">
        <f t="shared" si="6"/>
        <v>4</v>
      </c>
      <c r="J32" s="2" t="s">
        <v>204</v>
      </c>
      <c r="K32" s="2" t="s">
        <v>204</v>
      </c>
      <c r="L32" s="2" t="s">
        <v>204</v>
      </c>
      <c r="M32" s="2"/>
      <c r="N32" s="2"/>
      <c r="O32" s="2" t="s">
        <v>204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5"/>
      <c r="AG32" s="5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5">
      <c r="A33" s="2">
        <v>30</v>
      </c>
      <c r="B33" s="2" t="s">
        <v>121</v>
      </c>
      <c r="C33" s="31">
        <f>VLOOKUP(B33,종합Sheet!$B$4:$F$133,2,0)</f>
        <v>2022</v>
      </c>
      <c r="D33" s="2">
        <f>VLOOKUP(B33,종합Sheet!$B$4:$F$133,3,0)</f>
        <v>0</v>
      </c>
      <c r="E33" s="2">
        <f>VLOOKUP(B33,종합Sheet!$B$4:$F$133,4,0)</f>
        <v>0</v>
      </c>
      <c r="F33" s="2" t="s">
        <v>37</v>
      </c>
      <c r="G33" s="2">
        <f t="shared" si="2"/>
        <v>17</v>
      </c>
      <c r="H33" s="6">
        <f>I33+개인기록Sheet!C83</f>
        <v>4.2</v>
      </c>
      <c r="I33" s="6">
        <f t="shared" si="6"/>
        <v>1</v>
      </c>
      <c r="J33" s="2"/>
      <c r="K33" s="2"/>
      <c r="L33" s="2"/>
      <c r="M33" s="2" t="s">
        <v>204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5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5">
      <c r="A34" s="2">
        <v>31</v>
      </c>
      <c r="B34" s="2" t="s">
        <v>136</v>
      </c>
      <c r="C34" s="31">
        <f>VLOOKUP(B34,종합Sheet!$B$4:$F$133,2,0)</f>
        <v>2023</v>
      </c>
      <c r="D34" s="2" t="str">
        <f>VLOOKUP(B34,종합Sheet!$B$4:$F$133,3,0)</f>
        <v>지급</v>
      </c>
      <c r="E34" s="2">
        <f>VLOOKUP(B34,종합Sheet!$B$4:$F$133,4,0)</f>
        <v>0</v>
      </c>
      <c r="F34" s="2" t="s">
        <v>37</v>
      </c>
      <c r="G34" s="2">
        <f t="shared" si="2"/>
        <v>29</v>
      </c>
      <c r="H34" s="6">
        <f>I34+개인기록Sheet!C90</f>
        <v>1</v>
      </c>
      <c r="I34" s="6">
        <f t="shared" si="6"/>
        <v>1</v>
      </c>
      <c r="J34" s="2"/>
      <c r="K34" s="2" t="s">
        <v>204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5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5">
      <c r="A35" s="2">
        <v>32</v>
      </c>
      <c r="B35" s="2" t="s">
        <v>124</v>
      </c>
      <c r="C35" s="31">
        <f>VLOOKUP(B35,종합Sheet!$B$4:$F$133,2,0)</f>
        <v>2023</v>
      </c>
      <c r="D35" s="2" t="str">
        <f>VLOOKUP(B35,종합Sheet!$B$4:$F$133,3,0)</f>
        <v>지급</v>
      </c>
      <c r="E35" s="2">
        <f>VLOOKUP(B35,종합Sheet!$B$4:$F$133,4,0)</f>
        <v>0</v>
      </c>
      <c r="F35" s="2" t="s">
        <v>37</v>
      </c>
      <c r="G35" s="2">
        <f t="shared" si="2"/>
        <v>6</v>
      </c>
      <c r="H35" s="6">
        <f>I35+개인기록Sheet!C97</f>
        <v>7.7</v>
      </c>
      <c r="I35" s="6">
        <f t="shared" si="6"/>
        <v>5</v>
      </c>
      <c r="J35" s="2" t="s">
        <v>204</v>
      </c>
      <c r="K35" s="2" t="s">
        <v>204</v>
      </c>
      <c r="L35" s="2" t="s">
        <v>204</v>
      </c>
      <c r="M35" s="2" t="s">
        <v>204</v>
      </c>
      <c r="N35" s="2"/>
      <c r="O35" s="2" t="s">
        <v>204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x14ac:dyDescent="0.25">
      <c r="A36" s="2">
        <v>33</v>
      </c>
      <c r="B36" s="2" t="s">
        <v>32</v>
      </c>
      <c r="C36" s="31" t="str">
        <f>VLOOKUP(B36,종합Sheet!$B$4:$F$133,2,0)</f>
        <v>Origin</v>
      </c>
      <c r="D36" s="2" t="str">
        <f>VLOOKUP(B36,종합Sheet!$B$4:$F$133,3,0)</f>
        <v>지급</v>
      </c>
      <c r="E36" s="2">
        <f>VLOOKUP(B36,종합Sheet!$B$4:$F$133,4,0)</f>
        <v>0</v>
      </c>
      <c r="F36" s="2" t="s">
        <v>37</v>
      </c>
      <c r="G36" s="2">
        <f t="shared" si="2"/>
        <v>16</v>
      </c>
      <c r="H36" s="6">
        <f>I36+개인기록Sheet!C102</f>
        <v>4.7</v>
      </c>
      <c r="I36" s="6">
        <f t="shared" si="6"/>
        <v>3</v>
      </c>
      <c r="J36" s="2" t="s">
        <v>204</v>
      </c>
      <c r="K36" s="2" t="s">
        <v>204</v>
      </c>
      <c r="L36" s="2" t="s">
        <v>204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>
        <v>34</v>
      </c>
      <c r="B37" s="2" t="s">
        <v>42</v>
      </c>
      <c r="C37" s="31" t="str">
        <f>VLOOKUP(B37,종합Sheet!$B$4:$F$133,2,0)</f>
        <v>Origin</v>
      </c>
      <c r="D37" s="2" t="str">
        <f>VLOOKUP(B37,종합Sheet!$B$4:$F$133,3,0)</f>
        <v>지급</v>
      </c>
      <c r="E37" s="2">
        <f>VLOOKUP(B37,종합Sheet!$B$4:$F$133,4,0)</f>
        <v>0</v>
      </c>
      <c r="F37" s="2" t="s">
        <v>37</v>
      </c>
      <c r="G37" s="2">
        <f t="shared" si="2"/>
        <v>3</v>
      </c>
      <c r="H37" s="6">
        <f>I37+개인기록Sheet!C104</f>
        <v>8.1999999999999993</v>
      </c>
      <c r="I37" s="6">
        <f t="shared" si="6"/>
        <v>5</v>
      </c>
      <c r="J37" s="2" t="s">
        <v>204</v>
      </c>
      <c r="K37" s="2" t="s">
        <v>204</v>
      </c>
      <c r="L37" s="2" t="s">
        <v>204</v>
      </c>
      <c r="M37" s="2"/>
      <c r="N37" s="2" t="s">
        <v>204</v>
      </c>
      <c r="O37" s="2" t="s">
        <v>204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</sheetData>
  <autoFilter ref="A3:CT37" xr:uid="{00000000-0001-0000-0000-000000000000}">
    <sortState xmlns:xlrd2="http://schemas.microsoft.com/office/spreadsheetml/2017/richdata2" ref="A4:CT37">
      <sortCondition ref="A3:A37"/>
    </sortState>
  </autoFilter>
  <phoneticPr fontId="2" type="noConversion"/>
  <conditionalFormatting sqref="D4:E37">
    <cfRule type="containsText" dxfId="3" priority="2" operator="containsText" text="지급">
      <formula>NOT(ISERROR(SEARCH("지급",D4)))</formula>
    </cfRule>
  </conditionalFormatting>
  <conditionalFormatting sqref="G4:G37">
    <cfRule type="top10" dxfId="2" priority="426" bottom="1" rank="10"/>
  </conditionalFormatting>
  <conditionalFormatting sqref="H4:H37">
    <cfRule type="top10" dxfId="1" priority="428" rank="10"/>
  </conditionalFormatting>
  <conditionalFormatting sqref="I4:I37">
    <cfRule type="top10" dxfId="0" priority="430" rank="10"/>
  </conditionalFormatting>
  <pageMargins left="0.39347222447395325" right="0.39347222447395325" top="0.19666667282581329" bottom="0.19666667282581329" header="0.19666667282581329" footer="0.19666667282581329"/>
  <pageSetup paperSize="9" scale="9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46DD-3190-4B01-99D0-3AC5A9404CDF}">
  <dimension ref="A2:V26"/>
  <sheetViews>
    <sheetView topLeftCell="A7" zoomScaleNormal="125" workbookViewId="0">
      <selection activeCell="L24" sqref="L24"/>
    </sheetView>
  </sheetViews>
  <sheetFormatPr defaultColWidth="8.8984375" defaultRowHeight="15.6" x14ac:dyDescent="0.25"/>
  <cols>
    <col min="1" max="1" width="4.8984375" style="1" bestFit="1" customWidth="1"/>
    <col min="2" max="2" width="5.69921875" style="1" bestFit="1" customWidth="1"/>
    <col min="3" max="4" width="8.8984375" style="1" customWidth="1"/>
    <col min="5" max="22" width="5.796875" style="1" customWidth="1"/>
  </cols>
  <sheetData>
    <row r="2" spans="1:22" x14ac:dyDescent="0.25">
      <c r="B2" s="1" t="s">
        <v>205</v>
      </c>
    </row>
    <row r="4" spans="1:22" ht="13.35" customHeight="1" x14ac:dyDescent="0.25">
      <c r="A4" s="28"/>
      <c r="B4" s="11">
        <v>44985</v>
      </c>
      <c r="C4" s="10" t="s">
        <v>74</v>
      </c>
      <c r="D4" s="10" t="s">
        <v>208</v>
      </c>
      <c r="E4" s="77" t="s">
        <v>82</v>
      </c>
      <c r="F4" s="77"/>
      <c r="G4" s="77"/>
      <c r="H4" s="77"/>
      <c r="I4" s="78" t="s">
        <v>85</v>
      </c>
      <c r="J4" s="78"/>
      <c r="K4" s="78"/>
      <c r="L4" s="78"/>
      <c r="M4" s="79" t="s">
        <v>84</v>
      </c>
      <c r="N4" s="79"/>
      <c r="O4" s="79"/>
      <c r="P4" s="79"/>
      <c r="Q4" s="80" t="s">
        <v>78</v>
      </c>
      <c r="R4" s="80"/>
      <c r="S4" s="80"/>
      <c r="T4" s="80"/>
      <c r="U4" s="80"/>
      <c r="V4" s="80"/>
    </row>
    <row r="5" spans="1:22" x14ac:dyDescent="0.25">
      <c r="A5" s="27"/>
      <c r="B5" s="12" t="s">
        <v>65</v>
      </c>
      <c r="C5" s="10">
        <v>2</v>
      </c>
      <c r="D5" s="10">
        <v>0</v>
      </c>
      <c r="E5" s="7" t="s">
        <v>91</v>
      </c>
      <c r="F5" s="7" t="s">
        <v>109</v>
      </c>
      <c r="G5" s="7"/>
      <c r="H5" s="7"/>
      <c r="I5" s="8"/>
      <c r="J5" s="8" t="s">
        <v>97</v>
      </c>
      <c r="K5" s="8"/>
      <c r="L5" s="8"/>
      <c r="M5" s="20" t="s">
        <v>101</v>
      </c>
      <c r="N5" s="20" t="s">
        <v>107</v>
      </c>
      <c r="O5" s="20" t="s">
        <v>111</v>
      </c>
      <c r="P5" s="20"/>
      <c r="Q5" s="9" t="s">
        <v>133</v>
      </c>
      <c r="R5" s="9" t="s">
        <v>124</v>
      </c>
      <c r="S5" s="9" t="s">
        <v>211</v>
      </c>
      <c r="T5" s="9" t="s">
        <v>97</v>
      </c>
      <c r="U5" s="9"/>
      <c r="V5" s="13" t="s">
        <v>108</v>
      </c>
    </row>
    <row r="6" spans="1:22" x14ac:dyDescent="0.25">
      <c r="A6" s="27"/>
      <c r="B6" s="12" t="s">
        <v>71</v>
      </c>
      <c r="C6" s="10">
        <v>2</v>
      </c>
      <c r="D6" s="10">
        <v>1</v>
      </c>
      <c r="E6" s="7" t="s">
        <v>209</v>
      </c>
      <c r="F6" s="7" t="s">
        <v>210</v>
      </c>
      <c r="G6" s="7"/>
      <c r="H6" s="7"/>
      <c r="I6" s="8" t="s">
        <v>90</v>
      </c>
      <c r="J6" s="8"/>
      <c r="K6" s="8"/>
      <c r="L6" s="8"/>
      <c r="M6" s="20"/>
      <c r="N6" s="20"/>
      <c r="O6" s="20"/>
      <c r="P6" s="20"/>
      <c r="Q6" s="9"/>
      <c r="R6" s="9"/>
      <c r="S6" s="9"/>
      <c r="T6" s="9"/>
      <c r="U6" s="9"/>
      <c r="V6" s="13"/>
    </row>
    <row r="7" spans="1:22" x14ac:dyDescent="0.25">
      <c r="A7" s="27"/>
      <c r="B7" s="12" t="s">
        <v>73</v>
      </c>
      <c r="C7" s="10">
        <v>0</v>
      </c>
      <c r="D7" s="10">
        <v>2</v>
      </c>
      <c r="E7" s="7"/>
      <c r="F7" s="7"/>
      <c r="G7" s="7"/>
      <c r="H7" s="7"/>
      <c r="I7" s="8"/>
      <c r="J7" s="8"/>
      <c r="K7" s="8"/>
      <c r="L7" s="8"/>
      <c r="M7" s="20"/>
      <c r="N7" s="20"/>
      <c r="O7" s="20"/>
      <c r="P7" s="20"/>
      <c r="Q7" s="9"/>
      <c r="R7" s="9"/>
      <c r="S7" s="9"/>
      <c r="T7" s="9"/>
      <c r="U7" s="9"/>
      <c r="V7" s="13"/>
    </row>
    <row r="8" spans="1:22" x14ac:dyDescent="0.25">
      <c r="A8" s="28"/>
      <c r="B8" s="12" t="s">
        <v>41</v>
      </c>
      <c r="C8" s="10">
        <v>1</v>
      </c>
      <c r="D8" s="10">
        <v>0</v>
      </c>
      <c r="E8" s="7" t="s">
        <v>101</v>
      </c>
      <c r="F8" s="7"/>
      <c r="G8" s="7"/>
      <c r="H8" s="7"/>
      <c r="I8" s="8"/>
      <c r="J8" s="8"/>
      <c r="K8" s="8"/>
      <c r="L8" s="8"/>
      <c r="M8" s="20" t="s">
        <v>101</v>
      </c>
      <c r="N8" s="20" t="s">
        <v>107</v>
      </c>
      <c r="O8" s="20" t="s">
        <v>111</v>
      </c>
      <c r="P8" s="20" t="s">
        <v>91</v>
      </c>
      <c r="Q8" s="9" t="s">
        <v>133</v>
      </c>
      <c r="R8" s="9" t="s">
        <v>124</v>
      </c>
      <c r="S8" s="9" t="s">
        <v>136</v>
      </c>
      <c r="T8" s="9" t="s">
        <v>135</v>
      </c>
      <c r="U8" s="9"/>
      <c r="V8" s="13" t="s">
        <v>108</v>
      </c>
    </row>
    <row r="9" spans="1:22" x14ac:dyDescent="0.25">
      <c r="A9" s="27"/>
      <c r="B9" s="12" t="s">
        <v>40</v>
      </c>
      <c r="C9" s="10"/>
      <c r="D9" s="10"/>
      <c r="E9" s="7"/>
      <c r="F9" s="7"/>
      <c r="G9" s="7"/>
      <c r="H9" s="7"/>
      <c r="I9" s="8"/>
      <c r="J9" s="8"/>
      <c r="K9" s="8"/>
      <c r="L9" s="8"/>
      <c r="M9" s="20"/>
      <c r="N9" s="20"/>
      <c r="O9" s="20"/>
      <c r="P9" s="20"/>
      <c r="Q9" s="9"/>
      <c r="R9" s="9"/>
      <c r="S9" s="9"/>
      <c r="T9" s="9"/>
      <c r="U9" s="9"/>
      <c r="V9" s="13"/>
    </row>
    <row r="10" spans="1:22" x14ac:dyDescent="0.25">
      <c r="B10" s="2" t="s">
        <v>89</v>
      </c>
      <c r="C10" s="2">
        <f>SUM(C5:C9)</f>
        <v>5</v>
      </c>
      <c r="D10" s="2">
        <f>SUM(D5:D9)</f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2" spans="1:22" x14ac:dyDescent="0.25">
      <c r="B12" s="11">
        <v>45068</v>
      </c>
      <c r="C12" s="10" t="s">
        <v>74</v>
      </c>
      <c r="D12" s="10" t="s">
        <v>208</v>
      </c>
      <c r="E12" s="77" t="s">
        <v>82</v>
      </c>
      <c r="F12" s="77"/>
      <c r="G12" s="77"/>
      <c r="H12" s="77"/>
      <c r="I12" s="78" t="s">
        <v>85</v>
      </c>
      <c r="J12" s="78"/>
      <c r="K12" s="78"/>
      <c r="L12" s="78"/>
      <c r="M12" s="79" t="s">
        <v>84</v>
      </c>
      <c r="N12" s="79"/>
      <c r="O12" s="79"/>
      <c r="P12" s="79"/>
      <c r="Q12" s="80" t="s">
        <v>78</v>
      </c>
      <c r="R12" s="80"/>
      <c r="S12" s="80"/>
      <c r="T12" s="80"/>
      <c r="U12" s="80"/>
      <c r="V12" s="80"/>
    </row>
    <row r="13" spans="1:22" x14ac:dyDescent="0.25">
      <c r="B13" s="12" t="s">
        <v>65</v>
      </c>
      <c r="C13" s="10">
        <v>1</v>
      </c>
      <c r="D13" s="10">
        <v>0</v>
      </c>
      <c r="E13" s="7" t="s">
        <v>109</v>
      </c>
      <c r="F13" s="7"/>
      <c r="G13" s="7"/>
      <c r="H13" s="7"/>
      <c r="I13" s="8"/>
      <c r="J13" s="8"/>
      <c r="K13" s="8"/>
      <c r="L13" s="8"/>
      <c r="M13" s="20" t="s">
        <v>39</v>
      </c>
      <c r="N13" s="20" t="s">
        <v>224</v>
      </c>
      <c r="O13" s="20" t="s">
        <v>7</v>
      </c>
      <c r="P13" s="20"/>
      <c r="Q13" s="9" t="s">
        <v>118</v>
      </c>
      <c r="R13" s="9" t="s">
        <v>124</v>
      </c>
      <c r="S13" s="9" t="s">
        <v>215</v>
      </c>
      <c r="T13" s="9" t="s">
        <v>214</v>
      </c>
      <c r="U13" s="9"/>
      <c r="V13" s="13" t="s">
        <v>161</v>
      </c>
    </row>
    <row r="14" spans="1:22" x14ac:dyDescent="0.25">
      <c r="B14" s="12" t="s">
        <v>71</v>
      </c>
      <c r="C14" s="10">
        <v>3</v>
      </c>
      <c r="D14" s="10">
        <v>0</v>
      </c>
      <c r="E14" s="7" t="s">
        <v>97</v>
      </c>
      <c r="F14" s="7" t="s">
        <v>97</v>
      </c>
      <c r="G14" s="7" t="s">
        <v>109</v>
      </c>
      <c r="H14" s="7"/>
      <c r="I14" s="8" t="s">
        <v>101</v>
      </c>
      <c r="J14" s="8"/>
      <c r="K14" s="8"/>
      <c r="L14" s="8"/>
      <c r="M14" s="20" t="s">
        <v>103</v>
      </c>
      <c r="N14" s="20" t="s">
        <v>97</v>
      </c>
      <c r="O14" s="20" t="s">
        <v>101</v>
      </c>
      <c r="P14" s="20"/>
      <c r="Q14" s="9" t="s">
        <v>216</v>
      </c>
      <c r="R14" s="9" t="s">
        <v>215</v>
      </c>
      <c r="S14" s="9" t="s">
        <v>211</v>
      </c>
      <c r="T14" s="9" t="s">
        <v>214</v>
      </c>
      <c r="U14" s="9"/>
      <c r="V14" s="13" t="s">
        <v>161</v>
      </c>
    </row>
    <row r="15" spans="1:22" x14ac:dyDescent="0.25">
      <c r="B15" s="12" t="s">
        <v>73</v>
      </c>
      <c r="C15" s="10">
        <v>2</v>
      </c>
      <c r="D15" s="10">
        <v>0</v>
      </c>
      <c r="E15" s="7" t="s">
        <v>90</v>
      </c>
      <c r="F15" s="7" t="s">
        <v>90</v>
      </c>
      <c r="G15" s="7"/>
      <c r="H15" s="7"/>
      <c r="I15" s="8"/>
      <c r="J15" s="8"/>
      <c r="K15" s="8"/>
      <c r="L15" s="8"/>
      <c r="M15" s="20" t="s">
        <v>53</v>
      </c>
      <c r="N15" s="20" t="s">
        <v>7</v>
      </c>
      <c r="O15" s="20" t="s">
        <v>46</v>
      </c>
      <c r="P15" s="20"/>
      <c r="Q15" s="9" t="s">
        <v>118</v>
      </c>
      <c r="R15" s="9" t="s">
        <v>124</v>
      </c>
      <c r="S15" s="9" t="s">
        <v>211</v>
      </c>
      <c r="T15" s="9" t="s">
        <v>214</v>
      </c>
      <c r="U15" s="9"/>
      <c r="V15" s="13" t="s">
        <v>161</v>
      </c>
    </row>
    <row r="16" spans="1:22" x14ac:dyDescent="0.25">
      <c r="B16" s="12" t="s">
        <v>41</v>
      </c>
      <c r="C16" s="10">
        <v>1</v>
      </c>
      <c r="D16" s="10">
        <v>0</v>
      </c>
      <c r="E16" s="7" t="s">
        <v>121</v>
      </c>
      <c r="F16" s="7"/>
      <c r="G16" s="7"/>
      <c r="H16" s="7"/>
      <c r="I16" s="8" t="s">
        <v>97</v>
      </c>
      <c r="J16" s="8"/>
      <c r="K16" s="8"/>
      <c r="L16" s="8"/>
      <c r="M16" s="20"/>
      <c r="N16" s="20"/>
      <c r="O16" s="20"/>
      <c r="P16" s="20"/>
      <c r="Q16" s="9"/>
      <c r="R16" s="9"/>
      <c r="S16" s="9"/>
      <c r="T16" s="9"/>
      <c r="U16" s="9"/>
      <c r="V16" s="13"/>
    </row>
    <row r="17" spans="2:22" x14ac:dyDescent="0.25">
      <c r="B17" s="12" t="s">
        <v>40</v>
      </c>
      <c r="C17" s="10"/>
      <c r="D17" s="10"/>
      <c r="E17" s="7"/>
      <c r="F17" s="7"/>
      <c r="G17" s="7"/>
      <c r="H17" s="7"/>
      <c r="I17" s="8"/>
      <c r="J17" s="8"/>
      <c r="K17" s="8"/>
      <c r="L17" s="8"/>
      <c r="M17" s="20"/>
      <c r="N17" s="20"/>
      <c r="O17" s="20"/>
      <c r="P17" s="20"/>
      <c r="Q17" s="9"/>
      <c r="R17" s="9"/>
      <c r="S17" s="9"/>
      <c r="T17" s="9"/>
      <c r="U17" s="9"/>
      <c r="V17" s="13"/>
    </row>
    <row r="18" spans="2:22" x14ac:dyDescent="0.25">
      <c r="B18" s="2" t="s">
        <v>89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20" spans="2:22" x14ac:dyDescent="0.25">
      <c r="B20" s="11">
        <v>45074</v>
      </c>
      <c r="C20" s="10" t="s">
        <v>74</v>
      </c>
      <c r="D20" s="10" t="s">
        <v>217</v>
      </c>
      <c r="E20" s="77" t="s">
        <v>82</v>
      </c>
      <c r="F20" s="77"/>
      <c r="G20" s="77"/>
      <c r="H20" s="77"/>
      <c r="I20" s="78" t="s">
        <v>85</v>
      </c>
      <c r="J20" s="78"/>
      <c r="K20" s="78"/>
      <c r="L20" s="78"/>
      <c r="M20" s="79" t="s">
        <v>84</v>
      </c>
      <c r="N20" s="79"/>
      <c r="O20" s="79"/>
      <c r="P20" s="79"/>
      <c r="Q20" s="80" t="s">
        <v>78</v>
      </c>
      <c r="R20" s="80"/>
      <c r="S20" s="80"/>
      <c r="T20" s="80"/>
      <c r="U20" s="80"/>
      <c r="V20" s="80"/>
    </row>
    <row r="21" spans="2:22" x14ac:dyDescent="0.25">
      <c r="B21" s="12" t="s">
        <v>65</v>
      </c>
      <c r="C21" s="10">
        <v>1</v>
      </c>
      <c r="D21" s="10">
        <v>0</v>
      </c>
      <c r="E21" s="7" t="s">
        <v>109</v>
      </c>
      <c r="F21" s="7"/>
      <c r="G21" s="7"/>
      <c r="H21" s="7"/>
      <c r="I21" s="8" t="s">
        <v>100</v>
      </c>
      <c r="J21" s="8"/>
      <c r="K21" s="8"/>
      <c r="L21" s="8"/>
      <c r="M21" s="20" t="s">
        <v>125</v>
      </c>
      <c r="N21" s="20" t="s">
        <v>107</v>
      </c>
      <c r="O21" s="20" t="s">
        <v>97</v>
      </c>
      <c r="P21" s="20"/>
      <c r="Q21" s="9" t="s">
        <v>133</v>
      </c>
      <c r="R21" s="9" t="s">
        <v>102</v>
      </c>
      <c r="S21" s="9" t="s">
        <v>222</v>
      </c>
      <c r="T21" s="9" t="s">
        <v>214</v>
      </c>
      <c r="U21" s="9"/>
      <c r="V21" s="13" t="s">
        <v>108</v>
      </c>
    </row>
    <row r="22" spans="2:22" x14ac:dyDescent="0.25">
      <c r="B22" s="12" t="s">
        <v>71</v>
      </c>
      <c r="C22" s="10">
        <v>3</v>
      </c>
      <c r="D22" s="10">
        <v>0</v>
      </c>
      <c r="E22" s="7" t="s">
        <v>100</v>
      </c>
      <c r="F22" s="7" t="s">
        <v>109</v>
      </c>
      <c r="G22" s="7" t="s">
        <v>110</v>
      </c>
      <c r="H22" s="7"/>
      <c r="I22" s="8" t="s">
        <v>109</v>
      </c>
      <c r="J22" s="8" t="s">
        <v>213</v>
      </c>
      <c r="K22" s="8" t="s">
        <v>97</v>
      </c>
      <c r="L22" s="8"/>
      <c r="M22" s="20" t="s">
        <v>213</v>
      </c>
      <c r="N22" s="20" t="s">
        <v>103</v>
      </c>
      <c r="O22" s="20" t="s">
        <v>97</v>
      </c>
      <c r="P22" s="20"/>
      <c r="Q22" s="9" t="s">
        <v>178</v>
      </c>
      <c r="R22" s="9" t="s">
        <v>102</v>
      </c>
      <c r="S22" s="9" t="s">
        <v>222</v>
      </c>
      <c r="T22" s="9" t="s">
        <v>214</v>
      </c>
      <c r="U22" s="9"/>
      <c r="V22" s="13" t="s">
        <v>108</v>
      </c>
    </row>
    <row r="23" spans="2:22" x14ac:dyDescent="0.25">
      <c r="B23" s="12" t="s">
        <v>73</v>
      </c>
      <c r="C23" s="10">
        <v>4</v>
      </c>
      <c r="D23" s="10">
        <v>1</v>
      </c>
      <c r="E23" s="7" t="s">
        <v>213</v>
      </c>
      <c r="F23" s="7" t="s">
        <v>178</v>
      </c>
      <c r="G23" s="7" t="s">
        <v>213</v>
      </c>
      <c r="H23" s="7" t="s">
        <v>125</v>
      </c>
      <c r="I23" s="8" t="s">
        <v>178</v>
      </c>
      <c r="J23" s="8" t="s">
        <v>214</v>
      </c>
      <c r="K23" s="8" t="s">
        <v>178</v>
      </c>
      <c r="L23" s="8" t="s">
        <v>214</v>
      </c>
      <c r="M23" s="20"/>
      <c r="N23" s="20"/>
      <c r="O23" s="20"/>
      <c r="P23" s="20"/>
      <c r="Q23" s="9"/>
      <c r="R23" s="9"/>
      <c r="S23" s="9"/>
      <c r="T23" s="9"/>
      <c r="U23" s="9"/>
      <c r="V23" s="13"/>
    </row>
    <row r="24" spans="2:22" x14ac:dyDescent="0.25">
      <c r="B24" s="12" t="s">
        <v>41</v>
      </c>
      <c r="C24" s="10">
        <v>2</v>
      </c>
      <c r="D24" s="10">
        <v>1</v>
      </c>
      <c r="E24" s="7" t="s">
        <v>178</v>
      </c>
      <c r="F24" s="7" t="s">
        <v>178</v>
      </c>
      <c r="G24" s="7"/>
      <c r="H24" s="7"/>
      <c r="I24" s="8" t="s">
        <v>213</v>
      </c>
      <c r="J24" s="8" t="s">
        <v>103</v>
      </c>
      <c r="K24" s="8"/>
      <c r="L24" s="8"/>
      <c r="M24" s="20"/>
      <c r="N24" s="20"/>
      <c r="O24" s="20"/>
      <c r="P24" s="20"/>
      <c r="Q24" s="9"/>
      <c r="R24" s="9"/>
      <c r="S24" s="9"/>
      <c r="T24" s="9"/>
      <c r="U24" s="9"/>
      <c r="V24" s="13"/>
    </row>
    <row r="25" spans="2:22" x14ac:dyDescent="0.25">
      <c r="B25" s="12" t="s">
        <v>40</v>
      </c>
      <c r="C25" s="10"/>
      <c r="D25" s="10"/>
      <c r="E25" s="7"/>
      <c r="F25" s="7"/>
      <c r="G25" s="7"/>
      <c r="H25" s="7"/>
      <c r="I25" s="8"/>
      <c r="J25" s="8"/>
      <c r="K25" s="8"/>
      <c r="L25" s="8"/>
      <c r="M25" s="20"/>
      <c r="N25" s="20"/>
      <c r="O25" s="20"/>
      <c r="P25" s="20"/>
      <c r="Q25" s="9"/>
      <c r="R25" s="9"/>
      <c r="S25" s="9"/>
      <c r="T25" s="9"/>
      <c r="U25" s="9"/>
      <c r="V25" s="13"/>
    </row>
    <row r="26" spans="2:22" x14ac:dyDescent="0.25">
      <c r="B26" s="2" t="s">
        <v>89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</sheetData>
  <mergeCells count="12">
    <mergeCell ref="E20:H20"/>
    <mergeCell ref="I20:L20"/>
    <mergeCell ref="M20:P20"/>
    <mergeCell ref="Q20:V20"/>
    <mergeCell ref="E4:H4"/>
    <mergeCell ref="I4:L4"/>
    <mergeCell ref="M4:P4"/>
    <mergeCell ref="Q4:V4"/>
    <mergeCell ref="E12:H12"/>
    <mergeCell ref="I12:L12"/>
    <mergeCell ref="M12:P12"/>
    <mergeCell ref="Q12:V12"/>
  </mergeCells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종합Sheet</vt:lpstr>
      <vt:lpstr>경기기록Sheet</vt:lpstr>
      <vt:lpstr>개인기록Sheet</vt:lpstr>
      <vt:lpstr>시상대상(23)</vt:lpstr>
      <vt:lpstr>시상대상(24)</vt:lpstr>
      <vt:lpstr>시상대상(25)</vt:lpstr>
      <vt:lpstr>종합Sheet (외부)</vt:lpstr>
      <vt:lpstr>경기기록Sheet (외부)</vt:lpstr>
      <vt:lpstr>개인기록Sheet!Print_Area</vt:lpstr>
      <vt:lpstr>종합Sheet!Print_Area</vt:lpstr>
      <vt:lpstr>'종합Sheet (외부)'!Print_Area</vt:lpstr>
      <vt:lpstr>종합Sheet!Print_Titles</vt:lpstr>
      <vt:lpstr>'종합Sheet (외부)'!Print_Titles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김인혁</dc:creator>
  <cp:lastModifiedBy>INHYUK KIM</cp:lastModifiedBy>
  <cp:revision>152</cp:revision>
  <cp:lastPrinted>2022-05-11T15:40:21Z</cp:lastPrinted>
  <dcterms:created xsi:type="dcterms:W3CDTF">2018-03-08T15:43:48Z</dcterms:created>
  <dcterms:modified xsi:type="dcterms:W3CDTF">2026-10-15T14:24:11Z</dcterms:modified>
</cp:coreProperties>
</file>