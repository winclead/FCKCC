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4FC05B59-DF77-4DED-AE4B-34DB9FEA98F8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4" i="3" l="1"/>
  <c r="U15" i="3"/>
  <c r="S14" i="3"/>
  <c r="S15" i="3"/>
  <c r="O11" i="3"/>
  <c r="O12" i="3"/>
  <c r="O13" i="3"/>
  <c r="M14" i="3"/>
  <c r="M15" i="3"/>
  <c r="M12" i="3"/>
  <c r="M13" i="3"/>
  <c r="D86" i="2"/>
  <c r="C86" i="2"/>
  <c r="A122" i="3"/>
  <c r="B122" i="3"/>
  <c r="D122" i="3" s="1"/>
  <c r="A123" i="3"/>
  <c r="B123" i="3"/>
  <c r="D123" i="3" s="1"/>
  <c r="A118" i="3"/>
  <c r="B118" i="3"/>
  <c r="E118" i="3" s="1"/>
  <c r="D118" i="3"/>
  <c r="A119" i="3"/>
  <c r="B119" i="3"/>
  <c r="D119" i="3" s="1"/>
  <c r="A120" i="3"/>
  <c r="B120" i="3"/>
  <c r="G120" i="3" s="1"/>
  <c r="A121" i="3"/>
  <c r="B121" i="3"/>
  <c r="E121" i="3" s="1"/>
  <c r="D121" i="3"/>
  <c r="A7" i="3"/>
  <c r="B7" i="3"/>
  <c r="G7" i="3" s="1"/>
  <c r="A8" i="3"/>
  <c r="B8" i="3"/>
  <c r="G8" i="3" s="1"/>
  <c r="A9" i="3"/>
  <c r="B9" i="3"/>
  <c r="F9" i="3" s="1"/>
  <c r="A10" i="3"/>
  <c r="B10" i="3"/>
  <c r="E10" i="3" s="1"/>
  <c r="A11" i="3"/>
  <c r="B11" i="3"/>
  <c r="G11" i="3" s="1"/>
  <c r="E11" i="3"/>
  <c r="A12" i="3"/>
  <c r="B12" i="3"/>
  <c r="H12" i="3" s="1"/>
  <c r="A13" i="3"/>
  <c r="B13" i="3"/>
  <c r="D13" i="3" s="1"/>
  <c r="A14" i="3"/>
  <c r="B14" i="3"/>
  <c r="H14" i="3" s="1"/>
  <c r="D14" i="3"/>
  <c r="E14" i="3"/>
  <c r="A15" i="3"/>
  <c r="B15" i="3"/>
  <c r="F15" i="3" s="1"/>
  <c r="A16" i="3"/>
  <c r="B16" i="3"/>
  <c r="H16" i="3" s="1"/>
  <c r="A17" i="3"/>
  <c r="B17" i="3"/>
  <c r="D17" i="3" s="1"/>
  <c r="A18" i="3"/>
  <c r="B18" i="3"/>
  <c r="G18" i="3" s="1"/>
  <c r="A19" i="3"/>
  <c r="B19" i="3"/>
  <c r="E19" i="3" s="1"/>
  <c r="A20" i="3"/>
  <c r="B20" i="3"/>
  <c r="H20" i="3" s="1"/>
  <c r="A21" i="3"/>
  <c r="B21" i="3"/>
  <c r="E21" i="3" s="1"/>
  <c r="A22" i="3"/>
  <c r="B22" i="3"/>
  <c r="D22" i="3" s="1"/>
  <c r="A23" i="3"/>
  <c r="B23" i="3"/>
  <c r="D23" i="3" s="1"/>
  <c r="A24" i="3"/>
  <c r="B24" i="3"/>
  <c r="H24" i="3" s="1"/>
  <c r="G24" i="3"/>
  <c r="A25" i="3"/>
  <c r="B25" i="3"/>
  <c r="A26" i="3"/>
  <c r="B26" i="3"/>
  <c r="F26" i="3" s="1"/>
  <c r="A27" i="3"/>
  <c r="B27" i="3"/>
  <c r="F27" i="3" s="1"/>
  <c r="A28" i="3"/>
  <c r="B28" i="3"/>
  <c r="H28" i="3" s="1"/>
  <c r="A29" i="3"/>
  <c r="B29" i="3"/>
  <c r="E29" i="3" s="1"/>
  <c r="A30" i="3"/>
  <c r="B30" i="3"/>
  <c r="D30" i="3" s="1"/>
  <c r="A31" i="3"/>
  <c r="B31" i="3"/>
  <c r="D31" i="3" s="1"/>
  <c r="H31" i="3"/>
  <c r="A32" i="3"/>
  <c r="B32" i="3"/>
  <c r="G32" i="3" s="1"/>
  <c r="A33" i="3"/>
  <c r="B33" i="3"/>
  <c r="D33" i="3" s="1"/>
  <c r="A34" i="3"/>
  <c r="B34" i="3"/>
  <c r="H34" i="3" s="1"/>
  <c r="A35" i="3"/>
  <c r="B35" i="3"/>
  <c r="E35" i="3" s="1"/>
  <c r="A36" i="3"/>
  <c r="B36" i="3"/>
  <c r="H36" i="3" s="1"/>
  <c r="A37" i="3"/>
  <c r="B37" i="3"/>
  <c r="E37" i="3" s="1"/>
  <c r="A38" i="3"/>
  <c r="B38" i="3"/>
  <c r="F38" i="3" s="1"/>
  <c r="A39" i="3"/>
  <c r="B39" i="3"/>
  <c r="F39" i="3" s="1"/>
  <c r="A40" i="3"/>
  <c r="B40" i="3"/>
  <c r="H40" i="3" s="1"/>
  <c r="A41" i="3"/>
  <c r="B41" i="3"/>
  <c r="F41" i="3" s="1"/>
  <c r="A42" i="3"/>
  <c r="B42" i="3"/>
  <c r="G42" i="3" s="1"/>
  <c r="A43" i="3"/>
  <c r="B43" i="3"/>
  <c r="E43" i="3" s="1"/>
  <c r="A44" i="3"/>
  <c r="B44" i="3"/>
  <c r="G44" i="3" s="1"/>
  <c r="A45" i="3"/>
  <c r="B45" i="3"/>
  <c r="F45" i="3" s="1"/>
  <c r="A46" i="3"/>
  <c r="B46" i="3"/>
  <c r="H46" i="3" s="1"/>
  <c r="A47" i="3"/>
  <c r="B47" i="3"/>
  <c r="G47" i="3" s="1"/>
  <c r="A48" i="3"/>
  <c r="B48" i="3"/>
  <c r="A49" i="3"/>
  <c r="B49" i="3"/>
  <c r="D49" i="3" s="1"/>
  <c r="A50" i="3"/>
  <c r="B50" i="3"/>
  <c r="A51" i="3"/>
  <c r="B51" i="3"/>
  <c r="D51" i="3" s="1"/>
  <c r="A52" i="3"/>
  <c r="B52" i="3"/>
  <c r="G52" i="3" s="1"/>
  <c r="A53" i="3"/>
  <c r="B53" i="3"/>
  <c r="A54" i="3"/>
  <c r="B54" i="3"/>
  <c r="D54" i="3" s="1"/>
  <c r="A55" i="3"/>
  <c r="B55" i="3"/>
  <c r="E55" i="3" s="1"/>
  <c r="A56" i="3"/>
  <c r="B56" i="3"/>
  <c r="G56" i="3" s="1"/>
  <c r="A57" i="3"/>
  <c r="B57" i="3"/>
  <c r="F57" i="3" s="1"/>
  <c r="A58" i="3"/>
  <c r="B58" i="3"/>
  <c r="E58" i="3" s="1"/>
  <c r="A59" i="3"/>
  <c r="B59" i="3"/>
  <c r="G59" i="3" s="1"/>
  <c r="A60" i="3"/>
  <c r="B60" i="3"/>
  <c r="G60" i="3" s="1"/>
  <c r="A61" i="3"/>
  <c r="B61" i="3"/>
  <c r="D61" i="3" s="1"/>
  <c r="A62" i="3"/>
  <c r="B62" i="3"/>
  <c r="G62" i="3" s="1"/>
  <c r="A63" i="3"/>
  <c r="B63" i="3"/>
  <c r="H63" i="3" s="1"/>
  <c r="A64" i="3"/>
  <c r="B64" i="3"/>
  <c r="H64" i="3" s="1"/>
  <c r="A65" i="3"/>
  <c r="B65" i="3"/>
  <c r="D65" i="3" s="1"/>
  <c r="A66" i="3"/>
  <c r="B66" i="3"/>
  <c r="G66" i="3" s="1"/>
  <c r="A67" i="3"/>
  <c r="B67" i="3"/>
  <c r="D67" i="3" s="1"/>
  <c r="A68" i="3"/>
  <c r="B68" i="3"/>
  <c r="H68" i="3" s="1"/>
  <c r="A69" i="3"/>
  <c r="B69" i="3"/>
  <c r="F69" i="3" s="1"/>
  <c r="A70" i="3"/>
  <c r="B70" i="3"/>
  <c r="H70" i="3" s="1"/>
  <c r="A71" i="3"/>
  <c r="B71" i="3"/>
  <c r="D71" i="3" s="1"/>
  <c r="A72" i="3"/>
  <c r="B72" i="3"/>
  <c r="H72" i="3" s="1"/>
  <c r="A73" i="3"/>
  <c r="B73" i="3"/>
  <c r="A74" i="3"/>
  <c r="B74" i="3"/>
  <c r="D74" i="3" s="1"/>
  <c r="A75" i="3"/>
  <c r="B75" i="3"/>
  <c r="D75" i="3" s="1"/>
  <c r="A76" i="3"/>
  <c r="B76" i="3"/>
  <c r="A77" i="3"/>
  <c r="B77" i="3"/>
  <c r="F77" i="3" s="1"/>
  <c r="A78" i="3"/>
  <c r="B78" i="3"/>
  <c r="A79" i="3"/>
  <c r="B79" i="3"/>
  <c r="E79" i="3" s="1"/>
  <c r="A80" i="3"/>
  <c r="B80" i="3"/>
  <c r="F80" i="3" s="1"/>
  <c r="A81" i="3"/>
  <c r="B81" i="3"/>
  <c r="A82" i="3"/>
  <c r="B82" i="3"/>
  <c r="D82" i="3" s="1"/>
  <c r="A83" i="3"/>
  <c r="B83" i="3"/>
  <c r="E83" i="3" s="1"/>
  <c r="A84" i="3"/>
  <c r="B84" i="3"/>
  <c r="A85" i="3"/>
  <c r="B85" i="3"/>
  <c r="D85" i="3" s="1"/>
  <c r="A86" i="3"/>
  <c r="B86" i="3"/>
  <c r="E86" i="3" s="1"/>
  <c r="A87" i="3"/>
  <c r="B87" i="3"/>
  <c r="G87" i="3" s="1"/>
  <c r="F87" i="3"/>
  <c r="A88" i="3"/>
  <c r="B88" i="3"/>
  <c r="H88" i="3" s="1"/>
  <c r="A89" i="3"/>
  <c r="B89" i="3"/>
  <c r="F89" i="3" s="1"/>
  <c r="A90" i="3"/>
  <c r="B90" i="3"/>
  <c r="E90" i="3" s="1"/>
  <c r="A91" i="3"/>
  <c r="B91" i="3"/>
  <c r="E91" i="3" s="1"/>
  <c r="A92" i="3"/>
  <c r="B92" i="3"/>
  <c r="G92" i="3" s="1"/>
  <c r="A93" i="3"/>
  <c r="B93" i="3"/>
  <c r="A94" i="3"/>
  <c r="B94" i="3"/>
  <c r="F94" i="3" s="1"/>
  <c r="A95" i="3"/>
  <c r="B95" i="3"/>
  <c r="H95" i="3" s="1"/>
  <c r="A96" i="3"/>
  <c r="B96" i="3"/>
  <c r="A97" i="3"/>
  <c r="B97" i="3"/>
  <c r="E97" i="3" s="1"/>
  <c r="A98" i="3"/>
  <c r="B98" i="3"/>
  <c r="E98" i="3" s="1"/>
  <c r="A99" i="3"/>
  <c r="B99" i="3"/>
  <c r="H99" i="3" s="1"/>
  <c r="A100" i="3"/>
  <c r="B100" i="3"/>
  <c r="G100" i="3" s="1"/>
  <c r="A101" i="3"/>
  <c r="B101" i="3"/>
  <c r="E101" i="3" s="1"/>
  <c r="A102" i="3"/>
  <c r="B102" i="3"/>
  <c r="E102" i="3" s="1"/>
  <c r="A103" i="3"/>
  <c r="B103" i="3"/>
  <c r="F103" i="3" s="1"/>
  <c r="D103" i="3"/>
  <c r="E103" i="3"/>
  <c r="A104" i="3"/>
  <c r="B104" i="3"/>
  <c r="F104" i="3" s="1"/>
  <c r="A105" i="3"/>
  <c r="B105" i="3"/>
  <c r="A106" i="3"/>
  <c r="B106" i="3"/>
  <c r="G106" i="3" s="1"/>
  <c r="A107" i="3"/>
  <c r="B107" i="3"/>
  <c r="G107" i="3" s="1"/>
  <c r="A108" i="3"/>
  <c r="B108" i="3"/>
  <c r="A109" i="3"/>
  <c r="B109" i="3"/>
  <c r="D109" i="3" s="1"/>
  <c r="A110" i="3"/>
  <c r="B110" i="3"/>
  <c r="G110" i="3" s="1"/>
  <c r="A111" i="3"/>
  <c r="B111" i="3"/>
  <c r="G111" i="3" s="1"/>
  <c r="A112" i="3"/>
  <c r="B112" i="3"/>
  <c r="H112" i="3" s="1"/>
  <c r="A113" i="3"/>
  <c r="B113" i="3"/>
  <c r="E113" i="3" s="1"/>
  <c r="A114" i="3"/>
  <c r="B114" i="3"/>
  <c r="E114" i="3" s="1"/>
  <c r="A115" i="3"/>
  <c r="B115" i="3"/>
  <c r="E115" i="3" s="1"/>
  <c r="A116" i="3"/>
  <c r="B116" i="3"/>
  <c r="G116" i="3" s="1"/>
  <c r="A117" i="3"/>
  <c r="B117" i="3"/>
  <c r="D74" i="2"/>
  <c r="C74" i="2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119" i="1"/>
  <c r="D111" i="1"/>
  <c r="D117" i="1"/>
  <c r="D120" i="1"/>
  <c r="D113" i="1"/>
  <c r="D109" i="1"/>
  <c r="A5" i="3"/>
  <c r="B5" i="3"/>
  <c r="H5" i="3" s="1"/>
  <c r="A6" i="3"/>
  <c r="B6" i="3"/>
  <c r="G6" i="3" s="1"/>
  <c r="D122" i="1"/>
  <c r="D118" i="1"/>
  <c r="D116" i="1"/>
  <c r="D115" i="1"/>
  <c r="D114" i="1"/>
  <c r="D112" i="1"/>
  <c r="D110" i="1"/>
  <c r="D108" i="1"/>
  <c r="D99" i="1"/>
  <c r="D91" i="1"/>
  <c r="D89" i="1"/>
  <c r="D74" i="1"/>
  <c r="D73" i="1"/>
  <c r="D72" i="1"/>
  <c r="D71" i="1"/>
  <c r="D68" i="1"/>
  <c r="D64" i="1"/>
  <c r="D63" i="1"/>
  <c r="D62" i="1"/>
  <c r="D58" i="1"/>
  <c r="D57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7" i="1"/>
  <c r="I5" i="1"/>
  <c r="I6" i="1"/>
  <c r="I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D98" i="3" l="1"/>
  <c r="D69" i="3"/>
  <c r="D27" i="3"/>
  <c r="F113" i="3"/>
  <c r="D113" i="3"/>
  <c r="D7" i="3"/>
  <c r="D37" i="3"/>
  <c r="E27" i="3"/>
  <c r="D115" i="3"/>
  <c r="G36" i="3"/>
  <c r="G31" i="3"/>
  <c r="E63" i="3"/>
  <c r="H52" i="3"/>
  <c r="F31" i="3"/>
  <c r="D107" i="3"/>
  <c r="D97" i="3"/>
  <c r="D63" i="3"/>
  <c r="E39" i="3"/>
  <c r="F35" i="3"/>
  <c r="E94" i="3"/>
  <c r="D89" i="3"/>
  <c r="D39" i="3"/>
  <c r="D35" i="3"/>
  <c r="E31" i="3"/>
  <c r="D94" i="3"/>
  <c r="E87" i="3"/>
  <c r="G70" i="3"/>
  <c r="H121" i="3"/>
  <c r="D101" i="3"/>
  <c r="D87" i="3"/>
  <c r="F70" i="3"/>
  <c r="D43" i="3"/>
  <c r="G20" i="3"/>
  <c r="G121" i="3"/>
  <c r="G14" i="3"/>
  <c r="F14" i="3"/>
  <c r="D21" i="3"/>
  <c r="E89" i="3"/>
  <c r="F63" i="3"/>
  <c r="E15" i="3"/>
  <c r="D15" i="3"/>
  <c r="F11" i="3"/>
  <c r="F23" i="3"/>
  <c r="D66" i="3"/>
  <c r="E23" i="3"/>
  <c r="D11" i="3"/>
  <c r="D18" i="3"/>
  <c r="F121" i="3"/>
  <c r="E69" i="3"/>
  <c r="G64" i="3"/>
  <c r="E22" i="3"/>
  <c r="F107" i="3"/>
  <c r="F116" i="3"/>
  <c r="E107" i="3"/>
  <c r="G68" i="3"/>
  <c r="E110" i="3"/>
  <c r="F97" i="3"/>
  <c r="F110" i="3"/>
  <c r="D110" i="3"/>
  <c r="D106" i="3"/>
  <c r="G63" i="3"/>
  <c r="G46" i="3"/>
  <c r="F46" i="3"/>
  <c r="H60" i="3"/>
  <c r="E46" i="3"/>
  <c r="E42" i="3"/>
  <c r="F42" i="3"/>
  <c r="H116" i="3"/>
  <c r="H92" i="3"/>
  <c r="F100" i="3"/>
  <c r="F92" i="3"/>
  <c r="D77" i="3"/>
  <c r="D55" i="3"/>
  <c r="D46" i="3"/>
  <c r="D42" i="3"/>
  <c r="F21" i="3"/>
  <c r="H79" i="3"/>
  <c r="G79" i="3"/>
  <c r="H87" i="3"/>
  <c r="F79" i="3"/>
  <c r="D58" i="3"/>
  <c r="G16" i="3"/>
  <c r="E9" i="3"/>
  <c r="H110" i="3"/>
  <c r="H107" i="3"/>
  <c r="D83" i="3"/>
  <c r="D79" i="3"/>
  <c r="G40" i="3"/>
  <c r="D9" i="3"/>
  <c r="G34" i="3"/>
  <c r="F34" i="3"/>
  <c r="H122" i="3"/>
  <c r="E65" i="3"/>
  <c r="E34" i="3"/>
  <c r="H11" i="3"/>
  <c r="C11" i="3" s="1"/>
  <c r="F65" i="3"/>
  <c r="G112" i="3"/>
  <c r="G72" i="3"/>
  <c r="D34" i="3"/>
  <c r="D26" i="3"/>
  <c r="H22" i="3"/>
  <c r="F120" i="3"/>
  <c r="G82" i="3"/>
  <c r="F49" i="3"/>
  <c r="H32" i="3"/>
  <c r="G22" i="3"/>
  <c r="F7" i="3"/>
  <c r="E120" i="3"/>
  <c r="G122" i="3"/>
  <c r="G95" i="3"/>
  <c r="F112" i="3"/>
  <c r="F95" i="3"/>
  <c r="D86" i="3"/>
  <c r="F82" i="3"/>
  <c r="E70" i="3"/>
  <c r="E61" i="3"/>
  <c r="E49" i="3"/>
  <c r="D29" i="3"/>
  <c r="F22" i="3"/>
  <c r="H15" i="3"/>
  <c r="E7" i="3"/>
  <c r="D120" i="3"/>
  <c r="F122" i="3"/>
  <c r="H82" i="3"/>
  <c r="F106" i="3"/>
  <c r="G88" i="3"/>
  <c r="E82" i="3"/>
  <c r="D70" i="3"/>
  <c r="E57" i="3"/>
  <c r="F18" i="3"/>
  <c r="G15" i="3"/>
  <c r="E13" i="3"/>
  <c r="E95" i="3"/>
  <c r="E106" i="3"/>
  <c r="D102" i="3"/>
  <c r="D95" i="3"/>
  <c r="F88" i="3"/>
  <c r="E66" i="3"/>
  <c r="D57" i="3"/>
  <c r="F37" i="3"/>
  <c r="E18" i="3"/>
  <c r="H67" i="3"/>
  <c r="F111" i="3"/>
  <c r="H103" i="3"/>
  <c r="H94" i="3"/>
  <c r="G67" i="3"/>
  <c r="F59" i="3"/>
  <c r="D10" i="3"/>
  <c r="E122" i="3"/>
  <c r="H106" i="3"/>
  <c r="G103" i="3"/>
  <c r="H100" i="3"/>
  <c r="G94" i="3"/>
  <c r="F67" i="3"/>
  <c r="E59" i="3"/>
  <c r="E47" i="3"/>
  <c r="H44" i="3"/>
  <c r="E41" i="3"/>
  <c r="E38" i="3"/>
  <c r="H35" i="3"/>
  <c r="F17" i="3"/>
  <c r="E111" i="3"/>
  <c r="D111" i="3"/>
  <c r="D91" i="3"/>
  <c r="E67" i="3"/>
  <c r="D59" i="3"/>
  <c r="D47" i="3"/>
  <c r="D41" i="3"/>
  <c r="D38" i="3"/>
  <c r="G35" i="3"/>
  <c r="E26" i="3"/>
  <c r="E17" i="3"/>
  <c r="G12" i="3"/>
  <c r="H74" i="3"/>
  <c r="H71" i="3"/>
  <c r="G99" i="3"/>
  <c r="H86" i="3"/>
  <c r="H83" i="3"/>
  <c r="G74" i="3"/>
  <c r="G71" i="3"/>
  <c r="G54" i="3"/>
  <c r="H51" i="3"/>
  <c r="D114" i="3"/>
  <c r="F99" i="3"/>
  <c r="G86" i="3"/>
  <c r="G83" i="3"/>
  <c r="F74" i="3"/>
  <c r="F71" i="3"/>
  <c r="F62" i="3"/>
  <c r="F54" i="3"/>
  <c r="G51" i="3"/>
  <c r="H26" i="3"/>
  <c r="G19" i="3"/>
  <c r="H111" i="3"/>
  <c r="F86" i="3"/>
  <c r="F83" i="3"/>
  <c r="E74" i="3"/>
  <c r="E71" i="3"/>
  <c r="F29" i="3"/>
  <c r="G26" i="3"/>
  <c r="H23" i="3"/>
  <c r="F19" i="3"/>
  <c r="H54" i="3"/>
  <c r="H19" i="3"/>
  <c r="F101" i="3"/>
  <c r="E99" i="3"/>
  <c r="E62" i="3"/>
  <c r="H59" i="3"/>
  <c r="E54" i="3"/>
  <c r="F51" i="3"/>
  <c r="E45" i="3"/>
  <c r="H42" i="3"/>
  <c r="D99" i="3"/>
  <c r="D90" i="3"/>
  <c r="E77" i="3"/>
  <c r="D62" i="3"/>
  <c r="E51" i="3"/>
  <c r="F47" i="3"/>
  <c r="D45" i="3"/>
  <c r="G23" i="3"/>
  <c r="D19" i="3"/>
  <c r="G55" i="3"/>
  <c r="G43" i="3"/>
  <c r="H39" i="3"/>
  <c r="H27" i="3"/>
  <c r="G118" i="3"/>
  <c r="H75" i="3"/>
  <c r="H98" i="3"/>
  <c r="G115" i="3"/>
  <c r="G98" i="3"/>
  <c r="F85" i="3"/>
  <c r="F98" i="3"/>
  <c r="H62" i="3"/>
  <c r="G27" i="3"/>
  <c r="F118" i="3"/>
  <c r="H115" i="3"/>
  <c r="H91" i="3"/>
  <c r="G75" i="3"/>
  <c r="H55" i="3"/>
  <c r="H43" i="3"/>
  <c r="H118" i="3"/>
  <c r="F109" i="3"/>
  <c r="H104" i="3"/>
  <c r="G91" i="3"/>
  <c r="H80" i="3"/>
  <c r="F75" i="3"/>
  <c r="F115" i="3"/>
  <c r="E109" i="3"/>
  <c r="G104" i="3"/>
  <c r="F91" i="3"/>
  <c r="E85" i="3"/>
  <c r="G80" i="3"/>
  <c r="E75" i="3"/>
  <c r="F55" i="3"/>
  <c r="H47" i="3"/>
  <c r="F43" i="3"/>
  <c r="G39" i="3"/>
  <c r="H7" i="3"/>
  <c r="F66" i="3"/>
  <c r="F123" i="3"/>
  <c r="G123" i="3"/>
  <c r="E123" i="3"/>
  <c r="H123" i="3"/>
  <c r="G119" i="3"/>
  <c r="F119" i="3"/>
  <c r="H119" i="3"/>
  <c r="H120" i="3"/>
  <c r="E119" i="3"/>
  <c r="G117" i="3"/>
  <c r="H117" i="3"/>
  <c r="D117" i="3"/>
  <c r="E117" i="3"/>
  <c r="F117" i="3"/>
  <c r="G93" i="3"/>
  <c r="H93" i="3"/>
  <c r="D93" i="3"/>
  <c r="E93" i="3"/>
  <c r="F93" i="3"/>
  <c r="D96" i="3"/>
  <c r="E96" i="3"/>
  <c r="H96" i="3"/>
  <c r="F96" i="3"/>
  <c r="G96" i="3"/>
  <c r="G81" i="3"/>
  <c r="H81" i="3"/>
  <c r="D81" i="3"/>
  <c r="E81" i="3"/>
  <c r="F81" i="3"/>
  <c r="D78" i="3"/>
  <c r="E78" i="3"/>
  <c r="F78" i="3"/>
  <c r="H78" i="3"/>
  <c r="G78" i="3"/>
  <c r="G53" i="3"/>
  <c r="H53" i="3"/>
  <c r="D53" i="3"/>
  <c r="E53" i="3"/>
  <c r="F53" i="3"/>
  <c r="D76" i="3"/>
  <c r="E76" i="3"/>
  <c r="F76" i="3"/>
  <c r="G76" i="3"/>
  <c r="H76" i="3"/>
  <c r="D50" i="3"/>
  <c r="H50" i="3"/>
  <c r="E50" i="3"/>
  <c r="F50" i="3"/>
  <c r="G50" i="3"/>
  <c r="D108" i="3"/>
  <c r="E108" i="3"/>
  <c r="F108" i="3"/>
  <c r="G108" i="3"/>
  <c r="H108" i="3"/>
  <c r="G25" i="3"/>
  <c r="H25" i="3"/>
  <c r="D25" i="3"/>
  <c r="E25" i="3"/>
  <c r="F25" i="3"/>
  <c r="G73" i="3"/>
  <c r="H73" i="3"/>
  <c r="D73" i="3"/>
  <c r="E73" i="3"/>
  <c r="F73" i="3"/>
  <c r="G105" i="3"/>
  <c r="H105" i="3"/>
  <c r="D105" i="3"/>
  <c r="E105" i="3"/>
  <c r="F105" i="3"/>
  <c r="D84" i="3"/>
  <c r="E84" i="3"/>
  <c r="F84" i="3"/>
  <c r="G84" i="3"/>
  <c r="H84" i="3"/>
  <c r="D48" i="3"/>
  <c r="F48" i="3"/>
  <c r="E48" i="3"/>
  <c r="G48" i="3"/>
  <c r="H48" i="3"/>
  <c r="D56" i="3"/>
  <c r="E56" i="3"/>
  <c r="F56" i="3"/>
  <c r="G33" i="3"/>
  <c r="H33" i="3"/>
  <c r="D16" i="3"/>
  <c r="F16" i="3"/>
  <c r="E16" i="3"/>
  <c r="G109" i="3"/>
  <c r="H109" i="3"/>
  <c r="G21" i="3"/>
  <c r="H21" i="3"/>
  <c r="D52" i="3"/>
  <c r="E52" i="3"/>
  <c r="F52" i="3"/>
  <c r="D80" i="3"/>
  <c r="E80" i="3"/>
  <c r="D32" i="3"/>
  <c r="E32" i="3"/>
  <c r="F32" i="3"/>
  <c r="G30" i="3"/>
  <c r="G114" i="3"/>
  <c r="G113" i="3"/>
  <c r="H113" i="3"/>
  <c r="G90" i="3"/>
  <c r="G89" i="3"/>
  <c r="H89" i="3"/>
  <c r="H38" i="3"/>
  <c r="G37" i="3"/>
  <c r="H37" i="3"/>
  <c r="F30" i="3"/>
  <c r="D12" i="3"/>
  <c r="E12" i="3"/>
  <c r="F12" i="3"/>
  <c r="G10" i="3"/>
  <c r="D8" i="3"/>
  <c r="E8" i="3"/>
  <c r="F8" i="3"/>
  <c r="G61" i="3"/>
  <c r="H61" i="3"/>
  <c r="D36" i="3"/>
  <c r="E36" i="3"/>
  <c r="F36" i="3"/>
  <c r="G13" i="3"/>
  <c r="H13" i="3"/>
  <c r="D88" i="3"/>
  <c r="E88" i="3"/>
  <c r="D64" i="3"/>
  <c r="E64" i="3"/>
  <c r="F64" i="3"/>
  <c r="G41" i="3"/>
  <c r="H41" i="3"/>
  <c r="G49" i="3"/>
  <c r="H49" i="3"/>
  <c r="G77" i="3"/>
  <c r="H77" i="3"/>
  <c r="H30" i="3"/>
  <c r="G29" i="3"/>
  <c r="H29" i="3"/>
  <c r="D116" i="3"/>
  <c r="E116" i="3"/>
  <c r="H114" i="3"/>
  <c r="D104" i="3"/>
  <c r="E104" i="3"/>
  <c r="H102" i="3"/>
  <c r="H58" i="3"/>
  <c r="G57" i="3"/>
  <c r="H57" i="3"/>
  <c r="H10" i="3"/>
  <c r="G102" i="3"/>
  <c r="G101" i="3"/>
  <c r="H101" i="3"/>
  <c r="D60" i="3"/>
  <c r="E60" i="3"/>
  <c r="F60" i="3"/>
  <c r="G58" i="3"/>
  <c r="F114" i="3"/>
  <c r="F102" i="3"/>
  <c r="F90" i="3"/>
  <c r="H66" i="3"/>
  <c r="G65" i="3"/>
  <c r="H65" i="3"/>
  <c r="F58" i="3"/>
  <c r="D40" i="3"/>
  <c r="E40" i="3"/>
  <c r="F40" i="3"/>
  <c r="G38" i="3"/>
  <c r="F33" i="3"/>
  <c r="E30" i="3"/>
  <c r="H18" i="3"/>
  <c r="G17" i="3"/>
  <c r="H17" i="3"/>
  <c r="F10" i="3"/>
  <c r="D28" i="3"/>
  <c r="E28" i="3"/>
  <c r="F28" i="3"/>
  <c r="D112" i="3"/>
  <c r="E112" i="3"/>
  <c r="D100" i="3"/>
  <c r="E100" i="3"/>
  <c r="G97" i="3"/>
  <c r="H97" i="3"/>
  <c r="G85" i="3"/>
  <c r="H85" i="3"/>
  <c r="G69" i="3"/>
  <c r="H69" i="3"/>
  <c r="D44" i="3"/>
  <c r="E44" i="3"/>
  <c r="F44" i="3"/>
  <c r="D72" i="3"/>
  <c r="F72" i="3"/>
  <c r="E72" i="3"/>
  <c r="D24" i="3"/>
  <c r="E24" i="3"/>
  <c r="F24" i="3"/>
  <c r="D92" i="3"/>
  <c r="E92" i="3"/>
  <c r="H90" i="3"/>
  <c r="G9" i="3"/>
  <c r="H9" i="3"/>
  <c r="D68" i="3"/>
  <c r="E68" i="3"/>
  <c r="F68" i="3"/>
  <c r="F61" i="3"/>
  <c r="H56" i="3"/>
  <c r="G45" i="3"/>
  <c r="H45" i="3"/>
  <c r="E33" i="3"/>
  <c r="G28" i="3"/>
  <c r="D20" i="3"/>
  <c r="F20" i="3"/>
  <c r="E20" i="3"/>
  <c r="F13" i="3"/>
  <c r="H8" i="3"/>
  <c r="E5" i="3"/>
  <c r="D5" i="3"/>
  <c r="G5" i="3"/>
  <c r="F5" i="3"/>
  <c r="D6" i="3"/>
  <c r="E6" i="3"/>
  <c r="F6" i="3"/>
  <c r="H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31" i="3" l="1"/>
  <c r="C70" i="3"/>
  <c r="C103" i="3"/>
  <c r="I110" i="3"/>
  <c r="I14" i="3"/>
  <c r="I31" i="3"/>
  <c r="I121" i="3"/>
  <c r="I70" i="3"/>
  <c r="I63" i="3"/>
  <c r="C46" i="3"/>
  <c r="C14" i="3"/>
  <c r="I87" i="3"/>
  <c r="C121" i="3"/>
  <c r="I46" i="3"/>
  <c r="I107" i="3"/>
  <c r="C63" i="3"/>
  <c r="I79" i="3"/>
  <c r="C87" i="3"/>
  <c r="I22" i="3"/>
  <c r="C42" i="3"/>
  <c r="C34" i="3"/>
  <c r="C18" i="3"/>
  <c r="C79" i="3"/>
  <c r="C107" i="3"/>
  <c r="I11" i="3"/>
  <c r="I115" i="3"/>
  <c r="C35" i="3"/>
  <c r="I21" i="3"/>
  <c r="C71" i="3"/>
  <c r="C95" i="3"/>
  <c r="I82" i="3"/>
  <c r="I34" i="3"/>
  <c r="C9" i="3"/>
  <c r="C110" i="3"/>
  <c r="C67" i="3"/>
  <c r="I51" i="3"/>
  <c r="C75" i="3"/>
  <c r="I26" i="3"/>
  <c r="I15" i="3"/>
  <c r="I94" i="3"/>
  <c r="C37" i="3"/>
  <c r="C22" i="3"/>
  <c r="C21" i="3"/>
  <c r="I61" i="3"/>
  <c r="I95" i="3"/>
  <c r="C26" i="3"/>
  <c r="C102" i="3"/>
  <c r="C82" i="3"/>
  <c r="I42" i="3"/>
  <c r="C106" i="3"/>
  <c r="C86" i="3"/>
  <c r="C94" i="3"/>
  <c r="I122" i="3"/>
  <c r="C27" i="3"/>
  <c r="I7" i="3"/>
  <c r="I57" i="3"/>
  <c r="I67" i="3"/>
  <c r="C15" i="3"/>
  <c r="C120" i="3"/>
  <c r="I77" i="3"/>
  <c r="I19" i="3"/>
  <c r="I35" i="3"/>
  <c r="I43" i="3"/>
  <c r="C115" i="3"/>
  <c r="I62" i="3"/>
  <c r="I54" i="3"/>
  <c r="I9" i="3"/>
  <c r="C77" i="3"/>
  <c r="C59" i="3"/>
  <c r="C122" i="3"/>
  <c r="C17" i="3"/>
  <c r="I29" i="3"/>
  <c r="I103" i="3"/>
  <c r="C74" i="3"/>
  <c r="C83" i="3"/>
  <c r="I71" i="3"/>
  <c r="I75" i="3"/>
  <c r="C91" i="3"/>
  <c r="I23" i="3"/>
  <c r="C51" i="3"/>
  <c r="I99" i="3"/>
  <c r="I83" i="3"/>
  <c r="I111" i="3"/>
  <c r="I39" i="3"/>
  <c r="C66" i="3"/>
  <c r="I106" i="3"/>
  <c r="C62" i="3"/>
  <c r="I86" i="3"/>
  <c r="I59" i="3"/>
  <c r="C41" i="3"/>
  <c r="I74" i="3"/>
  <c r="I47" i="3"/>
  <c r="I55" i="3"/>
  <c r="C23" i="3"/>
  <c r="C39" i="3"/>
  <c r="C43" i="3"/>
  <c r="C19" i="3"/>
  <c r="I98" i="3"/>
  <c r="C55" i="3"/>
  <c r="C85" i="3"/>
  <c r="C99" i="3"/>
  <c r="C49" i="3"/>
  <c r="C7" i="3"/>
  <c r="I91" i="3"/>
  <c r="I27" i="3"/>
  <c r="C29" i="3"/>
  <c r="C47" i="3"/>
  <c r="C57" i="3"/>
  <c r="C90" i="3"/>
  <c r="I33" i="3"/>
  <c r="I10" i="3"/>
  <c r="C58" i="3"/>
  <c r="I114" i="3"/>
  <c r="C13" i="3"/>
  <c r="C118" i="3"/>
  <c r="C38" i="3"/>
  <c r="C111" i="3"/>
  <c r="I123" i="3"/>
  <c r="C54" i="3"/>
  <c r="I49" i="3"/>
  <c r="I101" i="3"/>
  <c r="C30" i="3"/>
  <c r="I41" i="3"/>
  <c r="I58" i="3"/>
  <c r="C119" i="3"/>
  <c r="I97" i="3"/>
  <c r="I45" i="3"/>
  <c r="I65" i="3"/>
  <c r="C113" i="3"/>
  <c r="I118" i="3"/>
  <c r="C114" i="3"/>
  <c r="I90" i="3"/>
  <c r="I17" i="3"/>
  <c r="I102" i="3"/>
  <c r="I109" i="3"/>
  <c r="C10" i="3"/>
  <c r="I13" i="3"/>
  <c r="I37" i="3"/>
  <c r="I69" i="3"/>
  <c r="C98" i="3"/>
  <c r="I89" i="3"/>
  <c r="C123" i="3"/>
  <c r="H123" i="1" s="1"/>
  <c r="I120" i="3"/>
  <c r="I119" i="3"/>
  <c r="I25" i="3"/>
  <c r="C25" i="3"/>
  <c r="C61" i="3"/>
  <c r="C116" i="3"/>
  <c r="I116" i="3"/>
  <c r="C50" i="3"/>
  <c r="I50" i="3"/>
  <c r="I105" i="3"/>
  <c r="C105" i="3"/>
  <c r="C96" i="3"/>
  <c r="I96" i="3"/>
  <c r="I100" i="3"/>
  <c r="C100" i="3"/>
  <c r="C52" i="3"/>
  <c r="I52" i="3"/>
  <c r="I44" i="3"/>
  <c r="C44" i="3"/>
  <c r="I81" i="3"/>
  <c r="C81" i="3"/>
  <c r="I66" i="3"/>
  <c r="I36" i="3"/>
  <c r="C36" i="3"/>
  <c r="I85" i="3"/>
  <c r="I32" i="3"/>
  <c r="C32" i="3"/>
  <c r="C89" i="3"/>
  <c r="C101" i="3"/>
  <c r="C33" i="3"/>
  <c r="C45" i="3"/>
  <c r="C97" i="3"/>
  <c r="C65" i="3"/>
  <c r="I30" i="3"/>
  <c r="I93" i="3"/>
  <c r="C93" i="3"/>
  <c r="I53" i="3"/>
  <c r="C53" i="3"/>
  <c r="C48" i="3"/>
  <c r="I48" i="3"/>
  <c r="C109" i="3"/>
  <c r="C16" i="3"/>
  <c r="I16" i="3"/>
  <c r="I78" i="3"/>
  <c r="C78" i="3"/>
  <c r="I18" i="3"/>
  <c r="I117" i="3"/>
  <c r="C117" i="3"/>
  <c r="I56" i="3"/>
  <c r="C56" i="3"/>
  <c r="C84" i="3"/>
  <c r="I84" i="3"/>
  <c r="I76" i="3"/>
  <c r="C76" i="3"/>
  <c r="C40" i="3"/>
  <c r="I40" i="3"/>
  <c r="C72" i="3"/>
  <c r="I72" i="3"/>
  <c r="C60" i="3"/>
  <c r="I60" i="3"/>
  <c r="I88" i="3"/>
  <c r="C88" i="3"/>
  <c r="C80" i="3"/>
  <c r="I80" i="3"/>
  <c r="C69" i="3"/>
  <c r="C92" i="3"/>
  <c r="I92" i="3"/>
  <c r="I113" i="3"/>
  <c r="I112" i="3"/>
  <c r="C112" i="3"/>
  <c r="C12" i="3"/>
  <c r="I12" i="3"/>
  <c r="C68" i="3"/>
  <c r="I68" i="3"/>
  <c r="I38" i="3"/>
  <c r="I73" i="3"/>
  <c r="C73" i="3"/>
  <c r="C20" i="3"/>
  <c r="I20" i="3"/>
  <c r="I24" i="3"/>
  <c r="C24" i="3"/>
  <c r="C108" i="3"/>
  <c r="I108" i="3"/>
  <c r="I28" i="3"/>
  <c r="C28" i="3"/>
  <c r="C64" i="3"/>
  <c r="I64" i="3"/>
  <c r="C104" i="3"/>
  <c r="I104" i="3"/>
  <c r="I8" i="3"/>
  <c r="C8" i="3"/>
  <c r="I5" i="3"/>
  <c r="C5" i="3"/>
  <c r="I6" i="3"/>
  <c r="C6" i="3"/>
  <c r="H18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73" i="1" l="1"/>
  <c r="H35" i="1"/>
  <c r="H122" i="1"/>
  <c r="H98" i="1"/>
  <c r="H96" i="1"/>
  <c r="H51" i="1"/>
  <c r="H111" i="1"/>
  <c r="H93" i="1"/>
  <c r="H112" i="1"/>
  <c r="H70" i="1"/>
  <c r="H65" i="1"/>
  <c r="H24" i="1"/>
  <c r="H78" i="1"/>
  <c r="H13" i="1"/>
  <c r="H29" i="1"/>
  <c r="H20" i="1"/>
  <c r="H34" i="1"/>
  <c r="H90" i="1"/>
  <c r="H86" i="1"/>
  <c r="H46" i="1"/>
  <c r="H75" i="1"/>
  <c r="H37" i="1"/>
  <c r="H120" i="1"/>
  <c r="H103" i="1"/>
  <c r="H33" i="1"/>
  <c r="H101" i="1"/>
  <c r="G17" i="12" s="1"/>
  <c r="H48" i="1"/>
  <c r="H56" i="1"/>
  <c r="H118" i="1"/>
  <c r="H62" i="1"/>
  <c r="H84" i="1"/>
  <c r="H88" i="1"/>
  <c r="H28" i="1"/>
  <c r="H115" i="1"/>
  <c r="H66" i="1"/>
  <c r="H45" i="1"/>
  <c r="H44" i="1"/>
  <c r="H10" i="1"/>
  <c r="H99" i="1"/>
  <c r="H31" i="1"/>
  <c r="H67" i="1"/>
  <c r="H40" i="1"/>
  <c r="H91" i="1"/>
  <c r="H80" i="1"/>
  <c r="H61" i="1"/>
  <c r="H85" i="1"/>
  <c r="H94" i="1"/>
  <c r="H55" i="1"/>
  <c r="H32" i="1"/>
  <c r="G14" i="12" s="1"/>
  <c r="H49" i="1"/>
  <c r="H119" i="1"/>
  <c r="H121" i="1"/>
  <c r="H58" i="1"/>
  <c r="H53" i="1"/>
  <c r="H76" i="1"/>
  <c r="H109" i="1"/>
  <c r="H27" i="1"/>
  <c r="H105" i="1"/>
  <c r="H114" i="1"/>
  <c r="H19" i="1"/>
  <c r="H47" i="1"/>
  <c r="H106" i="1"/>
  <c r="H64" i="1"/>
  <c r="H7" i="1"/>
  <c r="H57" i="1"/>
  <c r="H63" i="1"/>
  <c r="H104" i="1"/>
  <c r="H38" i="1"/>
  <c r="H50" i="1"/>
  <c r="H23" i="1"/>
  <c r="H83" i="1"/>
  <c r="H39" i="1"/>
  <c r="H81" i="1"/>
  <c r="H42" i="1"/>
  <c r="H74" i="1"/>
  <c r="H110" i="1"/>
  <c r="H77" i="1"/>
  <c r="H82" i="1"/>
  <c r="H72" i="1"/>
  <c r="H97" i="1"/>
  <c r="H71" i="1"/>
  <c r="H54" i="1"/>
  <c r="H87" i="1"/>
  <c r="H116" i="1"/>
  <c r="H15" i="1"/>
  <c r="H100" i="1"/>
  <c r="H17" i="1"/>
  <c r="H21" i="1"/>
  <c r="H68" i="1"/>
  <c r="H117" i="1"/>
  <c r="H113" i="1"/>
  <c r="H95" i="1"/>
  <c r="H26" i="1"/>
  <c r="H14" i="1"/>
  <c r="H60" i="1"/>
  <c r="H69" i="1"/>
  <c r="H79" i="1"/>
  <c r="H102" i="1"/>
  <c r="H52" i="1"/>
  <c r="H107" i="1"/>
  <c r="H89" i="1"/>
  <c r="H6" i="1"/>
  <c r="H108" i="1"/>
  <c r="H8" i="1"/>
  <c r="H59" i="1"/>
  <c r="H41" i="1"/>
  <c r="H43" i="1"/>
  <c r="H92" i="1"/>
  <c r="H9" i="1"/>
  <c r="H25" i="1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U13" i="3" l="1"/>
  <c r="U10" i="3"/>
  <c r="U11" i="3"/>
  <c r="U12" i="3"/>
  <c r="Q13" i="3"/>
  <c r="U9" i="3"/>
  <c r="Q12" i="3"/>
  <c r="S13" i="3"/>
  <c r="S12" i="3"/>
  <c r="U8" i="3"/>
  <c r="H4" i="3"/>
  <c r="D4" i="3"/>
  <c r="M11" i="3" s="1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M9" i="3"/>
  <c r="S11" i="3"/>
  <c r="Q4" i="3"/>
  <c r="U6" i="3"/>
  <c r="S4" i="3"/>
  <c r="O5" i="3" l="1"/>
  <c r="O10" i="3"/>
  <c r="O9" i="3"/>
  <c r="C4" i="3"/>
  <c r="H5" i="1" s="1"/>
  <c r="M10" i="3"/>
  <c r="I4" i="3"/>
  <c r="H2" i="3"/>
  <c r="E2" i="3"/>
  <c r="G2" i="3"/>
  <c r="D2" i="3"/>
  <c r="F2" i="3"/>
  <c r="H30" i="1" l="1"/>
  <c r="H16" i="1"/>
  <c r="H11" i="1"/>
  <c r="G12" i="12" s="1"/>
  <c r="H22" i="1"/>
  <c r="H36" i="1"/>
  <c r="H12" i="1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2" i="1" l="1"/>
  <c r="G118" i="1"/>
  <c r="G123" i="1"/>
  <c r="G121" i="1"/>
  <c r="G120" i="1"/>
  <c r="G119" i="1"/>
  <c r="G113" i="1"/>
  <c r="G25" i="1"/>
  <c r="G78" i="1"/>
  <c r="G43" i="1"/>
  <c r="G13" i="1"/>
  <c r="G56" i="1"/>
  <c r="G22" i="1"/>
  <c r="G105" i="1"/>
  <c r="G82" i="1"/>
  <c r="G64" i="1"/>
  <c r="G101" i="1"/>
  <c r="G15" i="1"/>
  <c r="G9" i="1"/>
  <c r="G109" i="1"/>
  <c r="G85" i="1"/>
  <c r="G51" i="1"/>
  <c r="G20" i="1"/>
  <c r="G62" i="1"/>
  <c r="G98" i="1"/>
  <c r="G12" i="1"/>
  <c r="G100" i="1"/>
  <c r="G66" i="1"/>
  <c r="G18" i="1"/>
  <c r="G74" i="1"/>
  <c r="G84" i="1"/>
  <c r="G24" i="1"/>
  <c r="G114" i="1"/>
  <c r="G57" i="1"/>
  <c r="G116" i="1"/>
  <c r="G17" i="1"/>
  <c r="G94" i="1"/>
  <c r="G95" i="1"/>
  <c r="G73" i="1"/>
  <c r="G46" i="1"/>
  <c r="G72" i="1"/>
  <c r="G33" i="1"/>
  <c r="G21" i="1"/>
  <c r="G90" i="1"/>
  <c r="G97" i="1"/>
  <c r="G50" i="1"/>
  <c r="G31" i="1"/>
  <c r="G91" i="1"/>
  <c r="G27" i="1"/>
  <c r="G19" i="1"/>
  <c r="G23" i="1"/>
  <c r="G111" i="1"/>
  <c r="G115" i="1"/>
  <c r="G47" i="1"/>
  <c r="G108" i="1"/>
  <c r="G49" i="1"/>
  <c r="G106" i="1"/>
  <c r="G8" i="1"/>
  <c r="G32" i="1"/>
  <c r="G60" i="1"/>
  <c r="G103" i="1"/>
  <c r="G67" i="1"/>
  <c r="G58" i="1"/>
  <c r="G71" i="1"/>
  <c r="G41" i="1"/>
  <c r="G34" i="1"/>
  <c r="G104" i="1"/>
  <c r="G48" i="1"/>
  <c r="G92" i="1"/>
  <c r="G80" i="1"/>
  <c r="G55" i="1"/>
  <c r="G86" i="1"/>
  <c r="G37" i="1"/>
  <c r="G79" i="1"/>
  <c r="G36" i="1"/>
  <c r="G89" i="1"/>
  <c r="G88" i="1"/>
  <c r="G38" i="1"/>
  <c r="G10" i="1"/>
  <c r="G69" i="1"/>
  <c r="G26" i="1"/>
  <c r="G44" i="1"/>
  <c r="G117" i="1"/>
  <c r="G52" i="1"/>
  <c r="G99" i="1"/>
  <c r="G70" i="1"/>
  <c r="G76" i="1"/>
  <c r="G93" i="1"/>
  <c r="G65" i="1"/>
  <c r="G96" i="1"/>
  <c r="G30" i="1"/>
  <c r="G29" i="1"/>
  <c r="G110" i="1"/>
  <c r="G39" i="1"/>
  <c r="G35" i="1"/>
  <c r="G45" i="1"/>
  <c r="G107" i="1"/>
  <c r="G59" i="1"/>
  <c r="G11" i="1"/>
  <c r="G63" i="1"/>
  <c r="G112" i="1"/>
  <c r="G16" i="1"/>
  <c r="G102" i="1"/>
  <c r="G42" i="1"/>
  <c r="G14" i="1"/>
  <c r="G83" i="1"/>
  <c r="G54" i="1"/>
  <c r="G87" i="1"/>
  <c r="G40" i="1"/>
  <c r="G28" i="1"/>
  <c r="G61" i="1"/>
  <c r="G77" i="1"/>
  <c r="G81" i="1"/>
  <c r="G53" i="1"/>
  <c r="G75" i="1"/>
  <c r="G68" i="1"/>
  <c r="G4" i="1"/>
  <c r="G6" i="1"/>
  <c r="G7" i="1"/>
  <c r="G5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<sst xmlns="http://schemas.openxmlformats.org/spreadsheetml/2006/main" count="1736" uniqueCount="397">
  <si>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</si>
  <si>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</si>
  <si>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</si>
  <si>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</si>
  <si>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</si>
  <si>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</si>
  <si>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</si>
  <si>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</si>
  <si>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</si>
  <si>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</si>
  <si>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</si>
  <si>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</si>
  <si>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</si>
  <si>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</si>
  <si>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</si>
  <si>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</si>
  <si>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</si>
  <si>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</si>
  <si>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</si>
  <si>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</si>
  <si>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</si>
  <si>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</si>
  <si>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</si>
  <si>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</si>
  <si>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</si>
  <si>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</si>
  <si>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</si>
  <si>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</si>
  <si>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</si>
  <si>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</si>
  <si>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</si>
  <si>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</si>
  <si>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</si>
  <si>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</si>
  <si>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</si>
  <si>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</si>
  <si>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</si>
  <si>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</si>
  <si>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</si>
  <si>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</si>
  <si>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</si>
  <si>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</si>
  <si>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</si>
  <si>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</si>
  <si>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</si>
  <si>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</si>
  <si>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</si>
  <si>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</si>
  <si>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</si>
  <si>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</si>
  <si>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</si>
  <si>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</si>
  <si>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</si>
  <si>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</si>
  <si>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</si>
  <si>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</si>
  <si>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</si>
  <si>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</si>
  <si>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</si>
  <si>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</si>
  <si>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</si>
  <si>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</si>
  <si>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</si>
  <si>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</si>
  <si>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</si>
  <si>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</si>
  <si>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</si>
  <si>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</si>
  <si>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</si>
  <si>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</si>
  <si>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</si>
  <si>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</si>
  <si>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</si>
  <si>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</si>
  <si>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</si>
  <si>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</si>
  <si>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</si>
  <si>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</si>
  <si>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</si>
  <si>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</si>
  <si>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</si>
  <si>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</si>
  <si>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</si>
  <si>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</si>
  <si>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</si>
  <si>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</si>
  <si>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</si>
  <si>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</si>
  <si>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</si>
  <si>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</si>
  <si>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</si>
  <si>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</si>
  <si>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</si>
  <si>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</si>
  <si>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</si>
  <si>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</si>
  <si>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</si>
  <si>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</si>
  <si>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</si>
  <si>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</si>
  <si>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</si>
  <si>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</si>
  <si>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</si>
  <si>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</si>
  <si>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</si>
  <si>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</si>
  <si>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</si>
  <si>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</si>
  <si>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</si>
  <si>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</si>
  <si>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</si>
  <si>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</si>
  <si>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</si>
  <si>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</si>
  <si>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</si>
  <si>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</si>
  <si>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</si>
  <si>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</si>
  <si>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</si>
  <si>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</si>
  <si>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</si>
  <si>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</si>
  <si>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</si>
  <si>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</si>
  <si>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</si>
  <si>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</si>
  <si>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</si>
  <si>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</si>
  <si>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</si>
  <si>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</si>
  <si>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</si>
  <si>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</si>
  <si>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</si>
  <si>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</si>
  <si>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</si>
  <si>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</si>
  <si>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</si>
  <si>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</si>
  <si>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</si>
  <si>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</si>
  <si>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</si>
  <si>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</si>
  <si>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</si>
  <si>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</si>
  <si>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</si>
  <si>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</si>
  <si>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</si>
  <si>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</si>
  <si>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</si>
  <si>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</si>
  <si>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</si>
  <si>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</si>
  <si>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</si>
  <si>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</si>
  <si>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</si>
  <si>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</si>
  <si>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</si>
  <si>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</si>
  <si>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</si>
  <si>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</si>
  <si>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</si>
  <si>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</si>
  <si>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</si>
  <si>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</si>
  <si>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</si>
  <si>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</si>
  <si>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</si>
  <si>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</si>
  <si>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</si>
  <si>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</si>
  <si>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</si>
  <si>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</si>
  <si>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</si>
  <si>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</si>
  <si>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</si>
  <si>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</si>
  <si>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</si>
  <si>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</si>
  <si>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</si>
  <si>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</si>
  <si>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</si>
  <si>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</si>
  <si>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</si>
  <si>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</si>
  <si>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</si>
  <si>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</si>
  <si>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</si>
  <si>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</si>
  <si>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</si>
  <si>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</si>
  <si>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</si>
  <si>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</si>
  <si>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</si>
  <si>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</si>
  <si>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</si>
  <si>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</si>
  <si>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</si>
  <si>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</si>
  <si>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</si>
  <si>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</si>
  <si>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</si>
  <si>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</si>
  <si>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</si>
  <si>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</si>
  <si>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</si>
  <si>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</si>
  <si>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</si>
  <si>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</si>
  <si>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</si>
  <si>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</si>
  <si>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</si>
  <si>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</si>
  <si>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</si>
  <si>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</si>
  <si>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</si>
  <si>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</si>
  <si>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</si>
  <si>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</si>
  <si>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</si>
  <si>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</si>
  <si>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</si>
  <si>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</si>
  <si>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</si>
  <si>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</si>
  <si>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</si>
  <si>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</si>
  <si>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</si>
  <si>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</si>
  <si>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</si>
  <si>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</si>
  <si>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</si>
  <si>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</si>
  <si>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</si>
  <si>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</si>
  <si>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</si>
  <si>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</si>
  <si>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</si>
  <si>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</si>
  <si>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</si>
  <si>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</si>
  <si>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</si>
  <si>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</si>
  <si>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</si>
  <si>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</si>
  <si>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</si>
  <si>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</si>
  <si>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</si>
  <si>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</si>
  <si>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</si>
  <si>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</si>
  <si>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</si>
  <si>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</si>
  <si>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</si>
  <si>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</si>
  <si>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</si>
  <si>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</si>
  <si>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</si>
  <si>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</si>
  <si>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</si>
  <si>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</si>
  <si>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</si>
  <si>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</si>
  <si>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</si>
  <si>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</si>
  <si>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</si>
  <si>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</si>
  <si>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</si>
  <si>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</si>
  <si>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</si>
  <si>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</si>
  <si>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</si>
  <si>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</si>
  <si>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</si>
  <si>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</si>
  <si>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</si>
  <si>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</si>
  <si>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</si>
  <si>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</si>
  <si>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</si>
  <si>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</si>
  <si>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</si>
  <si>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</si>
  <si>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</si>
  <si>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</si>
  <si>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</si>
  <si>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</si>
  <si>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</si>
  <si>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</si>
  <si>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</si>
  <si>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</si>
  <si>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</si>
  <si>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</si>
  <si>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</si>
  <si>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</si>
  <si>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</si>
  <si>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</si>
  <si>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</si>
  <si>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</si>
  <si>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</si>
  <si>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</si>
  <si>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</si>
  <si>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</si>
  <si>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</si>
  <si>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</si>
  <si>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</si>
  <si>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</si>
  <si>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</si>
  <si>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</si>
  <si>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</si>
  <si>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</si>
  <si>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</si>
  <si>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</si>
  <si>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</si>
  <si>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</si>
  <si>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</si>
  <si>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</si>
  <si>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</si>
  <si>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</si>
  <si>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</si>
  <si>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</si>
  <si>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</si>
  <si>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</si>
  <si>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</si>
  <si>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</si>
  <si>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</si>
  <si>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</si>
  <si>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</si>
  <si>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</si>
  <si>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</si>
  <si>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</si>
  <si>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</si>
  <si>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</si>
  <si>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</si>
  <si>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</si>
  <si>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</si>
  <si>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</si>
  <si>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</si>
  <si>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</si>
  <si>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</si>
  <si>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</si>
  <si>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</si>
  <si>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</si>
  <si>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</si>
  <si>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</si>
  <si>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</si>
  <si>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</si>
  <si>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</si>
  <si>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</si>
  <si>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</si>
  <si>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</si>
  <si>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</si>
  <si>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</si>
  <si>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</si>
  <si>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</si>
  <si>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</si>
  <si>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</si>
  <si>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</si>
  <si>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</si>
  <si>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</si>
  <si>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</si>
  <si>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윤현기</t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</si>
  <si>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</si>
  <si>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</si>
  <si>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</si>
  <si>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</si>
  <si>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</si>
  <si>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</si>
  <si>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</si>
  <si>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</si>
  <si>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</si>
  <si>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</si>
  <si>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</si>
  <si>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</si>
  <si>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</si>
  <si>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</si>
  <si>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</si>
  <si>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김진우</t>
    <phoneticPr fontId="2" type="noConversion"/>
  </si>
  <si>
    <t>서영진</t>
  </si>
  <si>
    <t>서영진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</si>
  <si>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</si>
  <si>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</si>
  <si>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</si>
  <si>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</si>
  <si>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</si>
  <si>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Orange</t>
    <phoneticPr fontId="2" type="noConversion"/>
  </si>
  <si>
    <t>김성수</t>
  </si>
  <si>
    <t>이호행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</si>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</sst>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V44" sqref="V4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59</v>
      </c>
      <c r="E2" s="53">
        <f>COUNTIF(E4:E142,"지급")</f>
        <v>0</v>
      </c>
      <c r="H2" s="18">
        <f>SUM(J2:AR2)/COUNTA(J2:BB2)</f>
        <v>6.1111111111111107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33</v>
      </c>
      <c r="V2" s="1">
        <f t="shared" si="0"/>
        <v>14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2</v>
      </c>
      <c r="H4" s="6">
        <f>I4+개인기록Sheet!C4</f>
        <v>12.2</v>
      </c>
      <c r="I4" s="6">
        <f t="shared" ref="I4" si="2">(COUNTIF(J4:CD4,"출전")*1)</f>
        <v>11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>RANK(H5,$H$4:$H$123,0)</f>
        <v>59</v>
      </c>
      <c r="H5" s="6">
        <f>I5+개인기록Sheet!C5</f>
        <v>2</v>
      </c>
      <c r="I5" s="6">
        <f t="shared" ref="I5:I8" si="3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RANK(H6,$H$4:$H$123,0)</f>
        <v>81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COUNTA(J7:W7)</f>
        <v>0</v>
      </c>
      <c r="E7" s="54"/>
      <c r="F7" s="2" t="s">
        <v>37</v>
      </c>
      <c r="G7" s="2">
        <f>RANK(H7,$H$4:$H$123,0)</f>
        <v>81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227</v>
      </c>
      <c r="E8" s="54"/>
      <c r="F8" s="2" t="s">
        <v>37</v>
      </c>
      <c r="G8" s="2">
        <f t="shared" ref="G8:G71" si="4">RANK(H8,$H$4:$H$123,0)</f>
        <v>81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4"/>
        <v>29</v>
      </c>
      <c r="H9" s="6">
        <f>I9+개인기록Sheet!C9</f>
        <v>4.4000000000000004</v>
      </c>
      <c r="I9" s="6">
        <f t="shared" ref="I9:I72" si="5">(COUNTIF(J9:CD9,"출전")*1)</f>
        <v>4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4"/>
        <v>18</v>
      </c>
      <c r="H10" s="6">
        <f>I10+개인기록Sheet!C10</f>
        <v>5.9</v>
      </c>
      <c r="I10" s="6">
        <f t="shared" si="5"/>
        <v>5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4"/>
        <v>7</v>
      </c>
      <c r="H11" s="6">
        <f>I11+개인기록Sheet!C11</f>
        <v>8.8000000000000007</v>
      </c>
      <c r="I11" s="6">
        <f t="shared" si="5"/>
        <v>6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6">COUNTA(J12:W12)</f>
        <v>1</v>
      </c>
      <c r="E12" s="54"/>
      <c r="F12" s="2" t="s">
        <v>37</v>
      </c>
      <c r="G12" s="2">
        <f t="shared" si="4"/>
        <v>70</v>
      </c>
      <c r="H12" s="6">
        <f>I12+개인기록Sheet!C12</f>
        <v>1</v>
      </c>
      <c r="I12" s="6">
        <f t="shared" si="5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6"/>
        <v>0</v>
      </c>
      <c r="E13" s="54"/>
      <c r="F13" s="2" t="s">
        <v>37</v>
      </c>
      <c r="G13" s="2">
        <f t="shared" si="4"/>
        <v>81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6"/>
        <v>0</v>
      </c>
      <c r="E14" s="54"/>
      <c r="F14" s="2" t="s">
        <v>37</v>
      </c>
      <c r="G14" s="2">
        <f t="shared" si="4"/>
        <v>81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6"/>
        <v>0</v>
      </c>
      <c r="E15" s="54"/>
      <c r="F15" s="2" t="s">
        <v>37</v>
      </c>
      <c r="G15" s="2">
        <f t="shared" si="4"/>
        <v>81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4"/>
        <v>46</v>
      </c>
      <c r="H16" s="6">
        <f>I16+개인기록Sheet!C16</f>
        <v>3</v>
      </c>
      <c r="I16" s="6">
        <f t="shared" si="5"/>
        <v>3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4"/>
        <v>8</v>
      </c>
      <c r="H17" s="6">
        <f>I17+개인기록Sheet!C17</f>
        <v>8.1999999999999993</v>
      </c>
      <c r="I17" s="6">
        <f t="shared" si="5"/>
        <v>7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4"/>
        <v>81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4"/>
        <v>34</v>
      </c>
      <c r="H19" s="6">
        <f>I19+개인기록Sheet!C19</f>
        <v>4</v>
      </c>
      <c r="I19" s="6">
        <f t="shared" si="5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4"/>
        <v>41</v>
      </c>
      <c r="H20" s="6">
        <f>I20+개인기록Sheet!C20</f>
        <v>3.2</v>
      </c>
      <c r="I20" s="6">
        <f t="shared" si="5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7">COUNTA(J21:W21)</f>
        <v>0</v>
      </c>
      <c r="E21" s="54"/>
      <c r="F21" s="60"/>
      <c r="G21" s="2">
        <f t="shared" si="4"/>
        <v>81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7"/>
        <v>0</v>
      </c>
      <c r="E22" s="54"/>
      <c r="F22" s="2" t="s">
        <v>37</v>
      </c>
      <c r="G22" s="2">
        <f t="shared" si="4"/>
        <v>81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7"/>
        <v>0</v>
      </c>
      <c r="E23" s="54"/>
      <c r="F23" s="2" t="s">
        <v>37</v>
      </c>
      <c r="G23" s="2">
        <f t="shared" si="4"/>
        <v>81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4"/>
        <v>70</v>
      </c>
      <c r="H24" s="6">
        <f>I24+개인기록Sheet!C24</f>
        <v>1</v>
      </c>
      <c r="I24" s="6">
        <f t="shared" si="5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4"/>
        <v>70</v>
      </c>
      <c r="H25" s="6">
        <f>I25+개인기록Sheet!C25</f>
        <v>1</v>
      </c>
      <c r="I25" s="6">
        <f t="shared" si="5"/>
        <v>1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4"/>
        <v>24</v>
      </c>
      <c r="H26" s="6">
        <f>I26+개인기록Sheet!C26</f>
        <v>4.9000000000000004</v>
      </c>
      <c r="I26" s="6">
        <f t="shared" si="5"/>
        <v>4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4"/>
        <v>1</v>
      </c>
      <c r="H27" s="6">
        <f>I27+개인기록Sheet!C27</f>
        <v>15</v>
      </c>
      <c r="I27" s="6">
        <f t="shared" si="5"/>
        <v>10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4"/>
        <v>29</v>
      </c>
      <c r="H28" s="6">
        <f>I28+개인기록Sheet!C28</f>
        <v>4.4000000000000004</v>
      </c>
      <c r="I28" s="6">
        <f t="shared" si="5"/>
        <v>3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COUNTA(J29:W29)</f>
        <v>0</v>
      </c>
      <c r="E29" s="54"/>
      <c r="F29" s="2" t="s">
        <v>37</v>
      </c>
      <c r="G29" s="2">
        <f t="shared" si="4"/>
        <v>81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4"/>
        <v>46</v>
      </c>
      <c r="H30" s="6">
        <f>I30+개인기록Sheet!C30</f>
        <v>3</v>
      </c>
      <c r="I30" s="6">
        <f t="shared" si="5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4"/>
        <v>6</v>
      </c>
      <c r="H31" s="6">
        <f>I31+개인기록Sheet!C31</f>
        <v>8.9</v>
      </c>
      <c r="I31" s="6">
        <f t="shared" si="5"/>
        <v>6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4"/>
        <v>5</v>
      </c>
      <c r="H32" s="6">
        <f>I32+개인기록Sheet!C32</f>
        <v>9.6</v>
      </c>
      <c r="I32" s="6">
        <f t="shared" si="5"/>
        <v>8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4"/>
        <v>23</v>
      </c>
      <c r="H33" s="6">
        <f>I33+개인기록Sheet!C33</f>
        <v>5</v>
      </c>
      <c r="I33" s="6">
        <f t="shared" si="5"/>
        <v>5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4"/>
        <v>13</v>
      </c>
      <c r="H34" s="6">
        <f>I34+개인기록Sheet!C34</f>
        <v>6.6</v>
      </c>
      <c r="I34" s="6">
        <f t="shared" si="5"/>
        <v>6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8">COUNTA(J35:W35)</f>
        <v>0</v>
      </c>
      <c r="E35" s="54"/>
      <c r="F35" s="2" t="s">
        <v>37</v>
      </c>
      <c r="G35" s="2">
        <f t="shared" si="4"/>
        <v>81</v>
      </c>
      <c r="H35" s="6">
        <f>I35+개인기록Sheet!C35</f>
        <v>0</v>
      </c>
      <c r="I35" s="6">
        <f t="shared" si="5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8"/>
        <v>0</v>
      </c>
      <c r="E36" s="54"/>
      <c r="F36" s="2" t="s">
        <v>37</v>
      </c>
      <c r="G36" s="2">
        <f t="shared" si="4"/>
        <v>81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4"/>
        <v>10</v>
      </c>
      <c r="H37" s="6">
        <f>I37+개인기록Sheet!C37</f>
        <v>7.8</v>
      </c>
      <c r="I37" s="6">
        <f t="shared" si="5"/>
        <v>6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353</v>
      </c>
      <c r="E38" s="54"/>
      <c r="F38" s="2" t="s">
        <v>37</v>
      </c>
      <c r="G38" s="2">
        <f t="shared" si="4"/>
        <v>41</v>
      </c>
      <c r="H38" s="6">
        <f>I38+개인기록Sheet!C38</f>
        <v>3.2</v>
      </c>
      <c r="I38" s="6">
        <f t="shared" si="5"/>
        <v>3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COUNTA(J39:W39)</f>
        <v>0</v>
      </c>
      <c r="E39" s="54"/>
      <c r="F39" s="2" t="s">
        <v>37</v>
      </c>
      <c r="G39" s="2">
        <f t="shared" si="4"/>
        <v>81</v>
      </c>
      <c r="H39" s="6">
        <f>I39+개인기록Sheet!C39</f>
        <v>0</v>
      </c>
      <c r="I39" s="6">
        <f t="shared" si="5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4"/>
        <v>70</v>
      </c>
      <c r="H40" s="6">
        <f>I40+개인기록Sheet!C40</f>
        <v>1</v>
      </c>
      <c r="I40" s="6">
        <f t="shared" si="5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9">COUNTA(J41:W41)</f>
        <v>0</v>
      </c>
      <c r="E41" s="54"/>
      <c r="F41" s="2" t="s">
        <v>37</v>
      </c>
      <c r="G41" s="2">
        <f t="shared" si="4"/>
        <v>81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9"/>
        <v>0</v>
      </c>
      <c r="E42" s="54"/>
      <c r="F42" s="2" t="s">
        <v>37</v>
      </c>
      <c r="G42" s="2">
        <f t="shared" si="4"/>
        <v>81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4"/>
        <v>70</v>
      </c>
      <c r="H43" s="6">
        <f>I43+개인기록Sheet!C43</f>
        <v>1</v>
      </c>
      <c r="I43" s="6">
        <f t="shared" si="5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4"/>
        <v>4</v>
      </c>
      <c r="H44" s="6">
        <f>I44+개인기록Sheet!C44</f>
        <v>9.8000000000000007</v>
      </c>
      <c r="I44" s="6">
        <f t="shared" si="5"/>
        <v>8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8">
        <v>2024</v>
      </c>
      <c r="D45" s="54">
        <f t="shared" ref="D45:D46" si="10">COUNTA(J45:W45)</f>
        <v>0</v>
      </c>
      <c r="E45" s="54"/>
      <c r="F45" s="2" t="s">
        <v>37</v>
      </c>
      <c r="G45" s="2">
        <f t="shared" si="4"/>
        <v>81</v>
      </c>
      <c r="H45" s="6">
        <f>I45+개인기록Sheet!C45</f>
        <v>0</v>
      </c>
      <c r="I45" s="6">
        <f t="shared" si="5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8">
        <v>2026</v>
      </c>
      <c r="D46" s="54">
        <f t="shared" si="10"/>
        <v>0</v>
      </c>
      <c r="E46" s="54"/>
      <c r="F46" s="60"/>
      <c r="G46" s="2">
        <f t="shared" si="4"/>
        <v>81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7">
        <v>2022</v>
      </c>
      <c r="D47" s="54" t="s">
        <v>326</v>
      </c>
      <c r="E47" s="54"/>
      <c r="F47" s="2" t="s">
        <v>37</v>
      </c>
      <c r="G47" s="2">
        <f t="shared" si="4"/>
        <v>13</v>
      </c>
      <c r="H47" s="6">
        <f>I47+개인기록Sheet!C47</f>
        <v>6.6</v>
      </c>
      <c r="I47" s="6">
        <f t="shared" si="5"/>
        <v>6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 t="s">
        <v>352</v>
      </c>
      <c r="V47" s="2" t="s">
        <v>352</v>
      </c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7">
        <v>2022</v>
      </c>
      <c r="D48" s="54">
        <f t="shared" ref="D48:D50" si="11">COUNTA(J48:W48)</f>
        <v>0</v>
      </c>
      <c r="E48" s="54"/>
      <c r="F48" s="2" t="s">
        <v>37</v>
      </c>
      <c r="G48" s="2">
        <f t="shared" si="4"/>
        <v>81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8">
        <v>2025</v>
      </c>
      <c r="D49" s="54">
        <f t="shared" si="11"/>
        <v>0</v>
      </c>
      <c r="E49" s="54"/>
      <c r="F49" s="2" t="s">
        <v>37</v>
      </c>
      <c r="G49" s="2">
        <f t="shared" si="4"/>
        <v>81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7">
        <v>2022</v>
      </c>
      <c r="D50" s="54">
        <f t="shared" si="11"/>
        <v>0</v>
      </c>
      <c r="E50" s="54"/>
      <c r="F50" s="2" t="s">
        <v>37</v>
      </c>
      <c r="G50" s="2">
        <f t="shared" si="4"/>
        <v>81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7">
        <v>2023</v>
      </c>
      <c r="D51" s="54" t="s">
        <v>326</v>
      </c>
      <c r="E51" s="54"/>
      <c r="F51" s="2" t="s">
        <v>37</v>
      </c>
      <c r="G51" s="2">
        <f t="shared" si="4"/>
        <v>12</v>
      </c>
      <c r="H51" s="6">
        <f>I51+개인기록Sheet!C51</f>
        <v>7.4</v>
      </c>
      <c r="I51" s="6">
        <f t="shared" si="5"/>
        <v>6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 t="s">
        <v>352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7">
        <v>2023</v>
      </c>
      <c r="D52" s="54">
        <f t="shared" ref="D52:D54" si="12">COUNTA(J52:W52)</f>
        <v>0</v>
      </c>
      <c r="E52" s="54"/>
      <c r="F52" s="2" t="s">
        <v>37</v>
      </c>
      <c r="G52" s="2">
        <f t="shared" si="4"/>
        <v>81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7">
        <v>2023</v>
      </c>
      <c r="D53" s="54">
        <f t="shared" si="12"/>
        <v>0</v>
      </c>
      <c r="E53" s="54"/>
      <c r="F53" s="2" t="s">
        <v>37</v>
      </c>
      <c r="G53" s="2">
        <f t="shared" si="4"/>
        <v>81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7">
        <v>2022</v>
      </c>
      <c r="D54" s="54">
        <f t="shared" si="12"/>
        <v>0</v>
      </c>
      <c r="E54" s="54"/>
      <c r="F54" s="2" t="s">
        <v>37</v>
      </c>
      <c r="G54" s="2">
        <f t="shared" si="4"/>
        <v>81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7">
        <v>2023</v>
      </c>
      <c r="D55" s="54" t="s">
        <v>227</v>
      </c>
      <c r="E55" s="54"/>
      <c r="F55" s="2" t="s">
        <v>37</v>
      </c>
      <c r="G55" s="2">
        <f t="shared" si="4"/>
        <v>20</v>
      </c>
      <c r="H55" s="6">
        <f>I55+개인기록Sheet!C55</f>
        <v>5.4</v>
      </c>
      <c r="I55" s="6">
        <f t="shared" si="5"/>
        <v>5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 t="s">
        <v>352</v>
      </c>
      <c r="V55" s="2" t="s">
        <v>352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8">
        <v>2025</v>
      </c>
      <c r="D56" s="54" t="s">
        <v>326</v>
      </c>
      <c r="E56" s="54"/>
      <c r="F56" s="2" t="s">
        <v>37</v>
      </c>
      <c r="G56" s="2">
        <f t="shared" si="4"/>
        <v>53</v>
      </c>
      <c r="H56" s="6">
        <f>I56+개인기록Sheet!C56</f>
        <v>2.6</v>
      </c>
      <c r="I56" s="6">
        <f t="shared" si="5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8">
        <v>2025</v>
      </c>
      <c r="D57" s="54">
        <f t="shared" ref="D57:D58" si="13">COUNTA(J57:W57)</f>
        <v>4</v>
      </c>
      <c r="E57" s="54"/>
      <c r="F57" s="2" t="s">
        <v>37</v>
      </c>
      <c r="G57" s="2">
        <f t="shared" si="4"/>
        <v>25</v>
      </c>
      <c r="H57" s="6">
        <f>I57+개인기록Sheet!C57</f>
        <v>4.5999999999999996</v>
      </c>
      <c r="I57" s="6">
        <f t="shared" si="5"/>
        <v>4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 t="s">
        <v>352</v>
      </c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8">
        <v>2024</v>
      </c>
      <c r="D58" s="54">
        <f t="shared" si="13"/>
        <v>0</v>
      </c>
      <c r="E58" s="54"/>
      <c r="F58" s="2" t="s">
        <v>37</v>
      </c>
      <c r="G58" s="2">
        <f t="shared" si="4"/>
        <v>81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7">
        <v>2022</v>
      </c>
      <c r="D59" s="54" t="s">
        <v>326</v>
      </c>
      <c r="E59" s="54"/>
      <c r="F59" s="2" t="s">
        <v>37</v>
      </c>
      <c r="G59" s="2">
        <f t="shared" si="4"/>
        <v>70</v>
      </c>
      <c r="H59" s="6">
        <f>I59+개인기록Sheet!C59</f>
        <v>1</v>
      </c>
      <c r="I59" s="6">
        <f t="shared" si="5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8">
        <v>2025</v>
      </c>
      <c r="D60" s="54" t="s">
        <v>326</v>
      </c>
      <c r="E60" s="54"/>
      <c r="F60" s="2" t="s">
        <v>37</v>
      </c>
      <c r="G60" s="2">
        <f t="shared" si="4"/>
        <v>16</v>
      </c>
      <c r="H60" s="6">
        <f>I60+개인기록Sheet!C60</f>
        <v>6.5</v>
      </c>
      <c r="I60" s="6">
        <f t="shared" si="5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7">
        <v>2022</v>
      </c>
      <c r="D61" s="54" t="s">
        <v>326</v>
      </c>
      <c r="E61" s="54"/>
      <c r="F61" s="2" t="s">
        <v>37</v>
      </c>
      <c r="G61" s="2">
        <f t="shared" si="4"/>
        <v>28</v>
      </c>
      <c r="H61" s="6">
        <f>I61+개인기록Sheet!C61</f>
        <v>4.5</v>
      </c>
      <c r="I61" s="6">
        <f t="shared" si="5"/>
        <v>3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7" t="s">
        <v>322</v>
      </c>
      <c r="D62" s="54">
        <f t="shared" ref="D62:D64" si="14">COUNTA(J62:W62)</f>
        <v>0</v>
      </c>
      <c r="E62" s="54"/>
      <c r="F62" s="2" t="s">
        <v>37</v>
      </c>
      <c r="G62" s="2">
        <f t="shared" si="4"/>
        <v>81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8">
        <v>2025</v>
      </c>
      <c r="D63" s="54">
        <f t="shared" si="14"/>
        <v>0</v>
      </c>
      <c r="E63" s="54"/>
      <c r="F63" s="2" t="s">
        <v>37</v>
      </c>
      <c r="G63" s="2">
        <f t="shared" si="4"/>
        <v>81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8">
        <v>2025</v>
      </c>
      <c r="D64" s="54">
        <f t="shared" si="14"/>
        <v>0</v>
      </c>
      <c r="E64" s="54"/>
      <c r="F64" s="2" t="s">
        <v>37</v>
      </c>
      <c r="G64" s="2">
        <f t="shared" si="4"/>
        <v>81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8">
        <v>2025</v>
      </c>
      <c r="D65" s="54" t="s">
        <v>326</v>
      </c>
      <c r="E65" s="54"/>
      <c r="F65" s="2" t="s">
        <v>37</v>
      </c>
      <c r="G65" s="2">
        <f t="shared" si="4"/>
        <v>8</v>
      </c>
      <c r="H65" s="6">
        <f>I65+개인기록Sheet!C65</f>
        <v>8.1999999999999993</v>
      </c>
      <c r="I65" s="6">
        <f t="shared" si="5"/>
        <v>6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 t="s">
        <v>352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7">
        <v>2023</v>
      </c>
      <c r="D66" s="54" t="s">
        <v>326</v>
      </c>
      <c r="E66" s="54"/>
      <c r="F66" s="2" t="s">
        <v>37</v>
      </c>
      <c r="G66" s="2">
        <f t="shared" si="4"/>
        <v>59</v>
      </c>
      <c r="H66" s="6">
        <f>I66+개인기록Sheet!C66</f>
        <v>2</v>
      </c>
      <c r="I66" s="6">
        <f t="shared" si="5"/>
        <v>2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7">
        <v>2021</v>
      </c>
      <c r="D67" s="54" t="s">
        <v>326</v>
      </c>
      <c r="E67" s="54"/>
      <c r="F67" s="2" t="s">
        <v>37</v>
      </c>
      <c r="G67" s="2">
        <f t="shared" si="4"/>
        <v>21</v>
      </c>
      <c r="H67" s="6">
        <f>I67+개인기록Sheet!C67</f>
        <v>5.2</v>
      </c>
      <c r="I67" s="6">
        <f t="shared" si="5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7" t="s">
        <v>322</v>
      </c>
      <c r="D68" s="54">
        <f>COUNTA(J68:W68)</f>
        <v>0</v>
      </c>
      <c r="E68" s="54"/>
      <c r="F68" s="2" t="s">
        <v>37</v>
      </c>
      <c r="G68" s="2">
        <f t="shared" si="4"/>
        <v>81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8">
        <v>2025</v>
      </c>
      <c r="D69" s="54" t="s">
        <v>326</v>
      </c>
      <c r="E69" s="54"/>
      <c r="F69" s="2" t="s">
        <v>37</v>
      </c>
      <c r="G69" s="2">
        <f t="shared" si="4"/>
        <v>46</v>
      </c>
      <c r="H69" s="6">
        <f>I69+개인기록Sheet!C69</f>
        <v>3</v>
      </c>
      <c r="I69" s="6">
        <f t="shared" si="5"/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7" t="s">
        <v>322</v>
      </c>
      <c r="D70" s="54" t="s">
        <v>326</v>
      </c>
      <c r="E70" s="54"/>
      <c r="F70" s="2" t="s">
        <v>37</v>
      </c>
      <c r="G70" s="2">
        <f t="shared" si="4"/>
        <v>70</v>
      </c>
      <c r="H70" s="6">
        <f>I70+개인기록Sheet!C70</f>
        <v>1</v>
      </c>
      <c r="I70" s="6">
        <f t="shared" si="5"/>
        <v>1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7">
        <v>2026</v>
      </c>
      <c r="D71" s="54">
        <f t="shared" ref="D71:D74" si="15">COUNTA(J71:W71)</f>
        <v>3</v>
      </c>
      <c r="E71" s="54"/>
      <c r="F71" s="2" t="s">
        <v>37</v>
      </c>
      <c r="G71" s="2">
        <f t="shared" si="4"/>
        <v>36</v>
      </c>
      <c r="H71" s="6">
        <f>I71+개인기록Sheet!C71</f>
        <v>3.7</v>
      </c>
      <c r="I71" s="6">
        <f t="shared" si="5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8">
        <v>2025</v>
      </c>
      <c r="D72" s="54">
        <f t="shared" si="15"/>
        <v>0</v>
      </c>
      <c r="E72" s="54"/>
      <c r="F72" s="2" t="s">
        <v>37</v>
      </c>
      <c r="G72" s="2">
        <f t="shared" ref="G72:G123" si="16">RANK(H72,$H$4:$H$123,0)</f>
        <v>81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7">
        <v>2023</v>
      </c>
      <c r="D73" s="54">
        <f t="shared" si="15"/>
        <v>0</v>
      </c>
      <c r="E73" s="54"/>
      <c r="F73" s="2" t="s">
        <v>37</v>
      </c>
      <c r="G73" s="2">
        <f t="shared" si="16"/>
        <v>81</v>
      </c>
      <c r="H73" s="6">
        <f>I73+개인기록Sheet!C73</f>
        <v>0</v>
      </c>
      <c r="I73" s="6">
        <f t="shared" ref="I73:I123" si="17">(COUNTIF(J73:CD73,"출전")*1)</f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8">
        <v>2025</v>
      </c>
      <c r="D74" s="54">
        <f t="shared" si="15"/>
        <v>3</v>
      </c>
      <c r="E74" s="54"/>
      <c r="F74" s="2" t="s">
        <v>37</v>
      </c>
      <c r="G74" s="2">
        <f t="shared" si="16"/>
        <v>41</v>
      </c>
      <c r="H74" s="6">
        <f>I74+개인기록Sheet!C74</f>
        <v>3.2</v>
      </c>
      <c r="I74" s="6">
        <f t="shared" si="17"/>
        <v>3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7">
        <v>2023</v>
      </c>
      <c r="D75" s="54" t="s">
        <v>326</v>
      </c>
      <c r="E75" s="54"/>
      <c r="F75" s="2" t="s">
        <v>37</v>
      </c>
      <c r="G75" s="2">
        <f t="shared" si="16"/>
        <v>29</v>
      </c>
      <c r="H75" s="6">
        <f>I75+개인기록Sheet!C75</f>
        <v>4.4000000000000004</v>
      </c>
      <c r="I75" s="6">
        <f t="shared" si="17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7" t="s">
        <v>322</v>
      </c>
      <c r="D76" s="54" t="s">
        <v>326</v>
      </c>
      <c r="E76" s="54"/>
      <c r="F76" s="2" t="s">
        <v>37</v>
      </c>
      <c r="G76" s="2">
        <f t="shared" si="16"/>
        <v>59</v>
      </c>
      <c r="H76" s="6">
        <f>I76+개인기록Sheet!C76</f>
        <v>2</v>
      </c>
      <c r="I76" s="6">
        <f t="shared" si="17"/>
        <v>2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7">
        <v>2022</v>
      </c>
      <c r="D77" s="54" t="s">
        <v>326</v>
      </c>
      <c r="E77" s="54"/>
      <c r="F77" s="2" t="s">
        <v>37</v>
      </c>
      <c r="G77" s="2">
        <f t="shared" si="16"/>
        <v>35</v>
      </c>
      <c r="H77" s="6">
        <f>I77+개인기록Sheet!C77</f>
        <v>3.8</v>
      </c>
      <c r="I77" s="6">
        <f t="shared" si="17"/>
        <v>3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7" t="s">
        <v>322</v>
      </c>
      <c r="D78" s="54" t="s">
        <v>326</v>
      </c>
      <c r="E78" s="54"/>
      <c r="F78" s="2" t="s">
        <v>37</v>
      </c>
      <c r="G78" s="2">
        <f t="shared" si="16"/>
        <v>38</v>
      </c>
      <c r="H78" s="6">
        <f>I78+개인기록Sheet!C78</f>
        <v>3.6</v>
      </c>
      <c r="I78" s="6">
        <f t="shared" si="17"/>
        <v>3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 t="s">
        <v>352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8">
        <v>2024</v>
      </c>
      <c r="D79" s="54" t="s">
        <v>326</v>
      </c>
      <c r="E79" s="54"/>
      <c r="F79" s="2" t="s">
        <v>37</v>
      </c>
      <c r="G79" s="2">
        <f t="shared" si="16"/>
        <v>56</v>
      </c>
      <c r="H79" s="6">
        <f>I79+개인기록Sheet!C79</f>
        <v>2.2000000000000002</v>
      </c>
      <c r="I79" s="6">
        <f t="shared" si="17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7" t="s">
        <v>322</v>
      </c>
      <c r="D80" s="54" t="s">
        <v>326</v>
      </c>
      <c r="E80" s="54"/>
      <c r="F80" s="2" t="s">
        <v>37</v>
      </c>
      <c r="G80" s="2">
        <f t="shared" si="16"/>
        <v>55</v>
      </c>
      <c r="H80" s="6">
        <f>I80+개인기록Sheet!C80</f>
        <v>2.4</v>
      </c>
      <c r="I80" s="6">
        <f t="shared" si="17"/>
        <v>2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 t="s">
        <v>352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8">
        <v>2025</v>
      </c>
      <c r="D81" s="54" t="s">
        <v>326</v>
      </c>
      <c r="E81" s="54"/>
      <c r="F81" s="2" t="s">
        <v>37</v>
      </c>
      <c r="G81" s="2">
        <f t="shared" si="16"/>
        <v>81</v>
      </c>
      <c r="H81" s="6">
        <f>I81+개인기록Sheet!C81</f>
        <v>0</v>
      </c>
      <c r="I81" s="6">
        <f t="shared" si="17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7" t="s">
        <v>322</v>
      </c>
      <c r="D82" s="54" t="s">
        <v>227</v>
      </c>
      <c r="E82" s="54"/>
      <c r="F82" s="2" t="s">
        <v>37</v>
      </c>
      <c r="G82" s="2">
        <f t="shared" si="16"/>
        <v>81</v>
      </c>
      <c r="H82" s="6">
        <f>I82+개인기록Sheet!C82</f>
        <v>0</v>
      </c>
      <c r="I82" s="6">
        <f t="shared" si="17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8">
        <v>2025</v>
      </c>
      <c r="D83" s="54" t="s">
        <v>326</v>
      </c>
      <c r="E83" s="54"/>
      <c r="F83" s="2" t="s">
        <v>37</v>
      </c>
      <c r="G83" s="2">
        <f t="shared" si="16"/>
        <v>39</v>
      </c>
      <c r="H83" s="6">
        <f>I83+개인기록Sheet!C83</f>
        <v>3.4</v>
      </c>
      <c r="I83" s="6">
        <f t="shared" si="17"/>
        <v>3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 t="s">
        <v>352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8">
        <v>2024</v>
      </c>
      <c r="D84" s="54" t="s">
        <v>227</v>
      </c>
      <c r="E84" s="54"/>
      <c r="F84" s="2" t="s">
        <v>37</v>
      </c>
      <c r="G84" s="2">
        <f t="shared" si="16"/>
        <v>70</v>
      </c>
      <c r="H84" s="6">
        <f>I84+개인기록Sheet!C84</f>
        <v>1</v>
      </c>
      <c r="I84" s="6">
        <f t="shared" si="17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8">
        <v>2024</v>
      </c>
      <c r="D85" s="54" t="s">
        <v>326</v>
      </c>
      <c r="E85" s="54"/>
      <c r="F85" s="2" t="s">
        <v>37</v>
      </c>
      <c r="G85" s="2">
        <f t="shared" si="16"/>
        <v>53</v>
      </c>
      <c r="H85" s="6">
        <f>I85+개인기록Sheet!C85</f>
        <v>2.6</v>
      </c>
      <c r="I85" s="6">
        <f t="shared" si="17"/>
        <v>2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 t="s">
        <v>352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7" t="s">
        <v>322</v>
      </c>
      <c r="D86" s="54" t="s">
        <v>353</v>
      </c>
      <c r="E86" s="54"/>
      <c r="F86" s="2" t="s">
        <v>37</v>
      </c>
      <c r="G86" s="2">
        <f t="shared" si="16"/>
        <v>81</v>
      </c>
      <c r="H86" s="6">
        <f>I86+개인기록Sheet!C86</f>
        <v>0</v>
      </c>
      <c r="I86" s="6">
        <f t="shared" si="17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7">
        <v>2023</v>
      </c>
      <c r="D87" s="54" t="s">
        <v>326</v>
      </c>
      <c r="E87" s="54"/>
      <c r="F87" s="2" t="s">
        <v>37</v>
      </c>
      <c r="G87" s="2">
        <f t="shared" si="16"/>
        <v>63</v>
      </c>
      <c r="H87" s="6">
        <f>I87+개인기록Sheet!C87</f>
        <v>1.4</v>
      </c>
      <c r="I87" s="6">
        <f t="shared" si="17"/>
        <v>1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7">
        <v>2022</v>
      </c>
      <c r="D88" s="54" t="s">
        <v>353</v>
      </c>
      <c r="E88" s="54"/>
      <c r="F88" s="2" t="s">
        <v>37</v>
      </c>
      <c r="G88" s="2">
        <f t="shared" si="16"/>
        <v>81</v>
      </c>
      <c r="H88" s="6">
        <f>I88+개인기록Sheet!C88</f>
        <v>0</v>
      </c>
      <c r="I88" s="6">
        <f t="shared" si="17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7">
        <v>2022</v>
      </c>
      <c r="D89" s="54">
        <f>COUNTA(J89:W89)</f>
        <v>0</v>
      </c>
      <c r="E89" s="54"/>
      <c r="F89" s="2" t="s">
        <v>37</v>
      </c>
      <c r="G89" s="2">
        <f t="shared" si="16"/>
        <v>81</v>
      </c>
      <c r="H89" s="6">
        <f>I89+개인기록Sheet!C89</f>
        <v>0</v>
      </c>
      <c r="I89" s="6">
        <f t="shared" si="17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7">
        <v>2022</v>
      </c>
      <c r="D90" s="54" t="s">
        <v>326</v>
      </c>
      <c r="E90" s="54"/>
      <c r="F90" s="2" t="s">
        <v>37</v>
      </c>
      <c r="G90" s="2">
        <f t="shared" si="16"/>
        <v>36</v>
      </c>
      <c r="H90" s="6">
        <f>I90+개인기록Sheet!C90</f>
        <v>3.7</v>
      </c>
      <c r="I90" s="6">
        <f t="shared" si="17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7">
        <v>2022</v>
      </c>
      <c r="D91" s="54">
        <f>COUNTA(J91:W91)</f>
        <v>1</v>
      </c>
      <c r="E91" s="54"/>
      <c r="F91" s="2" t="s">
        <v>37</v>
      </c>
      <c r="G91" s="2">
        <f t="shared" si="16"/>
        <v>66</v>
      </c>
      <c r="H91" s="6">
        <f>I91+개인기록Sheet!C91</f>
        <v>1.2</v>
      </c>
      <c r="I91" s="6">
        <f t="shared" si="17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7" t="s">
        <v>322</v>
      </c>
      <c r="D92" s="54" t="s">
        <v>326</v>
      </c>
      <c r="E92" s="54"/>
      <c r="F92" s="2" t="s">
        <v>37</v>
      </c>
      <c r="G92" s="2">
        <f t="shared" si="16"/>
        <v>41</v>
      </c>
      <c r="H92" s="6">
        <f>I92+개인기록Sheet!C92</f>
        <v>3.2</v>
      </c>
      <c r="I92" s="6">
        <f t="shared" si="17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8">
        <v>2024</v>
      </c>
      <c r="D93" s="54" t="s">
        <v>326</v>
      </c>
      <c r="E93" s="54"/>
      <c r="F93" s="2" t="s">
        <v>37</v>
      </c>
      <c r="G93" s="2">
        <f t="shared" si="16"/>
        <v>13</v>
      </c>
      <c r="H93" s="6">
        <f>I93+개인기록Sheet!C93</f>
        <v>6.6</v>
      </c>
      <c r="I93" s="6">
        <f t="shared" si="17"/>
        <v>5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 t="s">
        <v>352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7">
        <v>2022</v>
      </c>
      <c r="D94" s="54" t="s">
        <v>326</v>
      </c>
      <c r="E94" s="54"/>
      <c r="F94" s="2" t="s">
        <v>37</v>
      </c>
      <c r="G94" s="2">
        <f t="shared" si="16"/>
        <v>46</v>
      </c>
      <c r="H94" s="6">
        <f>I94+개인기록Sheet!C94</f>
        <v>3</v>
      </c>
      <c r="I94" s="6">
        <f t="shared" si="17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8">
        <v>2024</v>
      </c>
      <c r="D95" s="54" t="s">
        <v>326</v>
      </c>
      <c r="E95" s="54"/>
      <c r="F95" s="2" t="s">
        <v>37</v>
      </c>
      <c r="G95" s="2">
        <f t="shared" si="16"/>
        <v>3</v>
      </c>
      <c r="H95" s="6">
        <f>I95+개인기록Sheet!C95</f>
        <v>10.9</v>
      </c>
      <c r="I95" s="6">
        <f t="shared" si="17"/>
        <v>9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 t="s">
        <v>352</v>
      </c>
      <c r="V95" s="2" t="s">
        <v>352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7" t="s">
        <v>322</v>
      </c>
      <c r="D96" s="54" t="s">
        <v>326</v>
      </c>
      <c r="E96" s="54"/>
      <c r="F96" s="2" t="s">
        <v>37</v>
      </c>
      <c r="G96" s="2">
        <f t="shared" si="16"/>
        <v>11</v>
      </c>
      <c r="H96" s="6">
        <f>I96+개인기록Sheet!C96</f>
        <v>7.6</v>
      </c>
      <c r="I96" s="6">
        <f t="shared" si="17"/>
        <v>7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 t="s">
        <v>352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7">
        <v>2023</v>
      </c>
      <c r="D97" s="54" t="s">
        <v>326</v>
      </c>
      <c r="E97" s="54"/>
      <c r="F97" s="2" t="s">
        <v>37</v>
      </c>
      <c r="G97" s="2">
        <f t="shared" si="16"/>
        <v>17</v>
      </c>
      <c r="H97" s="6">
        <f>I97+개인기록Sheet!C97</f>
        <v>6</v>
      </c>
      <c r="I97" s="6">
        <f t="shared" si="17"/>
        <v>5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 t="s">
        <v>352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7">
        <v>2022</v>
      </c>
      <c r="D98" s="54" t="s">
        <v>326</v>
      </c>
      <c r="E98" s="54"/>
      <c r="F98" s="2" t="s">
        <v>37</v>
      </c>
      <c r="G98" s="2">
        <f t="shared" si="16"/>
        <v>19</v>
      </c>
      <c r="H98" s="6">
        <f>I98+개인기록Sheet!C98</f>
        <v>5.8</v>
      </c>
      <c r="I98" s="6">
        <f t="shared" si="17"/>
        <v>4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 t="s">
        <v>352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7">
        <v>2021</v>
      </c>
      <c r="D99" s="54">
        <f>COUNTA(J99:W99)</f>
        <v>0</v>
      </c>
      <c r="E99" s="54"/>
      <c r="F99" s="2" t="s">
        <v>37</v>
      </c>
      <c r="G99" s="2">
        <f t="shared" si="16"/>
        <v>81</v>
      </c>
      <c r="H99" s="6">
        <f>I99+개인기록Sheet!C99</f>
        <v>0</v>
      </c>
      <c r="I99" s="6">
        <f t="shared" si="17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8">
        <v>2025</v>
      </c>
      <c r="D100" s="54" t="s">
        <v>326</v>
      </c>
      <c r="E100" s="54"/>
      <c r="F100" s="2" t="s">
        <v>37</v>
      </c>
      <c r="G100" s="2">
        <f t="shared" si="16"/>
        <v>25</v>
      </c>
      <c r="H100" s="6">
        <f>I100+개인기록Sheet!C100</f>
        <v>4.5999999999999996</v>
      </c>
      <c r="I100" s="6">
        <f t="shared" si="17"/>
        <v>4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7">
        <v>2023</v>
      </c>
      <c r="D101" s="54" t="s">
        <v>326</v>
      </c>
      <c r="E101" s="54"/>
      <c r="F101" s="2" t="s">
        <v>37</v>
      </c>
      <c r="G101" s="2">
        <f t="shared" si="16"/>
        <v>32</v>
      </c>
      <c r="H101" s="6">
        <f>I101+개인기록Sheet!C101</f>
        <v>4.2</v>
      </c>
      <c r="I101" s="6">
        <f t="shared" si="17"/>
        <v>4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7" t="s">
        <v>322</v>
      </c>
      <c r="D102" s="54" t="s">
        <v>326</v>
      </c>
      <c r="E102" s="54"/>
      <c r="F102" s="2" t="s">
        <v>37</v>
      </c>
      <c r="G102" s="2">
        <f t="shared" si="16"/>
        <v>21</v>
      </c>
      <c r="H102" s="6">
        <f>I102+개인기록Sheet!C102</f>
        <v>5.2</v>
      </c>
      <c r="I102" s="6">
        <f t="shared" si="17"/>
        <v>5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8">
        <v>2025</v>
      </c>
      <c r="D103" s="54" t="s">
        <v>326</v>
      </c>
      <c r="E103" s="54"/>
      <c r="F103" s="2" t="s">
        <v>37</v>
      </c>
      <c r="G103" s="2">
        <f t="shared" si="16"/>
        <v>59</v>
      </c>
      <c r="H103" s="6">
        <f>I103+개인기록Sheet!C103</f>
        <v>2</v>
      </c>
      <c r="I103" s="6">
        <f t="shared" si="17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7">
        <v>2022</v>
      </c>
      <c r="D104" s="54" t="s">
        <v>326</v>
      </c>
      <c r="E104" s="54"/>
      <c r="F104" s="2" t="s">
        <v>37</v>
      </c>
      <c r="G104" s="2">
        <f t="shared" si="16"/>
        <v>66</v>
      </c>
      <c r="H104" s="6">
        <f>I104+개인기록Sheet!C104</f>
        <v>1.2</v>
      </c>
      <c r="I104" s="6">
        <f t="shared" si="17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8">
        <v>2024</v>
      </c>
      <c r="D105" s="54" t="s">
        <v>326</v>
      </c>
      <c r="E105" s="54"/>
      <c r="F105" s="2" t="s">
        <v>37</v>
      </c>
      <c r="G105" s="2">
        <f t="shared" si="16"/>
        <v>56</v>
      </c>
      <c r="H105" s="6">
        <f>I105+개인기록Sheet!C105</f>
        <v>2.2000000000000002</v>
      </c>
      <c r="I105" s="6">
        <f t="shared" si="17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7">
        <v>2023</v>
      </c>
      <c r="D106" s="54" t="s">
        <v>326</v>
      </c>
      <c r="E106" s="54"/>
      <c r="F106" s="2" t="s">
        <v>37</v>
      </c>
      <c r="G106" s="2">
        <f t="shared" si="16"/>
        <v>32</v>
      </c>
      <c r="H106" s="6">
        <f>I106+개인기록Sheet!C106</f>
        <v>4.2</v>
      </c>
      <c r="I106" s="6">
        <f t="shared" si="17"/>
        <v>3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 t="s">
        <v>352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7">
        <v>2023</v>
      </c>
      <c r="D107" s="54" t="s">
        <v>353</v>
      </c>
      <c r="E107" s="54"/>
      <c r="F107" s="2" t="s">
        <v>37</v>
      </c>
      <c r="G107" s="2">
        <f t="shared" si="16"/>
        <v>81</v>
      </c>
      <c r="H107" s="6">
        <f>I107+개인기록Sheet!C107</f>
        <v>0</v>
      </c>
      <c r="I107" s="6">
        <f t="shared" si="17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8">
        <v>2025</v>
      </c>
      <c r="D108" s="54">
        <f t="shared" ref="D108:D120" si="18">COUNTA(J108:W108)</f>
        <v>1</v>
      </c>
      <c r="E108" s="54"/>
      <c r="F108" s="2" t="s">
        <v>37</v>
      </c>
      <c r="G108" s="2">
        <f t="shared" si="16"/>
        <v>66</v>
      </c>
      <c r="H108" s="6">
        <f>I108+개인기록Sheet!C108</f>
        <v>1.2</v>
      </c>
      <c r="I108" s="6">
        <f t="shared" si="17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376</v>
      </c>
      <c r="C109" s="58">
        <v>2026</v>
      </c>
      <c r="D109" s="54">
        <f t="shared" si="18"/>
        <v>1</v>
      </c>
      <c r="E109" s="54"/>
      <c r="F109" s="2" t="s">
        <v>37</v>
      </c>
      <c r="G109" s="2">
        <f t="shared" si="16"/>
        <v>70</v>
      </c>
      <c r="H109" s="6">
        <f>I109+개인기록Sheet!C109</f>
        <v>1</v>
      </c>
      <c r="I109" s="6">
        <f t="shared" si="17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 t="s">
        <v>352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373</v>
      </c>
      <c r="C110" s="58">
        <v>2026</v>
      </c>
      <c r="D110" s="54">
        <f t="shared" si="18"/>
        <v>1</v>
      </c>
      <c r="E110" s="54"/>
      <c r="F110" s="2" t="s">
        <v>37</v>
      </c>
      <c r="G110" s="2">
        <f t="shared" si="16"/>
        <v>70</v>
      </c>
      <c r="H110" s="6">
        <f>I110+개인기록Sheet!C110</f>
        <v>1</v>
      </c>
      <c r="I110" s="6">
        <f t="shared" si="17"/>
        <v>1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 t="s">
        <v>352</v>
      </c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381</v>
      </c>
      <c r="C111" s="58">
        <v>2026</v>
      </c>
      <c r="D111" s="54">
        <f t="shared" si="18"/>
        <v>2</v>
      </c>
      <c r="E111" s="54"/>
      <c r="F111" s="2" t="s">
        <v>37</v>
      </c>
      <c r="G111" s="2">
        <f t="shared" si="16"/>
        <v>56</v>
      </c>
      <c r="H111" s="6">
        <f>I111+개인기록Sheet!C111</f>
        <v>2.2000000000000002</v>
      </c>
      <c r="I111" s="6">
        <f t="shared" si="17"/>
        <v>2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 t="s">
        <v>352</v>
      </c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368</v>
      </c>
      <c r="C112" s="58">
        <v>2026</v>
      </c>
      <c r="D112" s="54">
        <f t="shared" si="18"/>
        <v>3</v>
      </c>
      <c r="E112" s="54"/>
      <c r="F112" s="2" t="s">
        <v>37</v>
      </c>
      <c r="G112" s="2">
        <f t="shared" si="16"/>
        <v>46</v>
      </c>
      <c r="H112" s="6">
        <f>I112+개인기록Sheet!C112</f>
        <v>3</v>
      </c>
      <c r="I112" s="6">
        <f t="shared" si="17"/>
        <v>3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 t="s">
        <v>352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378</v>
      </c>
      <c r="C113" s="58">
        <v>2026</v>
      </c>
      <c r="D113" s="54">
        <f t="shared" si="18"/>
        <v>1</v>
      </c>
      <c r="E113" s="54"/>
      <c r="F113" s="2" t="s">
        <v>37</v>
      </c>
      <c r="G113" s="2">
        <f t="shared" si="16"/>
        <v>63</v>
      </c>
      <c r="H113" s="6">
        <f>I113+개인기록Sheet!C113</f>
        <v>1.4</v>
      </c>
      <c r="I113" s="6">
        <f t="shared" si="17"/>
        <v>1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 t="s">
        <v>352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369</v>
      </c>
      <c r="C114" s="58">
        <v>2026</v>
      </c>
      <c r="D114" s="54">
        <f t="shared" si="18"/>
        <v>2</v>
      </c>
      <c r="E114" s="54"/>
      <c r="F114" s="2" t="s">
        <v>37</v>
      </c>
      <c r="G114" s="2">
        <f t="shared" si="16"/>
        <v>52</v>
      </c>
      <c r="H114" s="6">
        <f>I114+개인기록Sheet!C114</f>
        <v>2.7</v>
      </c>
      <c r="I114" s="6">
        <f t="shared" si="17"/>
        <v>2</v>
      </c>
      <c r="J114" s="2"/>
      <c r="K114" s="2"/>
      <c r="L114" s="2"/>
      <c r="M114" s="2"/>
      <c r="N114" s="2"/>
      <c r="O114" s="2"/>
      <c r="P114" s="2"/>
      <c r="Q114" s="2"/>
      <c r="R114" s="2" t="s">
        <v>352</v>
      </c>
      <c r="S114" s="2" t="s">
        <v>352</v>
      </c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367</v>
      </c>
      <c r="C115" s="58">
        <v>2026</v>
      </c>
      <c r="D115" s="54">
        <f t="shared" si="18"/>
        <v>3</v>
      </c>
      <c r="E115" s="54"/>
      <c r="F115" s="2" t="s">
        <v>37</v>
      </c>
      <c r="G115" s="2">
        <f t="shared" si="16"/>
        <v>40</v>
      </c>
      <c r="H115" s="6">
        <f>I115+개인기록Sheet!C115</f>
        <v>3.3</v>
      </c>
      <c r="I115" s="6">
        <f t="shared" si="17"/>
        <v>3</v>
      </c>
      <c r="J115" s="2"/>
      <c r="K115" s="2"/>
      <c r="L115" s="2"/>
      <c r="M115" s="2"/>
      <c r="N115" s="2"/>
      <c r="O115" s="2"/>
      <c r="P115" s="2"/>
      <c r="Q115" s="2"/>
      <c r="R115" s="2" t="s">
        <v>352</v>
      </c>
      <c r="S115" s="2" t="s">
        <v>352</v>
      </c>
      <c r="T115" s="2"/>
      <c r="U115" s="2" t="s">
        <v>352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374</v>
      </c>
      <c r="C116" s="58">
        <v>2026</v>
      </c>
      <c r="D116" s="54">
        <f t="shared" si="18"/>
        <v>1</v>
      </c>
      <c r="E116" s="54"/>
      <c r="F116" s="2" t="s">
        <v>37</v>
      </c>
      <c r="G116" s="2">
        <f t="shared" si="16"/>
        <v>70</v>
      </c>
      <c r="H116" s="6">
        <f>I116+개인기록Sheet!C116</f>
        <v>1</v>
      </c>
      <c r="I116" s="6">
        <f t="shared" si="17"/>
        <v>1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 t="s">
        <v>352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380</v>
      </c>
      <c r="C117" s="58">
        <v>2026</v>
      </c>
      <c r="D117" s="54">
        <f t="shared" si="18"/>
        <v>1</v>
      </c>
      <c r="E117" s="54"/>
      <c r="F117" s="2" t="s">
        <v>37</v>
      </c>
      <c r="G117" s="2">
        <f t="shared" si="16"/>
        <v>65</v>
      </c>
      <c r="H117" s="6">
        <f>I117+개인기록Sheet!C117</f>
        <v>1.3</v>
      </c>
      <c r="I117" s="6">
        <f t="shared" si="17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375</v>
      </c>
      <c r="C118" s="58">
        <v>2026</v>
      </c>
      <c r="D118" s="54">
        <f t="shared" si="18"/>
        <v>1</v>
      </c>
      <c r="E118" s="54"/>
      <c r="F118" s="2" t="s">
        <v>37</v>
      </c>
      <c r="G118" s="2">
        <f t="shared" si="16"/>
        <v>66</v>
      </c>
      <c r="H118" s="6">
        <f>I118+개인기록Sheet!C118</f>
        <v>1.2</v>
      </c>
      <c r="I118" s="6">
        <f t="shared" si="17"/>
        <v>1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382</v>
      </c>
      <c r="C119" s="58">
        <v>2026</v>
      </c>
      <c r="D119" s="54">
        <f t="shared" si="18"/>
        <v>2</v>
      </c>
      <c r="E119" s="54"/>
      <c r="F119" s="2" t="s">
        <v>37</v>
      </c>
      <c r="G119" s="2">
        <f t="shared" si="16"/>
        <v>51</v>
      </c>
      <c r="H119" s="6">
        <f>I119+개인기록Sheet!C119</f>
        <v>2.9000000000000004</v>
      </c>
      <c r="I119" s="6">
        <f t="shared" si="17"/>
        <v>2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 t="s">
        <v>352</v>
      </c>
      <c r="V119" s="2" t="s">
        <v>352</v>
      </c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379</v>
      </c>
      <c r="C120" s="58">
        <v>2026</v>
      </c>
      <c r="D120" s="54">
        <f t="shared" si="18"/>
        <v>2</v>
      </c>
      <c r="E120" s="54"/>
      <c r="F120" s="2" t="s">
        <v>37</v>
      </c>
      <c r="G120" s="2">
        <f t="shared" si="16"/>
        <v>45</v>
      </c>
      <c r="H120" s="6">
        <f>I120+개인기록Sheet!C120</f>
        <v>3.1</v>
      </c>
      <c r="I120" s="6">
        <f t="shared" si="17"/>
        <v>2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6"/>
        <v>81</v>
      </c>
      <c r="H121" s="6">
        <f>I121+개인기록Sheet!C121</f>
        <v>0</v>
      </c>
      <c r="I121" s="6">
        <f t="shared" si="17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>COUNTA(J122:W122)</f>
        <v>0</v>
      </c>
      <c r="E122" s="54"/>
      <c r="F122" s="2" t="s">
        <v>37</v>
      </c>
      <c r="G122" s="2">
        <f t="shared" si="16"/>
        <v>81</v>
      </c>
      <c r="H122" s="6">
        <f>I122+개인기록Sheet!C122</f>
        <v>0</v>
      </c>
      <c r="I122" s="6">
        <f t="shared" si="17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6"/>
        <v>25</v>
      </c>
      <c r="H123" s="6">
        <f>I123+개인기록Sheet!C123</f>
        <v>4.5999999999999996</v>
      </c>
      <c r="I123" s="6">
        <f t="shared" si="17"/>
        <v>3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autoFilter ref="A3:CT123" xr:uid="{00000000-0001-0000-0000-000000000000}"/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892" bottom="1" rank="10"/>
  </conditionalFormatting>
  <conditionalFormatting sqref="H4:H123">
    <cfRule type="top10" dxfId="11" priority="894" rank="10"/>
  </conditionalFormatting>
  <conditionalFormatting sqref="I4:I123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86"/>
  <sheetViews>
    <sheetView topLeftCell="A73" zoomScaleNormal="125" workbookViewId="0">
      <selection activeCell="B78" sqref="B78:B79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364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363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370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371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372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369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369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363</v>
      </c>
      <c r="C58" s="75">
        <v>2</v>
      </c>
      <c r="D58" s="75">
        <v>0</v>
      </c>
      <c r="E58" s="7" t="s">
        <v>109</v>
      </c>
      <c r="F58" s="7" t="s">
        <v>369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372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383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367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391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391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363</v>
      </c>
      <c r="C72" s="75">
        <v>1</v>
      </c>
      <c r="D72" s="75">
        <v>0</v>
      </c>
      <c r="E72" s="7" t="s">
        <v>387</v>
      </c>
      <c r="F72" s="7"/>
      <c r="G72" s="7"/>
      <c r="H72" s="7"/>
      <c r="I72" s="8" t="s">
        <v>375</v>
      </c>
      <c r="J72" s="8"/>
      <c r="K72" s="8"/>
      <c r="L72" s="8"/>
      <c r="M72" s="20" t="s">
        <v>387</v>
      </c>
      <c r="N72" s="20" t="s">
        <v>388</v>
      </c>
      <c r="O72" s="20" t="s">
        <v>389</v>
      </c>
      <c r="P72" s="20"/>
      <c r="Q72" s="9" t="s">
        <v>390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383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379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382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382</v>
      </c>
      <c r="F85" s="7" t="s">
        <v>379</v>
      </c>
      <c r="G85" s="7"/>
      <c r="H85" s="7"/>
      <c r="I85" s="8" t="s">
        <v>379</v>
      </c>
      <c r="J85" s="8"/>
      <c r="K85" s="8" t="s">
        <v>382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</sheetData>
  <mergeCells count="121"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M2:P2"/>
    <mergeCell ref="B9:B10"/>
    <mergeCell ref="C9:C10"/>
    <mergeCell ref="D9:D10"/>
    <mergeCell ref="E24:H24"/>
    <mergeCell ref="I24:L24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82:B83"/>
    <mergeCell ref="C82:C83"/>
    <mergeCell ref="D82:D83"/>
    <mergeCell ref="B84:B85"/>
    <mergeCell ref="C84:C85"/>
    <mergeCell ref="D84:D85"/>
    <mergeCell ref="E77:H77"/>
    <mergeCell ref="I77:L77"/>
    <mergeCell ref="M77:P7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V14" sqref="V1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49</v>
      </c>
      <c r="E2" s="15">
        <f>SUM(E4:E95)</f>
        <v>36</v>
      </c>
      <c r="F2" s="15">
        <f>SUM(F4:F95)</f>
        <v>36</v>
      </c>
      <c r="G2" s="15">
        <f>SUM(G4:G95)</f>
        <v>53</v>
      </c>
      <c r="H2" s="15">
        <f>SUM(H4:H95)</f>
        <v>14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1.2000000000000002</v>
      </c>
      <c r="D4" s="14">
        <f>COUNTIF(경기기록Sheet!$E:$H,B4)</f>
        <v>2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 t="shared" ref="I4:I35" si="1">SUM(D4:H4)</f>
        <v>6</v>
      </c>
      <c r="J4" s="15"/>
      <c r="K4" s="2">
        <v>1</v>
      </c>
      <c r="L4" s="32" t="s">
        <v>224</v>
      </c>
      <c r="M4" s="21">
        <f t="shared" ref="M4:M15" si="2">VLOOKUP(L4,$B$4:$H$141,3,FALSE)</f>
        <v>10</v>
      </c>
      <c r="N4" s="33" t="s">
        <v>53</v>
      </c>
      <c r="O4" s="22">
        <f t="shared" ref="O4:O13" si="3">VLOOKUP(N4,$B$4:$H$141,4,FALSE)</f>
        <v>6</v>
      </c>
      <c r="P4" s="34" t="s">
        <v>222</v>
      </c>
      <c r="Q4" s="23">
        <f t="shared" ref="Q4:Q13" si="4">VLOOKUP(P4,$B$4:$H$141,5,FALSE)</f>
        <v>6</v>
      </c>
      <c r="R4" s="35" t="s">
        <v>325</v>
      </c>
      <c r="S4" s="55">
        <f t="shared" ref="S4:S15" si="5">VLOOKUP(R4,$B$4:$H$141,6,FALSE)</f>
        <v>9</v>
      </c>
      <c r="T4" s="36" t="s">
        <v>229</v>
      </c>
      <c r="U4" s="56">
        <f t="shared" ref="U4:U15" si="6">VLOOKUP(T4,$B$4:$H$141,7,FALSE)</f>
        <v>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0</v>
      </c>
      <c r="J5" s="15"/>
      <c r="K5" s="2">
        <v>2</v>
      </c>
      <c r="L5" s="32" t="s">
        <v>222</v>
      </c>
      <c r="M5" s="21">
        <f t="shared" si="2"/>
        <v>8</v>
      </c>
      <c r="N5" s="33" t="s">
        <v>50</v>
      </c>
      <c r="O5" s="22">
        <f t="shared" si="3"/>
        <v>4</v>
      </c>
      <c r="P5" s="34" t="s">
        <v>53</v>
      </c>
      <c r="Q5" s="23">
        <f t="shared" si="4"/>
        <v>5</v>
      </c>
      <c r="R5" s="35" t="s">
        <v>231</v>
      </c>
      <c r="S5" s="55">
        <f t="shared" si="5"/>
        <v>8</v>
      </c>
      <c r="T5" s="36" t="s">
        <v>42</v>
      </c>
      <c r="U5" s="56">
        <f t="shared" si="6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354</v>
      </c>
      <c r="M6" s="21">
        <f t="shared" si="2"/>
        <v>5</v>
      </c>
      <c r="N6" s="33" t="s">
        <v>354</v>
      </c>
      <c r="O6" s="22">
        <f t="shared" si="3"/>
        <v>4</v>
      </c>
      <c r="P6" s="34" t="s">
        <v>64</v>
      </c>
      <c r="Q6" s="23">
        <f t="shared" si="4"/>
        <v>4</v>
      </c>
      <c r="R6" s="35" t="s">
        <v>365</v>
      </c>
      <c r="S6" s="55">
        <f t="shared" si="5"/>
        <v>7</v>
      </c>
      <c r="T6" s="36" t="s">
        <v>357</v>
      </c>
      <c r="U6" s="56">
        <f t="shared" si="6"/>
        <v>2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361</v>
      </c>
      <c r="M7" s="21">
        <f t="shared" si="2"/>
        <v>4</v>
      </c>
      <c r="N7" s="33" t="s">
        <v>225</v>
      </c>
      <c r="O7" s="22">
        <f t="shared" si="3"/>
        <v>3</v>
      </c>
      <c r="P7" s="34" t="s">
        <v>299</v>
      </c>
      <c r="Q7" s="23">
        <f t="shared" si="4"/>
        <v>3</v>
      </c>
      <c r="R7" s="35" t="s">
        <v>357</v>
      </c>
      <c r="S7" s="55">
        <f t="shared" si="5"/>
        <v>6</v>
      </c>
      <c r="T7" s="36" t="s">
        <v>222</v>
      </c>
      <c r="U7" s="56">
        <f t="shared" si="6"/>
        <v>1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4</v>
      </c>
      <c r="N8" s="33" t="s">
        <v>361</v>
      </c>
      <c r="O8" s="22">
        <f t="shared" si="3"/>
        <v>2</v>
      </c>
      <c r="P8" s="34" t="s">
        <v>385</v>
      </c>
      <c r="Q8" s="23">
        <f t="shared" si="4"/>
        <v>3</v>
      </c>
      <c r="R8" s="35" t="s">
        <v>242</v>
      </c>
      <c r="S8" s="55">
        <f t="shared" si="5"/>
        <v>6</v>
      </c>
      <c r="T8" s="36" t="s">
        <v>64</v>
      </c>
      <c r="U8" s="56">
        <f t="shared" si="6"/>
        <v>1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394</v>
      </c>
      <c r="M9" s="21">
        <f t="shared" si="2"/>
        <v>3</v>
      </c>
      <c r="N9" s="33" t="s">
        <v>222</v>
      </c>
      <c r="O9" s="22">
        <f t="shared" si="3"/>
        <v>2</v>
      </c>
      <c r="P9" s="34" t="s">
        <v>314</v>
      </c>
      <c r="Q9" s="23">
        <f t="shared" si="4"/>
        <v>3</v>
      </c>
      <c r="R9" s="35" t="s">
        <v>222</v>
      </c>
      <c r="S9" s="55">
        <f t="shared" si="5"/>
        <v>5</v>
      </c>
      <c r="T9" s="36" t="s">
        <v>233</v>
      </c>
      <c r="U9" s="56">
        <f t="shared" si="6"/>
        <v>1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0.89999999999999991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3</v>
      </c>
      <c r="G10" s="14">
        <f>COUNTIF(경기기록Sheet!$Q:$U,B10)</f>
        <v>0</v>
      </c>
      <c r="H10" s="14">
        <f>COUNTIF(경기기록Sheet!$V:$V,B10)</f>
        <v>0</v>
      </c>
      <c r="I10" s="14">
        <f t="shared" si="1"/>
        <v>3</v>
      </c>
      <c r="J10" s="15"/>
      <c r="K10" s="2">
        <v>7</v>
      </c>
      <c r="L10" s="32" t="s">
        <v>395</v>
      </c>
      <c r="M10" s="21">
        <f t="shared" si="2"/>
        <v>3</v>
      </c>
      <c r="N10" s="33" t="s">
        <v>356</v>
      </c>
      <c r="O10" s="22">
        <f t="shared" si="3"/>
        <v>2</v>
      </c>
      <c r="P10" s="34" t="s">
        <v>305</v>
      </c>
      <c r="Q10" s="23">
        <f t="shared" si="4"/>
        <v>3</v>
      </c>
      <c r="R10" s="35" t="s">
        <v>303</v>
      </c>
      <c r="S10" s="55">
        <f t="shared" si="5"/>
        <v>5</v>
      </c>
      <c r="T10" s="36" t="s">
        <v>221</v>
      </c>
      <c r="U10" s="56">
        <f t="shared" si="6"/>
        <v>1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2.8000000000000003</v>
      </c>
      <c r="D11" s="14">
        <f>COUNTIF(경기기록Sheet!$E:$H,B11)</f>
        <v>10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13</v>
      </c>
      <c r="J11" s="15"/>
      <c r="K11" s="2">
        <v>8</v>
      </c>
      <c r="L11" s="32" t="s">
        <v>50</v>
      </c>
      <c r="M11" s="21">
        <f t="shared" si="2"/>
        <v>2</v>
      </c>
      <c r="N11" s="33" t="s">
        <v>314</v>
      </c>
      <c r="O11" s="22">
        <f t="shared" si="3"/>
        <v>2</v>
      </c>
      <c r="P11" s="34" t="s">
        <v>224</v>
      </c>
      <c r="Q11" s="23">
        <f t="shared" si="4"/>
        <v>2</v>
      </c>
      <c r="R11" s="35" t="s">
        <v>324</v>
      </c>
      <c r="S11" s="55">
        <f t="shared" si="5"/>
        <v>4</v>
      </c>
      <c r="T11" s="36" t="s">
        <v>325</v>
      </c>
      <c r="U11" s="56">
        <f t="shared" si="6"/>
        <v>1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229</v>
      </c>
      <c r="M12" s="21">
        <f t="shared" si="2"/>
        <v>2</v>
      </c>
      <c r="N12" s="33" t="s">
        <v>393</v>
      </c>
      <c r="O12" s="22">
        <f t="shared" si="3"/>
        <v>2</v>
      </c>
      <c r="P12" s="34" t="s">
        <v>362</v>
      </c>
      <c r="Q12" s="23">
        <f t="shared" si="4"/>
        <v>2</v>
      </c>
      <c r="R12" s="35" t="s">
        <v>366</v>
      </c>
      <c r="S12" s="55">
        <f t="shared" si="5"/>
        <v>3</v>
      </c>
      <c r="T12" s="36" t="s">
        <v>366</v>
      </c>
      <c r="U12" s="56">
        <f t="shared" si="6"/>
        <v>1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360</v>
      </c>
      <c r="M13" s="21">
        <f t="shared" si="2"/>
        <v>2</v>
      </c>
      <c r="N13" s="33" t="s">
        <v>396</v>
      </c>
      <c r="O13" s="22">
        <f t="shared" si="3"/>
        <v>2</v>
      </c>
      <c r="P13" s="34" t="s">
        <v>225</v>
      </c>
      <c r="Q13" s="23">
        <f t="shared" si="4"/>
        <v>2</v>
      </c>
      <c r="R13" s="35" t="s">
        <v>34</v>
      </c>
      <c r="S13" s="55">
        <f t="shared" si="5"/>
        <v>3</v>
      </c>
      <c r="T13" s="36" t="s">
        <v>365</v>
      </c>
      <c r="U13" s="56">
        <f t="shared" si="6"/>
        <v>1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392</v>
      </c>
      <c r="M14" s="21">
        <f t="shared" si="2"/>
        <v>2</v>
      </c>
      <c r="N14" s="33"/>
      <c r="O14" s="22"/>
      <c r="P14" s="34"/>
      <c r="Q14" s="23"/>
      <c r="R14" s="55" t="s">
        <v>386</v>
      </c>
      <c r="S14" s="55">
        <f t="shared" si="5"/>
        <v>3</v>
      </c>
      <c r="T14" s="36" t="s">
        <v>303</v>
      </c>
      <c r="U14" s="56">
        <f t="shared" si="6"/>
        <v>1</v>
      </c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 t="s">
        <v>42</v>
      </c>
      <c r="M15" s="21">
        <f t="shared" si="2"/>
        <v>2</v>
      </c>
      <c r="N15" s="22"/>
      <c r="O15" s="22"/>
      <c r="P15" s="23"/>
      <c r="Q15" s="23"/>
      <c r="R15" s="55" t="s">
        <v>62</v>
      </c>
      <c r="S15" s="55">
        <f t="shared" si="5"/>
        <v>3</v>
      </c>
      <c r="T15" s="56" t="s">
        <v>377</v>
      </c>
      <c r="U15" s="56">
        <f t="shared" si="6"/>
        <v>1</v>
      </c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 t="shared" si="1"/>
        <v>0</v>
      </c>
      <c r="J16" s="15"/>
      <c r="K16" s="2">
        <v>13</v>
      </c>
      <c r="L16" s="21"/>
      <c r="M16" s="21"/>
      <c r="N16" s="22"/>
      <c r="O16" s="22"/>
      <c r="P16" s="23"/>
      <c r="Q16" s="23"/>
      <c r="R16" s="55"/>
      <c r="S16" s="55"/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1.2000000000000002</v>
      </c>
      <c r="D17" s="14">
        <f>COUNTIF(경기기록Sheet!$E:$H,B17)</f>
        <v>4</v>
      </c>
      <c r="E17" s="14">
        <f>COUNTIF(경기기록Sheet!$I:$L,B17)</f>
        <v>2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 t="shared" si="1"/>
        <v>6</v>
      </c>
      <c r="J17" s="15"/>
      <c r="K17" s="2">
        <v>14</v>
      </c>
      <c r="L17" s="21"/>
      <c r="M17" s="21"/>
      <c r="N17" s="22"/>
      <c r="O17" s="22"/>
      <c r="P17" s="23"/>
      <c r="Q17" s="23"/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0.89999999999999991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3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3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5</v>
      </c>
      <c r="D27" s="14">
        <f>COUNTIF(경기기록Sheet!$E:$H,B27)</f>
        <v>8</v>
      </c>
      <c r="E27" s="14">
        <f>COUNTIF(경기기록Sheet!$I:$L,B27)</f>
        <v>2</v>
      </c>
      <c r="F27" s="14">
        <f>COUNTIF(경기기록Sheet!$M:$P,B27)</f>
        <v>6</v>
      </c>
      <c r="G27" s="14">
        <f>COUNTIF(경기기록Sheet!$Q:$U,B27)</f>
        <v>5</v>
      </c>
      <c r="H27" s="14">
        <f>COUNTIF(경기기록Sheet!$V:$V,B27)</f>
        <v>1</v>
      </c>
      <c r="I27" s="14">
        <f t="shared" si="1"/>
        <v>22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1.4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4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5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1.6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6</v>
      </c>
      <c r="I32" s="14">
        <f t="shared" si="1"/>
        <v>8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1"/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1.8</v>
      </c>
      <c r="D37" s="14">
        <f>COUNTIF(경기기록Sheet!$E:$H,B37)</f>
        <v>5</v>
      </c>
      <c r="E37" s="14">
        <f>COUNTIF(경기기록Sheet!$I:$L,B37)</f>
        <v>4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9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0.2</v>
      </c>
      <c r="D38" s="14">
        <f>COUNTIF(경기기록Sheet!$E:$H,B38)</f>
        <v>1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1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1.8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6</v>
      </c>
      <c r="H44" s="14">
        <f>COUNTIF(경기기록Sheet!$V:$V,B44)</f>
        <v>2</v>
      </c>
      <c r="I44" s="14">
        <f t="shared" si="8"/>
        <v>9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 t="shared" si="7"/>
        <v>0.60000000000000009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2</v>
      </c>
      <c r="H47" s="14">
        <f>COUNTIF(경기기록Sheet!$V:$V,B47)</f>
        <v>1</v>
      </c>
      <c r="I47" s="14">
        <f t="shared" si="8"/>
        <v>3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 t="shared" si="7"/>
        <v>1.4000000000000001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6</v>
      </c>
      <c r="H51" s="14">
        <f>COUNTIF(경기기록Sheet!$V:$V,B51)</f>
        <v>0</v>
      </c>
      <c r="I51" s="14">
        <f t="shared" si="8"/>
        <v>7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 t="shared" si="7"/>
        <v>0.4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1</v>
      </c>
      <c r="I55" s="14">
        <f t="shared" si="8"/>
        <v>2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 t="shared" si="7"/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 t="shared" si="7"/>
        <v>0.60000000000000009</v>
      </c>
      <c r="D57" s="14">
        <f>COUNTIF(경기기록Sheet!$E:$H,B57)</f>
        <v>3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3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 t="shared" si="7"/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 t="shared" si="7"/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 t="shared" si="7"/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 t="shared" si="7"/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 t="shared" si="7"/>
        <v>2.2000000000000002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9</v>
      </c>
      <c r="H65" s="14">
        <f>COUNTIF(경기기록Sheet!$V:$V,B65)</f>
        <v>1</v>
      </c>
      <c r="I65" s="14">
        <f t="shared" si="8"/>
        <v>11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 t="shared" si="7"/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 t="shared" si="9"/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 t="shared" si="9"/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 t="shared" si="9"/>
        <v>0.2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1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 t="shared" si="9"/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 t="shared" si="9"/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 t="shared" si="9"/>
        <v>0.8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3</v>
      </c>
      <c r="H77" s="14">
        <f>COUNTIF(경기기록Sheet!$V:$V,B77)</f>
        <v>1</v>
      </c>
      <c r="I77" s="14">
        <f t="shared" si="10"/>
        <v>4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 t="shared" si="9"/>
        <v>0.60000000000000009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3</v>
      </c>
      <c r="H78" s="14">
        <f>COUNTIF(경기기록Sheet!$V:$V,B78)</f>
        <v>0</v>
      </c>
      <c r="I78" s="14">
        <f t="shared" si="10"/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 t="shared" si="9"/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 t="shared" si="10"/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 t="shared" si="9"/>
        <v>0.4</v>
      </c>
      <c r="D80" s="14">
        <f>COUNTIF(경기기록Sheet!$E:$H,B80)</f>
        <v>1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 t="shared" si="10"/>
        <v>2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 t="shared" si="9"/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 t="shared" si="10"/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 t="shared" si="9"/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 t="shared" si="9"/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 t="shared" si="10"/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 t="shared" si="9"/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 t="shared" si="9"/>
        <v>0.60000000000000009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3</v>
      </c>
      <c r="H85" s="14">
        <f>COUNTIF(경기기록Sheet!$V:$V,B85)</f>
        <v>0</v>
      </c>
      <c r="I85" s="14">
        <f t="shared" si="10"/>
        <v>3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 t="shared" si="9"/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 t="shared" si="9"/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2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 t="shared" si="9"/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 t="shared" si="9"/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 t="shared" si="9"/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 t="shared" si="10"/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 t="shared" si="9"/>
        <v>1.6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8</v>
      </c>
      <c r="H93" s="14">
        <f>COUNTIF(경기기록Sheet!$V:$V,B93)</f>
        <v>0</v>
      </c>
      <c r="I93" s="14">
        <f t="shared" si="10"/>
        <v>8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 t="shared" si="9"/>
        <v>1.9</v>
      </c>
      <c r="D95" s="14">
        <f>COUNTIF(경기기록Sheet!$E:$H,B95)</f>
        <v>4</v>
      </c>
      <c r="E95" s="14">
        <f>COUNTIF(경기기록Sheet!$I:$L,B95)</f>
        <v>1</v>
      </c>
      <c r="F95" s="14">
        <f>COUNTIF(경기기록Sheet!$M:$P,B95)</f>
        <v>3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8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 t="shared" si="9"/>
        <v>0.60000000000000009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3</v>
      </c>
      <c r="H96" s="14">
        <f>COUNTIF(경기기록Sheet!$V:$V,B96)</f>
        <v>0</v>
      </c>
      <c r="I96" s="14">
        <f t="shared" si="10"/>
        <v>3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 t="shared" si="9"/>
        <v>1</v>
      </c>
      <c r="D97" s="14">
        <f>COUNTIF(경기기록Sheet!$E:$H,B97)</f>
        <v>0</v>
      </c>
      <c r="E97" s="14">
        <f>COUNTIF(경기기록Sheet!$I:$L,B97)</f>
        <v>1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 t="shared" si="10"/>
        <v>5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 t="shared" si="9"/>
        <v>1.8</v>
      </c>
      <c r="D98" s="14">
        <f>COUNTIF(경기기록Sheet!$E:$H,B98)</f>
        <v>0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7</v>
      </c>
      <c r="H98" s="14">
        <f>COUNTIF(경기기록Sheet!$V:$V,B98)</f>
        <v>1</v>
      </c>
      <c r="I98" s="14">
        <f t="shared" si="10"/>
        <v>9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 t="shared" ref="C100:C131" si="11"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 t="shared" ref="I100:I131" si="12"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 t="shared" si="11"/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 t="shared" si="11"/>
        <v>0.2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1</v>
      </c>
      <c r="H102" s="14">
        <f>COUNTIF(경기기록Sheet!$V:$V,B102)</f>
        <v>0</v>
      </c>
      <c r="I102" s="14">
        <f t="shared" si="12"/>
        <v>1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 t="shared" si="11"/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 t="shared" si="11"/>
        <v>0.2</v>
      </c>
      <c r="D104" s="14">
        <f>COUNTIF(경기기록Sheet!$E:$H,B104)</f>
        <v>1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1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 t="shared" si="11"/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 t="shared" si="12"/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 t="shared" si="11"/>
        <v>1.2000000000000002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5</v>
      </c>
      <c r="H106" s="14">
        <f>COUNTIF(경기기록Sheet!$V:$V,B106)</f>
        <v>1</v>
      </c>
      <c r="I106" s="14">
        <f t="shared" si="12"/>
        <v>6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 t="shared" si="11"/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 t="shared" si="12"/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 t="shared" si="11"/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2"/>
        <v>1</v>
      </c>
    </row>
    <row r="109" spans="1:10" x14ac:dyDescent="0.25">
      <c r="A109" s="2">
        <f>종합Sheet!A109</f>
        <v>106</v>
      </c>
      <c r="B109" s="2" t="str">
        <f>종합Sheet!B109</f>
        <v>김진우</v>
      </c>
      <c r="C109" s="2">
        <f t="shared" si="11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2"/>
        <v>0</v>
      </c>
    </row>
    <row r="110" spans="1:10" x14ac:dyDescent="0.25">
      <c r="A110" s="2">
        <f>종합Sheet!A110</f>
        <v>107</v>
      </c>
      <c r="B110" s="2" t="str">
        <f>종합Sheet!B110</f>
        <v>노성호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박준영</v>
      </c>
      <c r="C111" s="2">
        <f t="shared" si="11"/>
        <v>0.2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</v>
      </c>
      <c r="H111" s="14">
        <f>COUNTIF(경기기록Sheet!$V:$V,B111)</f>
        <v>0</v>
      </c>
      <c r="I111" s="14">
        <f t="shared" si="12"/>
        <v>1</v>
      </c>
    </row>
    <row r="112" spans="1:10" x14ac:dyDescent="0.25">
      <c r="A112" s="2">
        <f>종합Sheet!A112</f>
        <v>109</v>
      </c>
      <c r="B112" s="2" t="str">
        <f>종합Sheet!B112</f>
        <v>박태현</v>
      </c>
      <c r="C112" s="2">
        <f t="shared" si="11"/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 t="shared" si="12"/>
        <v>0</v>
      </c>
    </row>
    <row r="113" spans="1:9" x14ac:dyDescent="0.25">
      <c r="A113" s="2">
        <f>종합Sheet!A113</f>
        <v>110</v>
      </c>
      <c r="B113" s="2" t="str">
        <f>종합Sheet!B113</f>
        <v>서영진</v>
      </c>
      <c r="C113" s="2">
        <f t="shared" si="11"/>
        <v>0.4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1</v>
      </c>
      <c r="H113" s="14">
        <f>COUNTIF(경기기록Sheet!$V:$V,B113)</f>
        <v>1</v>
      </c>
      <c r="I113" s="14">
        <f t="shared" si="12"/>
        <v>2</v>
      </c>
    </row>
    <row r="114" spans="1:9" x14ac:dyDescent="0.25">
      <c r="A114" s="2">
        <f>종합Sheet!A114</f>
        <v>111</v>
      </c>
      <c r="B114" s="2" t="str">
        <f>종합Sheet!B114</f>
        <v>오상준</v>
      </c>
      <c r="C114" s="2">
        <f t="shared" si="11"/>
        <v>0.7</v>
      </c>
      <c r="D114" s="14">
        <f>COUNTIF(경기기록Sheet!$E:$H,B114)</f>
        <v>2</v>
      </c>
      <c r="E114" s="14">
        <f>COUNTIF(경기기록Sheet!$I:$L,B114)</f>
        <v>0</v>
      </c>
      <c r="F114" s="14">
        <f>COUNTIF(경기기록Sheet!$M:$P,B114)</f>
        <v>1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3</v>
      </c>
    </row>
    <row r="115" spans="1:9" x14ac:dyDescent="0.25">
      <c r="A115" s="2">
        <f>종합Sheet!A115</f>
        <v>112</v>
      </c>
      <c r="B115" s="2" t="str">
        <f>종합Sheet!B115</f>
        <v>오성찬</v>
      </c>
      <c r="C115" s="2">
        <f t="shared" si="11"/>
        <v>0.3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1</v>
      </c>
    </row>
    <row r="116" spans="1:9" x14ac:dyDescent="0.25">
      <c r="A116" s="2">
        <f>종합Sheet!A116</f>
        <v>113</v>
      </c>
      <c r="B116" s="2" t="str">
        <f>종합Sheet!B116</f>
        <v>유우진</v>
      </c>
      <c r="C116" s="2">
        <f t="shared" si="11"/>
        <v>0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0</v>
      </c>
      <c r="H116" s="14">
        <f>COUNTIF(경기기록Sheet!$V:$V,B116)</f>
        <v>0</v>
      </c>
      <c r="I116" s="14">
        <f t="shared" si="12"/>
        <v>0</v>
      </c>
    </row>
    <row r="117" spans="1:9" x14ac:dyDescent="0.25">
      <c r="A117" s="2">
        <f>종합Sheet!A117</f>
        <v>114</v>
      </c>
      <c r="B117" s="2" t="str">
        <f>종합Sheet!B117</f>
        <v>이영준</v>
      </c>
      <c r="C117" s="2">
        <f t="shared" si="11"/>
        <v>0.3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1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</v>
      </c>
    </row>
    <row r="118" spans="1:9" x14ac:dyDescent="0.25">
      <c r="A118" s="2">
        <f>종합Sheet!A118</f>
        <v>115</v>
      </c>
      <c r="B118" s="2" t="str">
        <f>종합Sheet!B118</f>
        <v>이찬솔</v>
      </c>
      <c r="C118" s="2">
        <f t="shared" si="11"/>
        <v>0.2</v>
      </c>
      <c r="D118" s="14">
        <f>COUNTIF(경기기록Sheet!$E:$H,B118)</f>
        <v>0</v>
      </c>
      <c r="E118" s="14">
        <f>COUNTIF(경기기록Sheet!$I:$L,B118)</f>
        <v>1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 t="shared" si="12"/>
        <v>1</v>
      </c>
    </row>
    <row r="119" spans="1:9" x14ac:dyDescent="0.25">
      <c r="A119" s="2">
        <f>종합Sheet!A119</f>
        <v>116</v>
      </c>
      <c r="B119" s="2" t="str">
        <f>종합Sheet!B119</f>
        <v>정현서</v>
      </c>
      <c r="C119" s="2">
        <f t="shared" si="11"/>
        <v>0.90000000000000013</v>
      </c>
      <c r="D119" s="14">
        <f>COUNTIF(경기기록Sheet!$E:$H,B119)</f>
        <v>1</v>
      </c>
      <c r="E119" s="14">
        <f>COUNTIF(경기기록Sheet!$I:$L,B119)</f>
        <v>2</v>
      </c>
      <c r="F119" s="14">
        <f>COUNTIF(경기기록Sheet!$M:$P,B119)</f>
        <v>1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4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 t="shared" si="11"/>
        <v>1.1000000000000001</v>
      </c>
      <c r="D120" s="14">
        <f>COUNTIF(경기기록Sheet!$E:$H,B120)</f>
        <v>3</v>
      </c>
      <c r="E120" s="14">
        <f>COUNTIF(경기기록Sheet!$I:$L,B120)</f>
        <v>1</v>
      </c>
      <c r="F120" s="14">
        <f>COUNTIF(경기기록Sheet!$M:$P,B120)</f>
        <v>1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5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1.6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2</v>
      </c>
      <c r="H123" s="14">
        <f>COUNTIF(경기기록Sheet!$V:$V,B123)</f>
        <v>3</v>
      </c>
      <c r="I123" s="14">
        <f t="shared" si="12"/>
        <v>8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3" t="s">
        <v>249</v>
      </c>
      <c r="J2" s="93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2" t="s">
        <v>338</v>
      </c>
      <c r="C3" s="72">
        <v>1</v>
      </c>
      <c r="D3" s="70" t="s">
        <v>299</v>
      </c>
      <c r="E3" s="70">
        <f>VLOOKUP(D3,종합Sheet!$B$3:$I$123,8,0)</f>
        <v>5</v>
      </c>
      <c r="F3" s="70" t="s">
        <v>299</v>
      </c>
      <c r="G3" s="61">
        <f>VLOOKUP(F3,종합Sheet!$B$3:$I$123,7,0)</f>
        <v>5.9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5</v>
      </c>
      <c r="R3" s="62" t="s">
        <v>299</v>
      </c>
      <c r="S3" s="63">
        <f>VLOOKUP(R3,종합Sheet!$B$3:$I$123,7,0)</f>
        <v>5.9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11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10</v>
      </c>
      <c r="R4" s="62" t="s">
        <v>222</v>
      </c>
      <c r="S4" s="63">
        <f>VLOOKUP(R4,종합Sheet!$B$3:$I$123,7,0)</f>
        <v>15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10</v>
      </c>
      <c r="F5" s="70" t="s">
        <v>222</v>
      </c>
      <c r="G5" s="61">
        <f>VLOOKUP(F5,종합Sheet!$B$3:$I$123,7,0)</f>
        <v>15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9</v>
      </c>
      <c r="R5" s="62" t="s">
        <v>305</v>
      </c>
      <c r="S5" s="63">
        <f>VLOOKUP(R5,종합Sheet!$B$3:$I$123,7,0)</f>
        <v>10.9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9</v>
      </c>
      <c r="F6" s="70" t="s">
        <v>233</v>
      </c>
      <c r="G6" s="61">
        <f>VLOOKUP(F6,종합Sheet!$B$3:$I$123,7,0)</f>
        <v>6.6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5</v>
      </c>
      <c r="R6" s="65" t="s">
        <v>231</v>
      </c>
      <c r="S6" s="71">
        <f>VLOOKUP(R6,종합Sheet!$B$3:$I$123,7,0)</f>
        <v>6.6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6</v>
      </c>
      <c r="F7" s="70" t="s">
        <v>305</v>
      </c>
      <c r="G7" s="61">
        <f>VLOOKUP(F7,종합Sheet!$B$3:$I$123,7,0)</f>
        <v>10.9</v>
      </c>
      <c r="I7" s="97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6</v>
      </c>
      <c r="R7" s="65" t="s">
        <v>325</v>
      </c>
      <c r="S7" s="71">
        <f>VLOOKUP(R7,종합Sheet!$B$3:$I$123,7,0)</f>
        <v>8.1999999999999993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12.2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4</v>
      </c>
      <c r="F9" s="70" t="s">
        <v>7</v>
      </c>
      <c r="G9" s="61">
        <f>VLOOKUP(F9,종합Sheet!$B$3:$I$123,7,0)</f>
        <v>2</v>
      </c>
      <c r="I9" s="93" t="s">
        <v>249</v>
      </c>
      <c r="J9" s="93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2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5</v>
      </c>
      <c r="F10" s="70" t="s">
        <v>53</v>
      </c>
      <c r="G10" s="61">
        <f>VLOOKUP(F10,종합Sheet!$B$3:$I$123,7,0)</f>
        <v>8.9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2.2000000000000002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2</v>
      </c>
      <c r="F11" s="70" t="s">
        <v>48</v>
      </c>
      <c r="G11" s="61">
        <f>VLOOKUP(F11,종합Sheet!$B$3:$I$123,7,0)</f>
        <v>4.4000000000000004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2</v>
      </c>
      <c r="R11" s="65" t="s">
        <v>315</v>
      </c>
      <c r="S11" s="71">
        <f>VLOOKUP(R11,종합Sheet!$B$3:$I$123,7,0)</f>
        <v>2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6</v>
      </c>
      <c r="F12" s="70" t="s">
        <v>224</v>
      </c>
      <c r="G12" s="61">
        <f>VLOOKUP(F12,종합Sheet!$B$3:$I$123,7,0)</f>
        <v>8.8000000000000007</v>
      </c>
      <c r="I12" s="95"/>
      <c r="J12" s="66">
        <v>3</v>
      </c>
      <c r="K12" s="65" t="s">
        <v>224</v>
      </c>
      <c r="L12" s="65">
        <v>8</v>
      </c>
      <c r="N12" s="100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6</v>
      </c>
      <c r="F13" s="70" t="s">
        <v>242</v>
      </c>
      <c r="G13" s="61">
        <f>VLOOKUP(F13,종합Sheet!$B$3:$I$123,7,0)</f>
        <v>7.4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8</v>
      </c>
      <c r="F14" s="70" t="s">
        <v>229</v>
      </c>
      <c r="G14" s="61">
        <f>VLOOKUP(F14,종합Sheet!$B$3:$I$123,7,0)</f>
        <v>9.6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6</v>
      </c>
      <c r="F15" s="62" t="s">
        <v>300</v>
      </c>
      <c r="G15" s="63">
        <f>VLOOKUP(F15,종합Sheet!$B$3:$I$123,7,0)</f>
        <v>3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5</v>
      </c>
      <c r="F16" s="62" t="s">
        <v>231</v>
      </c>
      <c r="G16" s="63">
        <f>VLOOKUP(F16,종합Sheet!$B$3:$I$123,7,0)</f>
        <v>6.6</v>
      </c>
      <c r="H16" s="37"/>
      <c r="I16" s="93" t="s">
        <v>249</v>
      </c>
      <c r="J16" s="93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4.2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3" t="s">
        <v>249</v>
      </c>
      <c r="C19" s="93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96"/>
      <c r="C22" s="66">
        <v>3</v>
      </c>
      <c r="D22" s="65" t="s">
        <v>342</v>
      </c>
      <c r="E22" s="65" t="s">
        <v>343</v>
      </c>
    </row>
    <row r="23" spans="2:21" x14ac:dyDescent="0.25">
      <c r="I23" s="98" t="s">
        <v>249</v>
      </c>
      <c r="J23" s="99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4.2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6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23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5.9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15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15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4</v>
      </c>
      <c r="H11" s="6">
        <f>I11+개인기록Sheet!C17</f>
        <v>5.2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15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26</v>
      </c>
      <c r="H17" s="6">
        <f>I17+개인기록Sheet!C26</f>
        <v>1.9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6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3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23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13</v>
      </c>
      <c r="H21" s="6">
        <f>I21+개인기록Sheet!C44</f>
        <v>3.8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12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22</v>
      </c>
      <c r="H24" s="6">
        <f>I24+개인기록Sheet!C57</f>
        <v>2.6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15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15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15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15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10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28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27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14</v>
      </c>
      <c r="H36" s="6">
        <f>I36+개인기록Sheet!C102</f>
        <v>3.2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4</v>
      </c>
      <c r="H37" s="6">
        <f>I37+개인기록Sheet!C104</f>
        <v>5.2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2026-04-21T15:29:24Z</dcterms:modified>
</cp:coreProperties>
</file>